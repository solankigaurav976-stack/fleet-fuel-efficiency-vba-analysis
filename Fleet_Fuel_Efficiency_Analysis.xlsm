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0" codeName="{52B413DB-416B-A148-0A32-6202AF4EA3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auravsolanki/Downloads/"/>
    </mc:Choice>
  </mc:AlternateContent>
  <xr:revisionPtr revIDLastSave="0" documentId="13_ncr:1_{60326887-1B5B-9640-BB9E-3BF7D963E450}" xr6:coauthVersionLast="47" xr6:coauthVersionMax="47" xr10:uidLastSave="{00000000-0000-0000-0000-000000000000}"/>
  <bookViews>
    <workbookView xWindow="0" yWindow="500" windowWidth="28800" windowHeight="15820" activeTab="3" xr2:uid="{6B5E71F6-F25C-7347-844D-A8210041C7BF}"/>
  </bookViews>
  <sheets>
    <sheet name="Raw_Data" sheetId="1" r:id="rId1"/>
    <sheet name="Clean_Data" sheetId="2" r:id="rId2"/>
    <sheet name="Fuel_Price" sheetId="3" r:id="rId3"/>
    <sheet name="Dashboard" sheetId="5" r:id="rId4"/>
    <sheet name="    VBA_Automation" sheetId="7" r:id="rId5"/>
  </sheets>
  <definedNames>
    <definedName name="_xlnm._FilterDatabase" localSheetId="0" hidden="1">Raw_Data!$A$1:$H$1141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5" l="1"/>
  <c r="N5" i="5"/>
  <c r="N6" i="5"/>
  <c r="N7" i="5"/>
  <c r="N8" i="5"/>
  <c r="N9" i="5"/>
  <c r="N10" i="5"/>
  <c r="N11" i="5"/>
  <c r="N12" i="5"/>
  <c r="N13" i="5"/>
  <c r="N14" i="5"/>
  <c r="N4" i="5"/>
  <c r="J5" i="5"/>
  <c r="J6" i="5"/>
  <c r="J7" i="5"/>
  <c r="J8" i="5"/>
  <c r="J9" i="5"/>
  <c r="J10" i="5"/>
  <c r="J11" i="5"/>
  <c r="J12" i="5"/>
  <c r="J13" i="5"/>
  <c r="J14" i="5"/>
  <c r="J4" i="5"/>
  <c r="D13" i="5"/>
  <c r="D14" i="5"/>
  <c r="D6" i="5"/>
  <c r="D7" i="5"/>
  <c r="D8" i="5"/>
  <c r="D9" i="5"/>
  <c r="D10" i="5"/>
  <c r="D11" i="5"/>
  <c r="D12" i="5"/>
  <c r="D5" i="5"/>
  <c r="D4" i="5"/>
  <c r="E2" i="2"/>
  <c r="O923" i="2"/>
  <c r="O924" i="2"/>
  <c r="O925" i="2"/>
  <c r="O926" i="2"/>
  <c r="O927" i="2"/>
  <c r="O928" i="2"/>
  <c r="O929" i="2"/>
  <c r="O930" i="2"/>
  <c r="R930" i="2" s="1"/>
  <c r="O931" i="2"/>
  <c r="R931" i="2" s="1"/>
  <c r="O932" i="2"/>
  <c r="O933" i="2"/>
  <c r="O934" i="2"/>
  <c r="O935" i="2"/>
  <c r="O936" i="2"/>
  <c r="O937" i="2"/>
  <c r="O938" i="2"/>
  <c r="O939" i="2"/>
  <c r="R939" i="2" s="1"/>
  <c r="O940" i="2"/>
  <c r="R940" i="2" s="1"/>
  <c r="O941" i="2"/>
  <c r="O942" i="2"/>
  <c r="O943" i="2"/>
  <c r="O944" i="2"/>
  <c r="O945" i="2"/>
  <c r="O946" i="2"/>
  <c r="O947" i="2"/>
  <c r="O948" i="2"/>
  <c r="O949" i="2"/>
  <c r="R949" i="2" s="1"/>
  <c r="O950" i="2"/>
  <c r="O951" i="2"/>
  <c r="O952" i="2"/>
  <c r="O953" i="2"/>
  <c r="U953" i="2" s="1"/>
  <c r="O954" i="2"/>
  <c r="O955" i="2"/>
  <c r="O956" i="2"/>
  <c r="O957" i="2"/>
  <c r="R957" i="2" s="1"/>
  <c r="O958" i="2"/>
  <c r="O959" i="2"/>
  <c r="R959" i="2" s="1"/>
  <c r="O960" i="2"/>
  <c r="O961" i="2"/>
  <c r="O962" i="2"/>
  <c r="O963" i="2"/>
  <c r="O964" i="2"/>
  <c r="O965" i="2"/>
  <c r="O966" i="2"/>
  <c r="O967" i="2"/>
  <c r="R967" i="2" s="1"/>
  <c r="O968" i="2"/>
  <c r="R968" i="2" s="1"/>
  <c r="O969" i="2"/>
  <c r="U969" i="2" s="1"/>
  <c r="O970" i="2"/>
  <c r="O971" i="2"/>
  <c r="O972" i="2"/>
  <c r="O973" i="2"/>
  <c r="U973" i="2" s="1"/>
  <c r="O974" i="2"/>
  <c r="O975" i="2"/>
  <c r="O976" i="2"/>
  <c r="R976" i="2" s="1"/>
  <c r="O977" i="2"/>
  <c r="O978" i="2"/>
  <c r="O979" i="2"/>
  <c r="O980" i="2"/>
  <c r="O981" i="2"/>
  <c r="O982" i="2"/>
  <c r="O983" i="2"/>
  <c r="O984" i="2"/>
  <c r="O985" i="2"/>
  <c r="R985" i="2" s="1"/>
  <c r="O986" i="2"/>
  <c r="U986" i="2" s="1"/>
  <c r="O987" i="2"/>
  <c r="U987" i="2" s="1"/>
  <c r="O988" i="2"/>
  <c r="O989" i="2"/>
  <c r="O990" i="2"/>
  <c r="O991" i="2"/>
  <c r="O992" i="2"/>
  <c r="O993" i="2"/>
  <c r="O994" i="2"/>
  <c r="O995" i="2"/>
  <c r="R995" i="2" s="1"/>
  <c r="O996" i="2"/>
  <c r="U996" i="2" s="1"/>
  <c r="O997" i="2"/>
  <c r="U997" i="2" s="1"/>
  <c r="O998" i="2"/>
  <c r="O999" i="2"/>
  <c r="O1000" i="2"/>
  <c r="O1001" i="2"/>
  <c r="O1002" i="2"/>
  <c r="O1003" i="2"/>
  <c r="R1003" i="2" s="1"/>
  <c r="O1004" i="2"/>
  <c r="R1004" i="2" s="1"/>
  <c r="O1005" i="2"/>
  <c r="U1005" i="2" s="1"/>
  <c r="O1006" i="2"/>
  <c r="O1007" i="2"/>
  <c r="O1008" i="2"/>
  <c r="O1009" i="2"/>
  <c r="U1009" i="2" s="1"/>
  <c r="O1010" i="2"/>
  <c r="O1011" i="2"/>
  <c r="U1011" i="2" s="1"/>
  <c r="O1012" i="2"/>
  <c r="R1012" i="2" s="1"/>
  <c r="O1013" i="2"/>
  <c r="R1013" i="2" s="1"/>
  <c r="O1014" i="2"/>
  <c r="O1015" i="2"/>
  <c r="O1016" i="2"/>
  <c r="O1017" i="2"/>
  <c r="O1018" i="2"/>
  <c r="O1019" i="2"/>
  <c r="U1019" i="2" s="1"/>
  <c r="O1020" i="2"/>
  <c r="O1021" i="2"/>
  <c r="O1022" i="2"/>
  <c r="O1023" i="2"/>
  <c r="R1023" i="2" s="1"/>
  <c r="O1024" i="2"/>
  <c r="O1025" i="2"/>
  <c r="O1026" i="2"/>
  <c r="O1027" i="2"/>
  <c r="O1028" i="2"/>
  <c r="O1029" i="2"/>
  <c r="O1030" i="2"/>
  <c r="O1031" i="2"/>
  <c r="R1031" i="2" s="1"/>
  <c r="O1032" i="2"/>
  <c r="R1032" i="2" s="1"/>
  <c r="O1033" i="2"/>
  <c r="U1033" i="2" s="1"/>
  <c r="O1034" i="2"/>
  <c r="U1034" i="2" s="1"/>
  <c r="O1035" i="2"/>
  <c r="U1035" i="2" s="1"/>
  <c r="O1036" i="2"/>
  <c r="O1037" i="2"/>
  <c r="O1038" i="2"/>
  <c r="O1039" i="2"/>
  <c r="O1040" i="2"/>
  <c r="R1040" i="2" s="1"/>
  <c r="O1041" i="2"/>
  <c r="R1041" i="2" s="1"/>
  <c r="O1042" i="2"/>
  <c r="O1043" i="2"/>
  <c r="O1044" i="2"/>
  <c r="O1045" i="2"/>
  <c r="O1046" i="2"/>
  <c r="O1047" i="2"/>
  <c r="O1048" i="2"/>
  <c r="O1049" i="2"/>
  <c r="O1050" i="2"/>
  <c r="R1050" i="2" s="1"/>
  <c r="O1051" i="2"/>
  <c r="U1051" i="2" s="1"/>
  <c r="O1052" i="2"/>
  <c r="O1053" i="2"/>
  <c r="O1054" i="2"/>
  <c r="O1055" i="2"/>
  <c r="O1056" i="2"/>
  <c r="O1057" i="2"/>
  <c r="O1058" i="2"/>
  <c r="U1058" i="2" s="1"/>
  <c r="O1059" i="2"/>
  <c r="R1059" i="2" s="1"/>
  <c r="O1060" i="2"/>
  <c r="O1061" i="2"/>
  <c r="U1061" i="2" s="1"/>
  <c r="O1062" i="2"/>
  <c r="O1063" i="2"/>
  <c r="O1064" i="2"/>
  <c r="O1065" i="2"/>
  <c r="O1066" i="2"/>
  <c r="O1067" i="2"/>
  <c r="R1067" i="2" s="1"/>
  <c r="O1068" i="2"/>
  <c r="R1068" i="2" s="1"/>
  <c r="O1069" i="2"/>
  <c r="U1069" i="2" s="1"/>
  <c r="O1070" i="2"/>
  <c r="O1071" i="2"/>
  <c r="O1072" i="2"/>
  <c r="O1073" i="2"/>
  <c r="U1073" i="2" s="1"/>
  <c r="O1074" i="2"/>
  <c r="U1074" i="2" s="1"/>
  <c r="O1075" i="2"/>
  <c r="U1075" i="2" s="1"/>
  <c r="O1076" i="2"/>
  <c r="U1076" i="2" s="1"/>
  <c r="O1077" i="2"/>
  <c r="R1077" i="2" s="1"/>
  <c r="O1078" i="2"/>
  <c r="O1079" i="2"/>
  <c r="O1080" i="2"/>
  <c r="O1081" i="2"/>
  <c r="O1082" i="2"/>
  <c r="O1083" i="2"/>
  <c r="O1084" i="2"/>
  <c r="O1085" i="2"/>
  <c r="U1085" i="2" s="1"/>
  <c r="O1086" i="2"/>
  <c r="O1087" i="2"/>
  <c r="R1087" i="2" s="1"/>
  <c r="O1088" i="2"/>
  <c r="O1089" i="2"/>
  <c r="O1090" i="2"/>
  <c r="O1091" i="2"/>
  <c r="O1092" i="2"/>
  <c r="O1093" i="2"/>
  <c r="O1094" i="2"/>
  <c r="O1095" i="2"/>
  <c r="R1095" i="2" s="1"/>
  <c r="O1096" i="2"/>
  <c r="R1096" i="2" s="1"/>
  <c r="O1097" i="2"/>
  <c r="R1097" i="2" s="1"/>
  <c r="O1098" i="2"/>
  <c r="O1099" i="2"/>
  <c r="U1099" i="2" s="1"/>
  <c r="O1100" i="2"/>
  <c r="O1101" i="2"/>
  <c r="U1101" i="2" s="1"/>
  <c r="O1102" i="2"/>
  <c r="O1103" i="2"/>
  <c r="O1104" i="2"/>
  <c r="R1104" i="2" s="1"/>
  <c r="O1105" i="2"/>
  <c r="R1105" i="2" s="1"/>
  <c r="O1106" i="2"/>
  <c r="R1106" i="2" s="1"/>
  <c r="O1107" i="2"/>
  <c r="O1108" i="2"/>
  <c r="R1108" i="2" s="1"/>
  <c r="O1109" i="2"/>
  <c r="O1110" i="2"/>
  <c r="O1111" i="2"/>
  <c r="R1111" i="2" s="1"/>
  <c r="O1112" i="2"/>
  <c r="R1112" i="2" s="1"/>
  <c r="O1113" i="2"/>
  <c r="U1113" i="2" s="1"/>
  <c r="O1114" i="2"/>
  <c r="R1114" i="2" s="1"/>
  <c r="O1115" i="2"/>
  <c r="R1115" i="2" s="1"/>
  <c r="O1116" i="2"/>
  <c r="O1117" i="2"/>
  <c r="R1117" i="2" s="1"/>
  <c r="O1118" i="2"/>
  <c r="O1119" i="2"/>
  <c r="R1119" i="2" s="1"/>
  <c r="O1120" i="2"/>
  <c r="R1120" i="2" s="1"/>
  <c r="O1121" i="2"/>
  <c r="R1121" i="2" s="1"/>
  <c r="O1122" i="2"/>
  <c r="O1123" i="2"/>
  <c r="R1123" i="2" s="1"/>
  <c r="O1124" i="2"/>
  <c r="U1124" i="2" s="1"/>
  <c r="O1125" i="2"/>
  <c r="U1125" i="2" s="1"/>
  <c r="O1126" i="2"/>
  <c r="O1127" i="2"/>
  <c r="R1127" i="2" s="1"/>
  <c r="O1128" i="2"/>
  <c r="R1128" i="2" s="1"/>
  <c r="O1129" i="2"/>
  <c r="R1129" i="2" s="1"/>
  <c r="O1130" i="2"/>
  <c r="O1131" i="2"/>
  <c r="R1131" i="2" s="1"/>
  <c r="O1132" i="2"/>
  <c r="R1132" i="2" s="1"/>
  <c r="O1133" i="2"/>
  <c r="R1133" i="2" s="1"/>
  <c r="O1134" i="2"/>
  <c r="O1135" i="2"/>
  <c r="O1136" i="2"/>
  <c r="R1136" i="2" s="1"/>
  <c r="O1137" i="2"/>
  <c r="R1137" i="2" s="1"/>
  <c r="O1138" i="2"/>
  <c r="R1138" i="2" s="1"/>
  <c r="O1139" i="2"/>
  <c r="R1139" i="2" s="1"/>
  <c r="N7" i="2"/>
  <c r="O7" i="2" s="1"/>
  <c r="N8" i="2"/>
  <c r="O8" i="2" s="1"/>
  <c r="N9" i="2"/>
  <c r="O9" i="2" s="1"/>
  <c r="N10" i="2"/>
  <c r="O10" i="2" s="1"/>
  <c r="N11" i="2"/>
  <c r="O11" i="2" s="1"/>
  <c r="N12" i="2"/>
  <c r="O12" i="2" s="1"/>
  <c r="N13" i="2"/>
  <c r="O13" i="2" s="1"/>
  <c r="N14" i="2"/>
  <c r="O14" i="2" s="1"/>
  <c r="N15" i="2"/>
  <c r="O15" i="2" s="1"/>
  <c r="N16" i="2"/>
  <c r="O16" i="2" s="1"/>
  <c r="N17" i="2"/>
  <c r="O17" i="2" s="1"/>
  <c r="N18" i="2"/>
  <c r="O18" i="2" s="1"/>
  <c r="N19" i="2"/>
  <c r="O19" i="2" s="1"/>
  <c r="N20" i="2"/>
  <c r="O20" i="2" s="1"/>
  <c r="N21" i="2"/>
  <c r="O21" i="2" s="1"/>
  <c r="N22" i="2"/>
  <c r="O22" i="2" s="1"/>
  <c r="N23" i="2"/>
  <c r="O23" i="2" s="1"/>
  <c r="N24" i="2"/>
  <c r="O24" i="2" s="1"/>
  <c r="N25" i="2"/>
  <c r="O25" i="2" s="1"/>
  <c r="N26" i="2"/>
  <c r="O26" i="2" s="1"/>
  <c r="N27" i="2"/>
  <c r="O27" i="2" s="1"/>
  <c r="N28" i="2"/>
  <c r="O28" i="2" s="1"/>
  <c r="N29" i="2"/>
  <c r="O29" i="2" s="1"/>
  <c r="N30" i="2"/>
  <c r="O30" i="2" s="1"/>
  <c r="N31" i="2"/>
  <c r="O31" i="2" s="1"/>
  <c r="N32" i="2"/>
  <c r="O32" i="2" s="1"/>
  <c r="N33" i="2"/>
  <c r="O33" i="2" s="1"/>
  <c r="N34" i="2"/>
  <c r="O34" i="2" s="1"/>
  <c r="N35" i="2"/>
  <c r="O35" i="2" s="1"/>
  <c r="N36" i="2"/>
  <c r="O36" i="2" s="1"/>
  <c r="N37" i="2"/>
  <c r="O37" i="2" s="1"/>
  <c r="N38" i="2"/>
  <c r="O38" i="2" s="1"/>
  <c r="N39" i="2"/>
  <c r="O39" i="2" s="1"/>
  <c r="N40" i="2"/>
  <c r="O40" i="2" s="1"/>
  <c r="N41" i="2"/>
  <c r="O41" i="2" s="1"/>
  <c r="N42" i="2"/>
  <c r="O42" i="2" s="1"/>
  <c r="N43" i="2"/>
  <c r="O43" i="2" s="1"/>
  <c r="N44" i="2"/>
  <c r="O44" i="2" s="1"/>
  <c r="N45" i="2"/>
  <c r="O45" i="2" s="1"/>
  <c r="N46" i="2"/>
  <c r="O46" i="2" s="1"/>
  <c r="N47" i="2"/>
  <c r="O47" i="2" s="1"/>
  <c r="N48" i="2"/>
  <c r="O48" i="2" s="1"/>
  <c r="N49" i="2"/>
  <c r="O49" i="2" s="1"/>
  <c r="N50" i="2"/>
  <c r="O50" i="2" s="1"/>
  <c r="N51" i="2"/>
  <c r="O51" i="2" s="1"/>
  <c r="N52" i="2"/>
  <c r="O52" i="2" s="1"/>
  <c r="N53" i="2"/>
  <c r="O53" i="2" s="1"/>
  <c r="N54" i="2"/>
  <c r="O54" i="2" s="1"/>
  <c r="N55" i="2"/>
  <c r="O55" i="2" s="1"/>
  <c r="N56" i="2"/>
  <c r="O56" i="2" s="1"/>
  <c r="N57" i="2"/>
  <c r="O57" i="2" s="1"/>
  <c r="N58" i="2"/>
  <c r="O58" i="2" s="1"/>
  <c r="N59" i="2"/>
  <c r="O59" i="2" s="1"/>
  <c r="N60" i="2"/>
  <c r="O60" i="2" s="1"/>
  <c r="N61" i="2"/>
  <c r="O61" i="2" s="1"/>
  <c r="N62" i="2"/>
  <c r="O62" i="2" s="1"/>
  <c r="N63" i="2"/>
  <c r="O63" i="2" s="1"/>
  <c r="N64" i="2"/>
  <c r="O64" i="2" s="1"/>
  <c r="N65" i="2"/>
  <c r="O65" i="2" s="1"/>
  <c r="N66" i="2"/>
  <c r="O66" i="2" s="1"/>
  <c r="N67" i="2"/>
  <c r="O67" i="2" s="1"/>
  <c r="N68" i="2"/>
  <c r="O68" i="2" s="1"/>
  <c r="N69" i="2"/>
  <c r="O69" i="2" s="1"/>
  <c r="N70" i="2"/>
  <c r="O70" i="2" s="1"/>
  <c r="N71" i="2"/>
  <c r="O71" i="2" s="1"/>
  <c r="N72" i="2"/>
  <c r="O72" i="2" s="1"/>
  <c r="N73" i="2"/>
  <c r="O73" i="2" s="1"/>
  <c r="N74" i="2"/>
  <c r="O74" i="2" s="1"/>
  <c r="N75" i="2"/>
  <c r="O75" i="2" s="1"/>
  <c r="N76" i="2"/>
  <c r="O76" i="2" s="1"/>
  <c r="N77" i="2"/>
  <c r="O77" i="2" s="1"/>
  <c r="N78" i="2"/>
  <c r="O78" i="2" s="1"/>
  <c r="N79" i="2"/>
  <c r="O79" i="2" s="1"/>
  <c r="N80" i="2"/>
  <c r="O80" i="2" s="1"/>
  <c r="N81" i="2"/>
  <c r="O81" i="2" s="1"/>
  <c r="N82" i="2"/>
  <c r="O82" i="2" s="1"/>
  <c r="N83" i="2"/>
  <c r="O83" i="2" s="1"/>
  <c r="N84" i="2"/>
  <c r="O84" i="2" s="1"/>
  <c r="N85" i="2"/>
  <c r="O85" i="2" s="1"/>
  <c r="N86" i="2"/>
  <c r="O86" i="2" s="1"/>
  <c r="N87" i="2"/>
  <c r="O87" i="2" s="1"/>
  <c r="N88" i="2"/>
  <c r="O88" i="2" s="1"/>
  <c r="N89" i="2"/>
  <c r="O89" i="2" s="1"/>
  <c r="N90" i="2"/>
  <c r="O90" i="2" s="1"/>
  <c r="N91" i="2"/>
  <c r="O91" i="2" s="1"/>
  <c r="N92" i="2"/>
  <c r="O92" i="2" s="1"/>
  <c r="N93" i="2"/>
  <c r="O93" i="2" s="1"/>
  <c r="N94" i="2"/>
  <c r="O94" i="2" s="1"/>
  <c r="N95" i="2"/>
  <c r="O95" i="2" s="1"/>
  <c r="N96" i="2"/>
  <c r="O96" i="2" s="1"/>
  <c r="N97" i="2"/>
  <c r="O97" i="2" s="1"/>
  <c r="N98" i="2"/>
  <c r="O98" i="2" s="1"/>
  <c r="N99" i="2"/>
  <c r="O99" i="2" s="1"/>
  <c r="N100" i="2"/>
  <c r="O100" i="2" s="1"/>
  <c r="N101" i="2"/>
  <c r="O101" i="2" s="1"/>
  <c r="N102" i="2"/>
  <c r="O102" i="2" s="1"/>
  <c r="N103" i="2"/>
  <c r="O103" i="2" s="1"/>
  <c r="N104" i="2"/>
  <c r="O104" i="2" s="1"/>
  <c r="N105" i="2"/>
  <c r="O105" i="2" s="1"/>
  <c r="N106" i="2"/>
  <c r="O106" i="2" s="1"/>
  <c r="N107" i="2"/>
  <c r="O107" i="2" s="1"/>
  <c r="N108" i="2"/>
  <c r="O108" i="2" s="1"/>
  <c r="N109" i="2"/>
  <c r="O109" i="2" s="1"/>
  <c r="N110" i="2"/>
  <c r="O110" i="2" s="1"/>
  <c r="N111" i="2"/>
  <c r="O111" i="2" s="1"/>
  <c r="N112" i="2"/>
  <c r="O112" i="2" s="1"/>
  <c r="N113" i="2"/>
  <c r="O113" i="2" s="1"/>
  <c r="N114" i="2"/>
  <c r="O114" i="2" s="1"/>
  <c r="N115" i="2"/>
  <c r="O115" i="2" s="1"/>
  <c r="N116" i="2"/>
  <c r="O116" i="2" s="1"/>
  <c r="N117" i="2"/>
  <c r="O117" i="2" s="1"/>
  <c r="N118" i="2"/>
  <c r="O118" i="2" s="1"/>
  <c r="N119" i="2"/>
  <c r="O119" i="2" s="1"/>
  <c r="N120" i="2"/>
  <c r="O120" i="2" s="1"/>
  <c r="N121" i="2"/>
  <c r="O121" i="2" s="1"/>
  <c r="N122" i="2"/>
  <c r="O122" i="2" s="1"/>
  <c r="N123" i="2"/>
  <c r="O123" i="2" s="1"/>
  <c r="N124" i="2"/>
  <c r="O124" i="2" s="1"/>
  <c r="N125" i="2"/>
  <c r="O125" i="2" s="1"/>
  <c r="N126" i="2"/>
  <c r="O126" i="2" s="1"/>
  <c r="N127" i="2"/>
  <c r="O127" i="2" s="1"/>
  <c r="N128" i="2"/>
  <c r="O128" i="2" s="1"/>
  <c r="N129" i="2"/>
  <c r="O129" i="2" s="1"/>
  <c r="N130" i="2"/>
  <c r="O130" i="2" s="1"/>
  <c r="N131" i="2"/>
  <c r="O131" i="2" s="1"/>
  <c r="N132" i="2"/>
  <c r="O132" i="2" s="1"/>
  <c r="N133" i="2"/>
  <c r="O133" i="2" s="1"/>
  <c r="N134" i="2"/>
  <c r="O134" i="2" s="1"/>
  <c r="N135" i="2"/>
  <c r="O135" i="2" s="1"/>
  <c r="N136" i="2"/>
  <c r="O136" i="2" s="1"/>
  <c r="N137" i="2"/>
  <c r="O137" i="2" s="1"/>
  <c r="N138" i="2"/>
  <c r="O138" i="2" s="1"/>
  <c r="N139" i="2"/>
  <c r="O139" i="2" s="1"/>
  <c r="N140" i="2"/>
  <c r="O140" i="2" s="1"/>
  <c r="N141" i="2"/>
  <c r="O141" i="2" s="1"/>
  <c r="N142" i="2"/>
  <c r="O142" i="2" s="1"/>
  <c r="N143" i="2"/>
  <c r="O143" i="2" s="1"/>
  <c r="N144" i="2"/>
  <c r="O144" i="2" s="1"/>
  <c r="N145" i="2"/>
  <c r="O145" i="2" s="1"/>
  <c r="N146" i="2"/>
  <c r="O146" i="2" s="1"/>
  <c r="N147" i="2"/>
  <c r="O147" i="2" s="1"/>
  <c r="N148" i="2"/>
  <c r="O148" i="2" s="1"/>
  <c r="N149" i="2"/>
  <c r="O149" i="2" s="1"/>
  <c r="N150" i="2"/>
  <c r="O150" i="2" s="1"/>
  <c r="N151" i="2"/>
  <c r="O151" i="2" s="1"/>
  <c r="N152" i="2"/>
  <c r="O152" i="2" s="1"/>
  <c r="N153" i="2"/>
  <c r="O153" i="2" s="1"/>
  <c r="N154" i="2"/>
  <c r="O154" i="2" s="1"/>
  <c r="N155" i="2"/>
  <c r="O155" i="2" s="1"/>
  <c r="N156" i="2"/>
  <c r="O156" i="2" s="1"/>
  <c r="N157" i="2"/>
  <c r="O157" i="2" s="1"/>
  <c r="N158" i="2"/>
  <c r="O158" i="2" s="1"/>
  <c r="N159" i="2"/>
  <c r="O159" i="2" s="1"/>
  <c r="N160" i="2"/>
  <c r="O160" i="2" s="1"/>
  <c r="N161" i="2"/>
  <c r="O161" i="2" s="1"/>
  <c r="N162" i="2"/>
  <c r="O162" i="2" s="1"/>
  <c r="N163" i="2"/>
  <c r="O163" i="2" s="1"/>
  <c r="N164" i="2"/>
  <c r="O164" i="2" s="1"/>
  <c r="N165" i="2"/>
  <c r="O165" i="2" s="1"/>
  <c r="N166" i="2"/>
  <c r="O166" i="2" s="1"/>
  <c r="N167" i="2"/>
  <c r="O167" i="2" s="1"/>
  <c r="N168" i="2"/>
  <c r="O168" i="2" s="1"/>
  <c r="N169" i="2"/>
  <c r="O169" i="2" s="1"/>
  <c r="N170" i="2"/>
  <c r="O170" i="2" s="1"/>
  <c r="N171" i="2"/>
  <c r="O171" i="2" s="1"/>
  <c r="N172" i="2"/>
  <c r="O172" i="2" s="1"/>
  <c r="N173" i="2"/>
  <c r="O173" i="2" s="1"/>
  <c r="N174" i="2"/>
  <c r="O174" i="2" s="1"/>
  <c r="N175" i="2"/>
  <c r="O175" i="2" s="1"/>
  <c r="N176" i="2"/>
  <c r="O176" i="2" s="1"/>
  <c r="N177" i="2"/>
  <c r="O177" i="2" s="1"/>
  <c r="N178" i="2"/>
  <c r="O178" i="2" s="1"/>
  <c r="N179" i="2"/>
  <c r="O179" i="2" s="1"/>
  <c r="N180" i="2"/>
  <c r="O180" i="2" s="1"/>
  <c r="N181" i="2"/>
  <c r="O181" i="2" s="1"/>
  <c r="N182" i="2"/>
  <c r="O182" i="2" s="1"/>
  <c r="N183" i="2"/>
  <c r="O183" i="2" s="1"/>
  <c r="N184" i="2"/>
  <c r="O184" i="2" s="1"/>
  <c r="N185" i="2"/>
  <c r="O185" i="2" s="1"/>
  <c r="N186" i="2"/>
  <c r="O186" i="2" s="1"/>
  <c r="N187" i="2"/>
  <c r="O187" i="2" s="1"/>
  <c r="N188" i="2"/>
  <c r="O188" i="2" s="1"/>
  <c r="N189" i="2"/>
  <c r="O189" i="2" s="1"/>
  <c r="N190" i="2"/>
  <c r="O190" i="2" s="1"/>
  <c r="N191" i="2"/>
  <c r="O191" i="2" s="1"/>
  <c r="N192" i="2"/>
  <c r="O192" i="2" s="1"/>
  <c r="N193" i="2"/>
  <c r="O193" i="2" s="1"/>
  <c r="N194" i="2"/>
  <c r="O194" i="2" s="1"/>
  <c r="N195" i="2"/>
  <c r="O195" i="2" s="1"/>
  <c r="N196" i="2"/>
  <c r="O196" i="2" s="1"/>
  <c r="N197" i="2"/>
  <c r="O197" i="2" s="1"/>
  <c r="N198" i="2"/>
  <c r="O198" i="2" s="1"/>
  <c r="N199" i="2"/>
  <c r="O199" i="2" s="1"/>
  <c r="N200" i="2"/>
  <c r="O200" i="2" s="1"/>
  <c r="N201" i="2"/>
  <c r="O201" i="2" s="1"/>
  <c r="N202" i="2"/>
  <c r="O202" i="2" s="1"/>
  <c r="N203" i="2"/>
  <c r="O203" i="2" s="1"/>
  <c r="N204" i="2"/>
  <c r="O204" i="2" s="1"/>
  <c r="N205" i="2"/>
  <c r="O205" i="2" s="1"/>
  <c r="N206" i="2"/>
  <c r="O206" i="2" s="1"/>
  <c r="N207" i="2"/>
  <c r="O207" i="2" s="1"/>
  <c r="N208" i="2"/>
  <c r="O208" i="2" s="1"/>
  <c r="N209" i="2"/>
  <c r="O209" i="2" s="1"/>
  <c r="N210" i="2"/>
  <c r="O210" i="2" s="1"/>
  <c r="N211" i="2"/>
  <c r="O211" i="2" s="1"/>
  <c r="N212" i="2"/>
  <c r="O212" i="2" s="1"/>
  <c r="N213" i="2"/>
  <c r="O213" i="2" s="1"/>
  <c r="N214" i="2"/>
  <c r="O214" i="2" s="1"/>
  <c r="N215" i="2"/>
  <c r="O215" i="2" s="1"/>
  <c r="N216" i="2"/>
  <c r="O216" i="2" s="1"/>
  <c r="N217" i="2"/>
  <c r="O217" i="2" s="1"/>
  <c r="N218" i="2"/>
  <c r="O218" i="2" s="1"/>
  <c r="N219" i="2"/>
  <c r="O219" i="2" s="1"/>
  <c r="N220" i="2"/>
  <c r="O220" i="2" s="1"/>
  <c r="N221" i="2"/>
  <c r="O221" i="2" s="1"/>
  <c r="N222" i="2"/>
  <c r="O222" i="2" s="1"/>
  <c r="N223" i="2"/>
  <c r="O223" i="2" s="1"/>
  <c r="N224" i="2"/>
  <c r="O224" i="2" s="1"/>
  <c r="N225" i="2"/>
  <c r="O225" i="2" s="1"/>
  <c r="N226" i="2"/>
  <c r="O226" i="2" s="1"/>
  <c r="N227" i="2"/>
  <c r="O227" i="2" s="1"/>
  <c r="N228" i="2"/>
  <c r="O228" i="2" s="1"/>
  <c r="N229" i="2"/>
  <c r="O229" i="2" s="1"/>
  <c r="N230" i="2"/>
  <c r="O230" i="2" s="1"/>
  <c r="N231" i="2"/>
  <c r="O231" i="2" s="1"/>
  <c r="N232" i="2"/>
  <c r="O232" i="2" s="1"/>
  <c r="N233" i="2"/>
  <c r="O233" i="2" s="1"/>
  <c r="N234" i="2"/>
  <c r="O234" i="2" s="1"/>
  <c r="N235" i="2"/>
  <c r="O235" i="2" s="1"/>
  <c r="N236" i="2"/>
  <c r="O236" i="2" s="1"/>
  <c r="N237" i="2"/>
  <c r="O237" i="2" s="1"/>
  <c r="N238" i="2"/>
  <c r="O238" i="2" s="1"/>
  <c r="N239" i="2"/>
  <c r="O239" i="2" s="1"/>
  <c r="N240" i="2"/>
  <c r="O240" i="2" s="1"/>
  <c r="N241" i="2"/>
  <c r="O241" i="2" s="1"/>
  <c r="N242" i="2"/>
  <c r="O242" i="2" s="1"/>
  <c r="N243" i="2"/>
  <c r="O243" i="2" s="1"/>
  <c r="N244" i="2"/>
  <c r="O244" i="2" s="1"/>
  <c r="N245" i="2"/>
  <c r="O245" i="2" s="1"/>
  <c r="N246" i="2"/>
  <c r="O246" i="2" s="1"/>
  <c r="N247" i="2"/>
  <c r="O247" i="2" s="1"/>
  <c r="N248" i="2"/>
  <c r="O248" i="2" s="1"/>
  <c r="N249" i="2"/>
  <c r="O249" i="2" s="1"/>
  <c r="N250" i="2"/>
  <c r="O250" i="2" s="1"/>
  <c r="N251" i="2"/>
  <c r="O251" i="2" s="1"/>
  <c r="N252" i="2"/>
  <c r="O252" i="2" s="1"/>
  <c r="N253" i="2"/>
  <c r="O253" i="2" s="1"/>
  <c r="N254" i="2"/>
  <c r="O254" i="2" s="1"/>
  <c r="N255" i="2"/>
  <c r="O255" i="2" s="1"/>
  <c r="N256" i="2"/>
  <c r="O256" i="2" s="1"/>
  <c r="N257" i="2"/>
  <c r="O257" i="2" s="1"/>
  <c r="N258" i="2"/>
  <c r="O258" i="2" s="1"/>
  <c r="N259" i="2"/>
  <c r="O259" i="2" s="1"/>
  <c r="N260" i="2"/>
  <c r="O260" i="2" s="1"/>
  <c r="N261" i="2"/>
  <c r="O261" i="2" s="1"/>
  <c r="N262" i="2"/>
  <c r="O262" i="2" s="1"/>
  <c r="N263" i="2"/>
  <c r="O263" i="2" s="1"/>
  <c r="N264" i="2"/>
  <c r="O264" i="2" s="1"/>
  <c r="N265" i="2"/>
  <c r="O265" i="2" s="1"/>
  <c r="N266" i="2"/>
  <c r="O266" i="2" s="1"/>
  <c r="N267" i="2"/>
  <c r="O267" i="2" s="1"/>
  <c r="N268" i="2"/>
  <c r="O268" i="2" s="1"/>
  <c r="N269" i="2"/>
  <c r="O269" i="2" s="1"/>
  <c r="N270" i="2"/>
  <c r="O270" i="2" s="1"/>
  <c r="N271" i="2"/>
  <c r="O271" i="2" s="1"/>
  <c r="N272" i="2"/>
  <c r="O272" i="2" s="1"/>
  <c r="N273" i="2"/>
  <c r="O273" i="2" s="1"/>
  <c r="N274" i="2"/>
  <c r="O274" i="2" s="1"/>
  <c r="N275" i="2"/>
  <c r="O275" i="2" s="1"/>
  <c r="N276" i="2"/>
  <c r="O276" i="2" s="1"/>
  <c r="N277" i="2"/>
  <c r="O277" i="2" s="1"/>
  <c r="N278" i="2"/>
  <c r="O278" i="2" s="1"/>
  <c r="N279" i="2"/>
  <c r="O279" i="2" s="1"/>
  <c r="N280" i="2"/>
  <c r="O280" i="2" s="1"/>
  <c r="N281" i="2"/>
  <c r="O281" i="2" s="1"/>
  <c r="N282" i="2"/>
  <c r="O282" i="2" s="1"/>
  <c r="N283" i="2"/>
  <c r="O283" i="2" s="1"/>
  <c r="N284" i="2"/>
  <c r="O284" i="2" s="1"/>
  <c r="N285" i="2"/>
  <c r="O285" i="2" s="1"/>
  <c r="N286" i="2"/>
  <c r="O286" i="2" s="1"/>
  <c r="N287" i="2"/>
  <c r="O287" i="2" s="1"/>
  <c r="N288" i="2"/>
  <c r="O288" i="2" s="1"/>
  <c r="N289" i="2"/>
  <c r="O289" i="2" s="1"/>
  <c r="N290" i="2"/>
  <c r="O290" i="2" s="1"/>
  <c r="N291" i="2"/>
  <c r="O291" i="2" s="1"/>
  <c r="N292" i="2"/>
  <c r="O292" i="2" s="1"/>
  <c r="N293" i="2"/>
  <c r="O293" i="2" s="1"/>
  <c r="N294" i="2"/>
  <c r="O294" i="2" s="1"/>
  <c r="N295" i="2"/>
  <c r="O295" i="2" s="1"/>
  <c r="N296" i="2"/>
  <c r="O296" i="2" s="1"/>
  <c r="N297" i="2"/>
  <c r="O297" i="2" s="1"/>
  <c r="N298" i="2"/>
  <c r="O298" i="2" s="1"/>
  <c r="N299" i="2"/>
  <c r="O299" i="2" s="1"/>
  <c r="N300" i="2"/>
  <c r="O300" i="2" s="1"/>
  <c r="N301" i="2"/>
  <c r="O301" i="2" s="1"/>
  <c r="N302" i="2"/>
  <c r="O302" i="2" s="1"/>
  <c r="N303" i="2"/>
  <c r="O303" i="2" s="1"/>
  <c r="N304" i="2"/>
  <c r="O304" i="2" s="1"/>
  <c r="N305" i="2"/>
  <c r="O305" i="2" s="1"/>
  <c r="N306" i="2"/>
  <c r="O306" i="2" s="1"/>
  <c r="N307" i="2"/>
  <c r="O307" i="2" s="1"/>
  <c r="N308" i="2"/>
  <c r="O308" i="2" s="1"/>
  <c r="N309" i="2"/>
  <c r="O309" i="2" s="1"/>
  <c r="N310" i="2"/>
  <c r="O310" i="2" s="1"/>
  <c r="N311" i="2"/>
  <c r="O311" i="2" s="1"/>
  <c r="N312" i="2"/>
  <c r="O312" i="2" s="1"/>
  <c r="N313" i="2"/>
  <c r="O313" i="2" s="1"/>
  <c r="N314" i="2"/>
  <c r="O314" i="2" s="1"/>
  <c r="N315" i="2"/>
  <c r="O315" i="2" s="1"/>
  <c r="N316" i="2"/>
  <c r="O316" i="2" s="1"/>
  <c r="N317" i="2"/>
  <c r="O317" i="2" s="1"/>
  <c r="N318" i="2"/>
  <c r="O318" i="2" s="1"/>
  <c r="N319" i="2"/>
  <c r="O319" i="2" s="1"/>
  <c r="N320" i="2"/>
  <c r="O320" i="2" s="1"/>
  <c r="N321" i="2"/>
  <c r="O321" i="2" s="1"/>
  <c r="N322" i="2"/>
  <c r="O322" i="2" s="1"/>
  <c r="N323" i="2"/>
  <c r="O323" i="2" s="1"/>
  <c r="N324" i="2"/>
  <c r="O324" i="2" s="1"/>
  <c r="N325" i="2"/>
  <c r="O325" i="2" s="1"/>
  <c r="N326" i="2"/>
  <c r="O326" i="2" s="1"/>
  <c r="N327" i="2"/>
  <c r="O327" i="2" s="1"/>
  <c r="N328" i="2"/>
  <c r="O328" i="2" s="1"/>
  <c r="N329" i="2"/>
  <c r="O329" i="2" s="1"/>
  <c r="N330" i="2"/>
  <c r="O330" i="2" s="1"/>
  <c r="N331" i="2"/>
  <c r="O331" i="2" s="1"/>
  <c r="N332" i="2"/>
  <c r="O332" i="2" s="1"/>
  <c r="N333" i="2"/>
  <c r="O333" i="2" s="1"/>
  <c r="N334" i="2"/>
  <c r="O334" i="2" s="1"/>
  <c r="N335" i="2"/>
  <c r="O335" i="2" s="1"/>
  <c r="N336" i="2"/>
  <c r="O336" i="2" s="1"/>
  <c r="N337" i="2"/>
  <c r="O337" i="2" s="1"/>
  <c r="N338" i="2"/>
  <c r="O338" i="2" s="1"/>
  <c r="N339" i="2"/>
  <c r="O339" i="2" s="1"/>
  <c r="N340" i="2"/>
  <c r="O340" i="2" s="1"/>
  <c r="N341" i="2"/>
  <c r="O341" i="2" s="1"/>
  <c r="N342" i="2"/>
  <c r="O342" i="2" s="1"/>
  <c r="N343" i="2"/>
  <c r="O343" i="2" s="1"/>
  <c r="N344" i="2"/>
  <c r="O344" i="2" s="1"/>
  <c r="N345" i="2"/>
  <c r="O345" i="2" s="1"/>
  <c r="N346" i="2"/>
  <c r="O346" i="2" s="1"/>
  <c r="N347" i="2"/>
  <c r="O347" i="2" s="1"/>
  <c r="N348" i="2"/>
  <c r="O348" i="2" s="1"/>
  <c r="N349" i="2"/>
  <c r="O349" i="2" s="1"/>
  <c r="N350" i="2"/>
  <c r="O350" i="2" s="1"/>
  <c r="N351" i="2"/>
  <c r="O351" i="2" s="1"/>
  <c r="N352" i="2"/>
  <c r="O352" i="2" s="1"/>
  <c r="N353" i="2"/>
  <c r="O353" i="2" s="1"/>
  <c r="N354" i="2"/>
  <c r="O354" i="2" s="1"/>
  <c r="N355" i="2"/>
  <c r="O355" i="2" s="1"/>
  <c r="N356" i="2"/>
  <c r="O356" i="2" s="1"/>
  <c r="N357" i="2"/>
  <c r="O357" i="2" s="1"/>
  <c r="N358" i="2"/>
  <c r="O358" i="2" s="1"/>
  <c r="N359" i="2"/>
  <c r="O359" i="2" s="1"/>
  <c r="N360" i="2"/>
  <c r="O360" i="2" s="1"/>
  <c r="N361" i="2"/>
  <c r="O361" i="2" s="1"/>
  <c r="N362" i="2"/>
  <c r="O362" i="2" s="1"/>
  <c r="N363" i="2"/>
  <c r="O363" i="2" s="1"/>
  <c r="N364" i="2"/>
  <c r="O364" i="2" s="1"/>
  <c r="N365" i="2"/>
  <c r="O365" i="2" s="1"/>
  <c r="N366" i="2"/>
  <c r="O366" i="2" s="1"/>
  <c r="N367" i="2"/>
  <c r="O367" i="2" s="1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O377" i="2" s="1"/>
  <c r="N378" i="2"/>
  <c r="O378" i="2" s="1"/>
  <c r="N379" i="2"/>
  <c r="O379" i="2" s="1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O385" i="2" s="1"/>
  <c r="N386" i="2"/>
  <c r="O386" i="2" s="1"/>
  <c r="N387" i="2"/>
  <c r="O387" i="2" s="1"/>
  <c r="N388" i="2"/>
  <c r="O388" i="2" s="1"/>
  <c r="N389" i="2"/>
  <c r="O389" i="2" s="1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O397" i="2" s="1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O417" i="2" s="1"/>
  <c r="N418" i="2"/>
  <c r="O418" i="2" s="1"/>
  <c r="N419" i="2"/>
  <c r="O419" i="2" s="1"/>
  <c r="N420" i="2"/>
  <c r="O420" i="2" s="1"/>
  <c r="N421" i="2"/>
  <c r="O421" i="2" s="1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O441" i="2" s="1"/>
  <c r="N442" i="2"/>
  <c r="O442" i="2" s="1"/>
  <c r="N443" i="2"/>
  <c r="O443" i="2" s="1"/>
  <c r="N444" i="2"/>
  <c r="O444" i="2" s="1"/>
  <c r="N445" i="2"/>
  <c r="O445" i="2" s="1"/>
  <c r="N446" i="2"/>
  <c r="O446" i="2" s="1"/>
  <c r="N447" i="2"/>
  <c r="O447" i="2" s="1"/>
  <c r="N448" i="2"/>
  <c r="O448" i="2" s="1"/>
  <c r="N449" i="2"/>
  <c r="O449" i="2" s="1"/>
  <c r="N450" i="2"/>
  <c r="O450" i="2" s="1"/>
  <c r="N451" i="2"/>
  <c r="O451" i="2" s="1"/>
  <c r="N452" i="2"/>
  <c r="O452" i="2" s="1"/>
  <c r="N453" i="2"/>
  <c r="O453" i="2" s="1"/>
  <c r="N454" i="2"/>
  <c r="O454" i="2" s="1"/>
  <c r="N455" i="2"/>
  <c r="O455" i="2" s="1"/>
  <c r="N456" i="2"/>
  <c r="O456" i="2" s="1"/>
  <c r="N457" i="2"/>
  <c r="O457" i="2" s="1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O470" i="2" s="1"/>
  <c r="N471" i="2"/>
  <c r="O471" i="2" s="1"/>
  <c r="N472" i="2"/>
  <c r="O472" i="2" s="1"/>
  <c r="N473" i="2"/>
  <c r="O473" i="2" s="1"/>
  <c r="N474" i="2"/>
  <c r="O474" i="2" s="1"/>
  <c r="N475" i="2"/>
  <c r="O475" i="2" s="1"/>
  <c r="N476" i="2"/>
  <c r="O476" i="2" s="1"/>
  <c r="N477" i="2"/>
  <c r="O477" i="2" s="1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O485" i="2" s="1"/>
  <c r="N486" i="2"/>
  <c r="O486" i="2" s="1"/>
  <c r="N487" i="2"/>
  <c r="O487" i="2" s="1"/>
  <c r="N488" i="2"/>
  <c r="O488" i="2" s="1"/>
  <c r="N489" i="2"/>
  <c r="O489" i="2" s="1"/>
  <c r="N490" i="2"/>
  <c r="O490" i="2" s="1"/>
  <c r="N491" i="2"/>
  <c r="O491" i="2" s="1"/>
  <c r="N492" i="2"/>
  <c r="O492" i="2" s="1"/>
  <c r="N493" i="2"/>
  <c r="O493" i="2" s="1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O505" i="2" s="1"/>
  <c r="N506" i="2"/>
  <c r="O506" i="2" s="1"/>
  <c r="N507" i="2"/>
  <c r="O507" i="2" s="1"/>
  <c r="N508" i="2"/>
  <c r="O508" i="2" s="1"/>
  <c r="N509" i="2"/>
  <c r="O509" i="2" s="1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O517" i="2" s="1"/>
  <c r="N518" i="2"/>
  <c r="O518" i="2" s="1"/>
  <c r="N519" i="2"/>
  <c r="O519" i="2" s="1"/>
  <c r="N520" i="2"/>
  <c r="O520" i="2" s="1"/>
  <c r="N521" i="2"/>
  <c r="O521" i="2" s="1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O537" i="2" s="1"/>
  <c r="N538" i="2"/>
  <c r="O538" i="2" s="1"/>
  <c r="N539" i="2"/>
  <c r="O539" i="2" s="1"/>
  <c r="N540" i="2"/>
  <c r="O540" i="2" s="1"/>
  <c r="N541" i="2"/>
  <c r="O541" i="2" s="1"/>
  <c r="N542" i="2"/>
  <c r="O542" i="2" s="1"/>
  <c r="N543" i="2"/>
  <c r="O543" i="2" s="1"/>
  <c r="N544" i="2"/>
  <c r="O544" i="2" s="1"/>
  <c r="N545" i="2"/>
  <c r="O545" i="2" s="1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O553" i="2" s="1"/>
  <c r="N554" i="2"/>
  <c r="O554" i="2" s="1"/>
  <c r="N555" i="2"/>
  <c r="O555" i="2" s="1"/>
  <c r="N556" i="2"/>
  <c r="O556" i="2" s="1"/>
  <c r="N557" i="2"/>
  <c r="O557" i="2" s="1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O569" i="2" s="1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O577" i="2" s="1"/>
  <c r="N578" i="2"/>
  <c r="O578" i="2" s="1"/>
  <c r="N579" i="2"/>
  <c r="O579" i="2" s="1"/>
  <c r="N580" i="2"/>
  <c r="O580" i="2" s="1"/>
  <c r="N581" i="2"/>
  <c r="O581" i="2" s="1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O589" i="2" s="1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O601" i="2" s="1"/>
  <c r="N602" i="2"/>
  <c r="O602" i="2" s="1"/>
  <c r="N603" i="2"/>
  <c r="O603" i="2" s="1"/>
  <c r="N604" i="2"/>
  <c r="O604" i="2" s="1"/>
  <c r="N605" i="2"/>
  <c r="O605" i="2" s="1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O613" i="2" s="1"/>
  <c r="N614" i="2"/>
  <c r="O614" i="2" s="1"/>
  <c r="N615" i="2"/>
  <c r="O615" i="2" s="1"/>
  <c r="N616" i="2"/>
  <c r="O616" i="2" s="1"/>
  <c r="N617" i="2"/>
  <c r="O617" i="2" s="1"/>
  <c r="N618" i="2"/>
  <c r="O618" i="2" s="1"/>
  <c r="N619" i="2"/>
  <c r="O619" i="2" s="1"/>
  <c r="N620" i="2"/>
  <c r="O620" i="2" s="1"/>
  <c r="N621" i="2"/>
  <c r="O621" i="2" s="1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O637" i="2" s="1"/>
  <c r="N638" i="2"/>
  <c r="O638" i="2" s="1"/>
  <c r="N639" i="2"/>
  <c r="O639" i="2" s="1"/>
  <c r="N640" i="2"/>
  <c r="O640" i="2" s="1"/>
  <c r="N641" i="2"/>
  <c r="O641" i="2" s="1"/>
  <c r="N642" i="2"/>
  <c r="O642" i="2" s="1"/>
  <c r="N643" i="2"/>
  <c r="O643" i="2" s="1"/>
  <c r="N644" i="2"/>
  <c r="O644" i="2" s="1"/>
  <c r="N645" i="2"/>
  <c r="O645" i="2" s="1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O653" i="2" s="1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O664" i="2" s="1"/>
  <c r="N665" i="2"/>
  <c r="O665" i="2" s="1"/>
  <c r="N666" i="2"/>
  <c r="O666" i="2" s="1"/>
  <c r="N667" i="2"/>
  <c r="O667" i="2" s="1"/>
  <c r="N668" i="2"/>
  <c r="O668" i="2" s="1"/>
  <c r="N669" i="2"/>
  <c r="O669" i="2" s="1"/>
  <c r="N670" i="2"/>
  <c r="O670" i="2" s="1"/>
  <c r="N671" i="2"/>
  <c r="O671" i="2" s="1"/>
  <c r="N672" i="2"/>
  <c r="O672" i="2" s="1"/>
  <c r="N673" i="2"/>
  <c r="O673" i="2" s="1"/>
  <c r="N674" i="2"/>
  <c r="O674" i="2" s="1"/>
  <c r="N675" i="2"/>
  <c r="O675" i="2" s="1"/>
  <c r="N676" i="2"/>
  <c r="O676" i="2" s="1"/>
  <c r="N677" i="2"/>
  <c r="O677" i="2" s="1"/>
  <c r="N678" i="2"/>
  <c r="O678" i="2" s="1"/>
  <c r="N679" i="2"/>
  <c r="O679" i="2" s="1"/>
  <c r="N680" i="2"/>
  <c r="O680" i="2" s="1"/>
  <c r="N681" i="2"/>
  <c r="O681" i="2" s="1"/>
  <c r="N682" i="2"/>
  <c r="O682" i="2" s="1"/>
  <c r="N683" i="2"/>
  <c r="O683" i="2" s="1"/>
  <c r="N684" i="2"/>
  <c r="O684" i="2" s="1"/>
  <c r="N685" i="2"/>
  <c r="O685" i="2" s="1"/>
  <c r="N686" i="2"/>
  <c r="O686" i="2" s="1"/>
  <c r="N687" i="2"/>
  <c r="O687" i="2" s="1"/>
  <c r="N688" i="2"/>
  <c r="O688" i="2" s="1"/>
  <c r="N689" i="2"/>
  <c r="O689" i="2" s="1"/>
  <c r="N690" i="2"/>
  <c r="O690" i="2" s="1"/>
  <c r="R690" i="2" s="1"/>
  <c r="N691" i="2"/>
  <c r="O691" i="2" s="1"/>
  <c r="R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O697" i="2" s="1"/>
  <c r="N698" i="2"/>
  <c r="O698" i="2" s="1"/>
  <c r="N699" i="2"/>
  <c r="O699" i="2" s="1"/>
  <c r="N700" i="2"/>
  <c r="O700" i="2" s="1"/>
  <c r="R700" i="2" s="1"/>
  <c r="N701" i="2"/>
  <c r="O701" i="2" s="1"/>
  <c r="N702" i="2"/>
  <c r="O702" i="2" s="1"/>
  <c r="N703" i="2"/>
  <c r="O703" i="2" s="1"/>
  <c r="R703" i="2" s="1"/>
  <c r="N704" i="2"/>
  <c r="O704" i="2" s="1"/>
  <c r="N705" i="2"/>
  <c r="O705" i="2" s="1"/>
  <c r="N706" i="2"/>
  <c r="O706" i="2" s="1"/>
  <c r="N707" i="2"/>
  <c r="O707" i="2" s="1"/>
  <c r="N708" i="2"/>
  <c r="O708" i="2" s="1"/>
  <c r="N709" i="2"/>
  <c r="O709" i="2" s="1"/>
  <c r="N710" i="2"/>
  <c r="O710" i="2" s="1"/>
  <c r="N711" i="2"/>
  <c r="O711" i="2" s="1"/>
  <c r="N712" i="2"/>
  <c r="O712" i="2" s="1"/>
  <c r="R712" i="2" s="1"/>
  <c r="N713" i="2"/>
  <c r="O713" i="2" s="1"/>
  <c r="R713" i="2" s="1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R722" i="2" s="1"/>
  <c r="N723" i="2"/>
  <c r="O723" i="2" s="1"/>
  <c r="R723" i="2" s="1"/>
  <c r="N724" i="2"/>
  <c r="O724" i="2" s="1"/>
  <c r="N725" i="2"/>
  <c r="O725" i="2" s="1"/>
  <c r="N726" i="2"/>
  <c r="O726" i="2" s="1"/>
  <c r="N727" i="2"/>
  <c r="O727" i="2" s="1"/>
  <c r="N728" i="2"/>
  <c r="O728" i="2" s="1"/>
  <c r="N729" i="2"/>
  <c r="O729" i="2" s="1"/>
  <c r="N730" i="2"/>
  <c r="O730" i="2" s="1"/>
  <c r="N731" i="2"/>
  <c r="O731" i="2" s="1"/>
  <c r="N732" i="2"/>
  <c r="O732" i="2" s="1"/>
  <c r="R732" i="2" s="1"/>
  <c r="N733" i="2"/>
  <c r="O733" i="2" s="1"/>
  <c r="N734" i="2"/>
  <c r="O734" i="2" s="1"/>
  <c r="N735" i="2"/>
  <c r="O735" i="2" s="1"/>
  <c r="R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O741" i="2" s="1"/>
  <c r="N742" i="2"/>
  <c r="O742" i="2" s="1"/>
  <c r="N743" i="2"/>
  <c r="O743" i="2" s="1"/>
  <c r="N744" i="2"/>
  <c r="O744" i="2" s="1"/>
  <c r="R744" i="2" s="1"/>
  <c r="N745" i="2"/>
  <c r="O745" i="2" s="1"/>
  <c r="R745" i="2" s="1"/>
  <c r="N746" i="2"/>
  <c r="O746" i="2" s="1"/>
  <c r="N747" i="2"/>
  <c r="O747" i="2" s="1"/>
  <c r="N748" i="2"/>
  <c r="O748" i="2" s="1"/>
  <c r="N749" i="2"/>
  <c r="O749" i="2" s="1"/>
  <c r="N750" i="2"/>
  <c r="O750" i="2" s="1"/>
  <c r="N751" i="2"/>
  <c r="O751" i="2" s="1"/>
  <c r="N752" i="2"/>
  <c r="O752" i="2" s="1"/>
  <c r="N753" i="2"/>
  <c r="O753" i="2" s="1"/>
  <c r="N754" i="2"/>
  <c r="O754" i="2" s="1"/>
  <c r="R754" i="2" s="1"/>
  <c r="N755" i="2"/>
  <c r="O755" i="2" s="1"/>
  <c r="R755" i="2" s="1"/>
  <c r="N756" i="2"/>
  <c r="O756" i="2" s="1"/>
  <c r="N757" i="2"/>
  <c r="O757" i="2" s="1"/>
  <c r="N758" i="2"/>
  <c r="O758" i="2" s="1"/>
  <c r="N759" i="2"/>
  <c r="O759" i="2" s="1"/>
  <c r="N760" i="2"/>
  <c r="O760" i="2" s="1"/>
  <c r="N761" i="2"/>
  <c r="O761" i="2" s="1"/>
  <c r="N762" i="2"/>
  <c r="O762" i="2" s="1"/>
  <c r="N763" i="2"/>
  <c r="O763" i="2" s="1"/>
  <c r="N764" i="2"/>
  <c r="O764" i="2" s="1"/>
  <c r="R764" i="2" s="1"/>
  <c r="N765" i="2"/>
  <c r="O765" i="2" s="1"/>
  <c r="N766" i="2"/>
  <c r="O766" i="2" s="1"/>
  <c r="N767" i="2"/>
  <c r="O767" i="2" s="1"/>
  <c r="N768" i="2"/>
  <c r="O768" i="2" s="1"/>
  <c r="N769" i="2"/>
  <c r="O769" i="2" s="1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R775" i="2" s="1"/>
  <c r="N776" i="2"/>
  <c r="O776" i="2" s="1"/>
  <c r="R776" i="2" s="1"/>
  <c r="N777" i="2"/>
  <c r="O777" i="2" s="1"/>
  <c r="N778" i="2"/>
  <c r="O778" i="2" s="1"/>
  <c r="N779" i="2"/>
  <c r="O779" i="2" s="1"/>
  <c r="N780" i="2"/>
  <c r="O780" i="2" s="1"/>
  <c r="N781" i="2"/>
  <c r="O781" i="2" s="1"/>
  <c r="N782" i="2"/>
  <c r="O782" i="2" s="1"/>
  <c r="N783" i="2"/>
  <c r="O783" i="2" s="1"/>
  <c r="N784" i="2"/>
  <c r="O784" i="2" s="1"/>
  <c r="R784" i="2" s="1"/>
  <c r="N785" i="2"/>
  <c r="O785" i="2" s="1"/>
  <c r="R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R793" i="2" s="1"/>
  <c r="N794" i="2"/>
  <c r="O794" i="2" s="1"/>
  <c r="R794" i="2" s="1"/>
  <c r="N795" i="2"/>
  <c r="O795" i="2" s="1"/>
  <c r="N796" i="2"/>
  <c r="O796" i="2" s="1"/>
  <c r="N797" i="2"/>
  <c r="O797" i="2" s="1"/>
  <c r="N798" i="2"/>
  <c r="O798" i="2" s="1"/>
  <c r="N799" i="2"/>
  <c r="O799" i="2" s="1"/>
  <c r="N800" i="2"/>
  <c r="O800" i="2" s="1"/>
  <c r="N801" i="2"/>
  <c r="O801" i="2" s="1"/>
  <c r="N802" i="2"/>
  <c r="O802" i="2" s="1"/>
  <c r="R802" i="2" s="1"/>
  <c r="N803" i="2"/>
  <c r="O803" i="2" s="1"/>
  <c r="R803" i="2" s="1"/>
  <c r="N804" i="2"/>
  <c r="O804" i="2" s="1"/>
  <c r="N805" i="2"/>
  <c r="O805" i="2" s="1"/>
  <c r="N806" i="2"/>
  <c r="O806" i="2" s="1"/>
  <c r="N807" i="2"/>
  <c r="O807" i="2" s="1"/>
  <c r="N808" i="2"/>
  <c r="O808" i="2" s="1"/>
  <c r="N809" i="2"/>
  <c r="O809" i="2" s="1"/>
  <c r="N810" i="2"/>
  <c r="O810" i="2" s="1"/>
  <c r="N811" i="2"/>
  <c r="O811" i="2" s="1"/>
  <c r="R811" i="2" s="1"/>
  <c r="N812" i="2"/>
  <c r="O812" i="2" s="1"/>
  <c r="R812" i="2" s="1"/>
  <c r="N813" i="2"/>
  <c r="O813" i="2" s="1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R820" i="2" s="1"/>
  <c r="N821" i="2"/>
  <c r="O821" i="2" s="1"/>
  <c r="R821" i="2" s="1"/>
  <c r="N822" i="2"/>
  <c r="O822" i="2" s="1"/>
  <c r="N823" i="2"/>
  <c r="O823" i="2" s="1"/>
  <c r="N824" i="2"/>
  <c r="O824" i="2" s="1"/>
  <c r="N825" i="2"/>
  <c r="O825" i="2" s="1"/>
  <c r="N826" i="2"/>
  <c r="O826" i="2" s="1"/>
  <c r="N827" i="2"/>
  <c r="O827" i="2" s="1"/>
  <c r="N828" i="2"/>
  <c r="O828" i="2" s="1"/>
  <c r="N829" i="2"/>
  <c r="O829" i="2" s="1"/>
  <c r="R829" i="2" s="1"/>
  <c r="N830" i="2"/>
  <c r="O830" i="2" s="1"/>
  <c r="N831" i="2"/>
  <c r="O831" i="2" s="1"/>
  <c r="R831" i="2" s="1"/>
  <c r="N832" i="2"/>
  <c r="O832" i="2" s="1"/>
  <c r="N833" i="2"/>
  <c r="O833" i="2" s="1"/>
  <c r="N834" i="2"/>
  <c r="O834" i="2" s="1"/>
  <c r="N835" i="2"/>
  <c r="O835" i="2" s="1"/>
  <c r="N836" i="2"/>
  <c r="O836" i="2" s="1"/>
  <c r="N837" i="2"/>
  <c r="O837" i="2" s="1"/>
  <c r="N838" i="2"/>
  <c r="O838" i="2" s="1"/>
  <c r="N839" i="2"/>
  <c r="O839" i="2" s="1"/>
  <c r="R839" i="2" s="1"/>
  <c r="N840" i="2"/>
  <c r="O840" i="2" s="1"/>
  <c r="N841" i="2"/>
  <c r="O841" i="2" s="1"/>
  <c r="N842" i="2"/>
  <c r="O842" i="2" s="1"/>
  <c r="N843" i="2"/>
  <c r="O843" i="2" s="1"/>
  <c r="N844" i="2"/>
  <c r="O844" i="2" s="1"/>
  <c r="N845" i="2"/>
  <c r="O845" i="2" s="1"/>
  <c r="N846" i="2"/>
  <c r="O846" i="2" s="1"/>
  <c r="N847" i="2"/>
  <c r="O847" i="2" s="1"/>
  <c r="N848" i="2"/>
  <c r="O848" i="2" s="1"/>
  <c r="R848" i="2" s="1"/>
  <c r="N849" i="2"/>
  <c r="O849" i="2" s="1"/>
  <c r="R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O857" i="2" s="1"/>
  <c r="R857" i="2" s="1"/>
  <c r="N858" i="2"/>
  <c r="O858" i="2" s="1"/>
  <c r="R858" i="2" s="1"/>
  <c r="N859" i="2"/>
  <c r="O859" i="2" s="1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O865" i="2" s="1"/>
  <c r="N866" i="2"/>
  <c r="O866" i="2" s="1"/>
  <c r="R866" i="2" s="1"/>
  <c r="N867" i="2"/>
  <c r="O867" i="2" s="1"/>
  <c r="R867" i="2" s="1"/>
  <c r="N868" i="2"/>
  <c r="O868" i="2" s="1"/>
  <c r="N869" i="2"/>
  <c r="O869" i="2" s="1"/>
  <c r="N870" i="2"/>
  <c r="O870" i="2" s="1"/>
  <c r="N871" i="2"/>
  <c r="O871" i="2" s="1"/>
  <c r="N872" i="2"/>
  <c r="O872" i="2" s="1"/>
  <c r="N873" i="2"/>
  <c r="O873" i="2" s="1"/>
  <c r="N874" i="2"/>
  <c r="O874" i="2" s="1"/>
  <c r="N875" i="2"/>
  <c r="O875" i="2" s="1"/>
  <c r="R875" i="2" s="1"/>
  <c r="N876" i="2"/>
  <c r="O876" i="2" s="1"/>
  <c r="N877" i="2"/>
  <c r="O877" i="2" s="1"/>
  <c r="N878" i="2"/>
  <c r="O878" i="2" s="1"/>
  <c r="N879" i="2"/>
  <c r="O879" i="2" s="1"/>
  <c r="N880" i="2"/>
  <c r="O880" i="2" s="1"/>
  <c r="N881" i="2"/>
  <c r="O881" i="2" s="1"/>
  <c r="N882" i="2"/>
  <c r="O882" i="2" s="1"/>
  <c r="N883" i="2"/>
  <c r="O883" i="2" s="1"/>
  <c r="N884" i="2"/>
  <c r="O884" i="2" s="1"/>
  <c r="R884" i="2" s="1"/>
  <c r="N885" i="2"/>
  <c r="O885" i="2" s="1"/>
  <c r="R885" i="2" s="1"/>
  <c r="N886" i="2"/>
  <c r="O886" i="2" s="1"/>
  <c r="N887" i="2"/>
  <c r="O887" i="2" s="1"/>
  <c r="N888" i="2"/>
  <c r="O888" i="2" s="1"/>
  <c r="N889" i="2"/>
  <c r="O889" i="2" s="1"/>
  <c r="N890" i="2"/>
  <c r="O890" i="2" s="1"/>
  <c r="N891" i="2"/>
  <c r="O891" i="2" s="1"/>
  <c r="N892" i="2"/>
  <c r="O892" i="2" s="1"/>
  <c r="N893" i="2"/>
  <c r="O893" i="2" s="1"/>
  <c r="R893" i="2" s="1"/>
  <c r="N894" i="2"/>
  <c r="O894" i="2" s="1"/>
  <c r="N895" i="2"/>
  <c r="O895" i="2" s="1"/>
  <c r="R895" i="2" s="1"/>
  <c r="N896" i="2"/>
  <c r="O896" i="2" s="1"/>
  <c r="N897" i="2"/>
  <c r="O897" i="2" s="1"/>
  <c r="N898" i="2"/>
  <c r="O898" i="2" s="1"/>
  <c r="N899" i="2"/>
  <c r="O899" i="2" s="1"/>
  <c r="N900" i="2"/>
  <c r="O900" i="2" s="1"/>
  <c r="N901" i="2"/>
  <c r="O901" i="2" s="1"/>
  <c r="N902" i="2"/>
  <c r="O902" i="2" s="1"/>
  <c r="N903" i="2"/>
  <c r="O903" i="2" s="1"/>
  <c r="R903" i="2" s="1"/>
  <c r="N904" i="2"/>
  <c r="O904" i="2" s="1"/>
  <c r="R904" i="2" s="1"/>
  <c r="N905" i="2"/>
  <c r="O905" i="2" s="1"/>
  <c r="N906" i="2"/>
  <c r="O906" i="2" s="1"/>
  <c r="N907" i="2"/>
  <c r="O907" i="2" s="1"/>
  <c r="N908" i="2"/>
  <c r="O908" i="2" s="1"/>
  <c r="N909" i="2"/>
  <c r="O909" i="2" s="1"/>
  <c r="N910" i="2"/>
  <c r="O910" i="2" s="1"/>
  <c r="N911" i="2"/>
  <c r="O911" i="2" s="1"/>
  <c r="N912" i="2"/>
  <c r="O912" i="2" s="1"/>
  <c r="R912" i="2" s="1"/>
  <c r="N913" i="2"/>
  <c r="O913" i="2" s="1"/>
  <c r="R913" i="2" s="1"/>
  <c r="N914" i="2"/>
  <c r="O914" i="2" s="1"/>
  <c r="N915" i="2"/>
  <c r="O915" i="2" s="1"/>
  <c r="N916" i="2"/>
  <c r="O916" i="2" s="1"/>
  <c r="N917" i="2"/>
  <c r="O917" i="2" s="1"/>
  <c r="N918" i="2"/>
  <c r="O918" i="2" s="1"/>
  <c r="N919" i="2"/>
  <c r="O919" i="2" s="1"/>
  <c r="N920" i="2"/>
  <c r="O920" i="2" s="1"/>
  <c r="N921" i="2"/>
  <c r="O921" i="2" s="1"/>
  <c r="R921" i="2" s="1"/>
  <c r="N922" i="2"/>
  <c r="O922" i="2" s="1"/>
  <c r="R922" i="2" s="1"/>
  <c r="N6" i="2"/>
  <c r="O6" i="2" s="1"/>
  <c r="N4" i="2"/>
  <c r="O4" i="2" s="1"/>
  <c r="N5" i="2"/>
  <c r="O5" i="2" s="1"/>
  <c r="N3" i="2"/>
  <c r="O3" i="2" s="1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J3" i="2"/>
  <c r="J4" i="2"/>
  <c r="J5" i="2"/>
  <c r="J2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I2" i="2"/>
  <c r="I9" i="2"/>
  <c r="I8" i="2"/>
  <c r="O10" i="5" l="1"/>
  <c r="O9" i="5"/>
  <c r="O8" i="5"/>
  <c r="O11" i="5"/>
  <c r="U940" i="2"/>
  <c r="U1136" i="2"/>
  <c r="U968" i="2"/>
  <c r="U1128" i="2"/>
  <c r="U1112" i="2"/>
  <c r="U1106" i="2"/>
  <c r="U1104" i="2"/>
  <c r="U1040" i="2"/>
  <c r="U985" i="2"/>
  <c r="R996" i="2"/>
  <c r="U976" i="2"/>
  <c r="R1130" i="2"/>
  <c r="U1130" i="2"/>
  <c r="U1122" i="2"/>
  <c r="R1122" i="2"/>
  <c r="U1098" i="2"/>
  <c r="R1098" i="2"/>
  <c r="U1090" i="2"/>
  <c r="R1090" i="2"/>
  <c r="U1010" i="2"/>
  <c r="R1010" i="2"/>
  <c r="U994" i="2"/>
  <c r="R994" i="2"/>
  <c r="R986" i="2"/>
  <c r="U930" i="2"/>
  <c r="R876" i="2"/>
  <c r="U876" i="2"/>
  <c r="U1049" i="2"/>
  <c r="R1049" i="2"/>
  <c r="U1025" i="2"/>
  <c r="R1025" i="2"/>
  <c r="R977" i="2"/>
  <c r="U977" i="2"/>
  <c r="R1125" i="2"/>
  <c r="U1050" i="2"/>
  <c r="U913" i="2"/>
  <c r="R1113" i="2"/>
  <c r="U1138" i="2"/>
  <c r="U1041" i="2"/>
  <c r="U803" i="2"/>
  <c r="R1074" i="2"/>
  <c r="U723" i="2"/>
  <c r="R1058" i="2"/>
  <c r="R840" i="2"/>
  <c r="U840" i="2"/>
  <c r="R1109" i="2"/>
  <c r="U1109" i="2"/>
  <c r="R1021" i="2"/>
  <c r="U1021" i="2"/>
  <c r="U1114" i="2"/>
  <c r="R767" i="2"/>
  <c r="U767" i="2"/>
  <c r="U1060" i="2"/>
  <c r="R1060" i="2"/>
  <c r="R948" i="2"/>
  <c r="U948" i="2"/>
  <c r="U932" i="2"/>
  <c r="R932" i="2"/>
  <c r="R924" i="2"/>
  <c r="U924" i="2"/>
  <c r="R1034" i="2"/>
  <c r="O14" i="5"/>
  <c r="O13" i="5"/>
  <c r="O12" i="5"/>
  <c r="U1120" i="2"/>
  <c r="O7" i="5"/>
  <c r="O6" i="5"/>
  <c r="O5" i="5"/>
  <c r="R906" i="2"/>
  <c r="U906" i="2"/>
  <c r="R842" i="2"/>
  <c r="U842" i="2"/>
  <c r="R786" i="2"/>
  <c r="U786" i="2"/>
  <c r="R658" i="2"/>
  <c r="U658" i="2"/>
  <c r="R594" i="2"/>
  <c r="U594" i="2"/>
  <c r="R538" i="2"/>
  <c r="U538" i="2"/>
  <c r="R474" i="2"/>
  <c r="U474" i="2"/>
  <c r="R402" i="2"/>
  <c r="U402" i="2"/>
  <c r="R330" i="2"/>
  <c r="U330" i="2"/>
  <c r="R274" i="2"/>
  <c r="U274" i="2"/>
  <c r="R202" i="2"/>
  <c r="U202" i="2"/>
  <c r="R138" i="2"/>
  <c r="U138" i="2"/>
  <c r="R74" i="2"/>
  <c r="U74" i="2"/>
  <c r="R18" i="2"/>
  <c r="U18" i="2"/>
  <c r="R1103" i="2"/>
  <c r="U1103" i="2"/>
  <c r="R1047" i="2"/>
  <c r="U1047" i="2"/>
  <c r="R905" i="2"/>
  <c r="U905" i="2"/>
  <c r="R897" i="2"/>
  <c r="U897" i="2"/>
  <c r="R889" i="2"/>
  <c r="U889" i="2"/>
  <c r="R881" i="2"/>
  <c r="U881" i="2"/>
  <c r="R873" i="2"/>
  <c r="U873" i="2"/>
  <c r="R865" i="2"/>
  <c r="U865" i="2"/>
  <c r="R841" i="2"/>
  <c r="U841" i="2"/>
  <c r="R833" i="2"/>
  <c r="U833" i="2"/>
  <c r="R825" i="2"/>
  <c r="U825" i="2"/>
  <c r="R817" i="2"/>
  <c r="U817" i="2"/>
  <c r="R809" i="2"/>
  <c r="U809" i="2"/>
  <c r="R801" i="2"/>
  <c r="U801" i="2"/>
  <c r="R777" i="2"/>
  <c r="U777" i="2"/>
  <c r="R769" i="2"/>
  <c r="U769" i="2"/>
  <c r="R761" i="2"/>
  <c r="U761" i="2"/>
  <c r="R753" i="2"/>
  <c r="U753" i="2"/>
  <c r="R737" i="2"/>
  <c r="U737" i="2"/>
  <c r="R729" i="2"/>
  <c r="U729" i="2"/>
  <c r="R721" i="2"/>
  <c r="U721" i="2"/>
  <c r="R705" i="2"/>
  <c r="U705" i="2"/>
  <c r="R697" i="2"/>
  <c r="U697" i="2"/>
  <c r="R689" i="2"/>
  <c r="U689" i="2"/>
  <c r="R681" i="2"/>
  <c r="U681" i="2"/>
  <c r="R673" i="2"/>
  <c r="U673" i="2"/>
  <c r="R665" i="2"/>
  <c r="U665" i="2"/>
  <c r="R657" i="2"/>
  <c r="U657" i="2"/>
  <c r="R649" i="2"/>
  <c r="U649" i="2"/>
  <c r="R641" i="2"/>
  <c r="U641" i="2"/>
  <c r="R633" i="2"/>
  <c r="U633" i="2"/>
  <c r="R625" i="2"/>
  <c r="U625" i="2"/>
  <c r="R617" i="2"/>
  <c r="U617" i="2"/>
  <c r="R609" i="2"/>
  <c r="U609" i="2"/>
  <c r="R601" i="2"/>
  <c r="U601" i="2"/>
  <c r="R593" i="2"/>
  <c r="U593" i="2"/>
  <c r="R585" i="2"/>
  <c r="U585" i="2"/>
  <c r="R577" i="2"/>
  <c r="U577" i="2"/>
  <c r="R569" i="2"/>
  <c r="U569" i="2"/>
  <c r="R561" i="2"/>
  <c r="U561" i="2"/>
  <c r="R553" i="2"/>
  <c r="U553" i="2"/>
  <c r="R545" i="2"/>
  <c r="U545" i="2"/>
  <c r="R537" i="2"/>
  <c r="U537" i="2"/>
  <c r="R529" i="2"/>
  <c r="U529" i="2"/>
  <c r="R521" i="2"/>
  <c r="U521" i="2"/>
  <c r="R513" i="2"/>
  <c r="U513" i="2"/>
  <c r="R505" i="2"/>
  <c r="U505" i="2"/>
  <c r="R497" i="2"/>
  <c r="U497" i="2"/>
  <c r="R489" i="2"/>
  <c r="U489" i="2"/>
  <c r="R481" i="2"/>
  <c r="U481" i="2"/>
  <c r="R473" i="2"/>
  <c r="U473" i="2"/>
  <c r="R465" i="2"/>
  <c r="U465" i="2"/>
  <c r="R457" i="2"/>
  <c r="U457" i="2"/>
  <c r="R449" i="2"/>
  <c r="U449" i="2"/>
  <c r="R441" i="2"/>
  <c r="U441" i="2"/>
  <c r="R433" i="2"/>
  <c r="U433" i="2"/>
  <c r="R425" i="2"/>
  <c r="U425" i="2"/>
  <c r="R417" i="2"/>
  <c r="U417" i="2"/>
  <c r="R409" i="2"/>
  <c r="U409" i="2"/>
  <c r="R401" i="2"/>
  <c r="U401" i="2"/>
  <c r="R393" i="2"/>
  <c r="U393" i="2"/>
  <c r="R385" i="2"/>
  <c r="U385" i="2"/>
  <c r="R377" i="2"/>
  <c r="U377" i="2"/>
  <c r="R369" i="2"/>
  <c r="U369" i="2"/>
  <c r="R361" i="2"/>
  <c r="U361" i="2"/>
  <c r="R353" i="2"/>
  <c r="U353" i="2"/>
  <c r="R345" i="2"/>
  <c r="U345" i="2"/>
  <c r="R337" i="2"/>
  <c r="U337" i="2"/>
  <c r="R329" i="2"/>
  <c r="U329" i="2"/>
  <c r="R321" i="2"/>
  <c r="U321" i="2"/>
  <c r="R313" i="2"/>
  <c r="U313" i="2"/>
  <c r="R305" i="2"/>
  <c r="U305" i="2"/>
  <c r="R297" i="2"/>
  <c r="U297" i="2"/>
  <c r="R289" i="2"/>
  <c r="U289" i="2"/>
  <c r="R281" i="2"/>
  <c r="U281" i="2"/>
  <c r="R273" i="2"/>
  <c r="U273" i="2"/>
  <c r="R265" i="2"/>
  <c r="U265" i="2"/>
  <c r="R257" i="2"/>
  <c r="U257" i="2"/>
  <c r="R249" i="2"/>
  <c r="U249" i="2"/>
  <c r="R241" i="2"/>
  <c r="U241" i="2"/>
  <c r="R233" i="2"/>
  <c r="U233" i="2"/>
  <c r="R225" i="2"/>
  <c r="U225" i="2"/>
  <c r="R217" i="2"/>
  <c r="U217" i="2"/>
  <c r="R209" i="2"/>
  <c r="U209" i="2"/>
  <c r="R201" i="2"/>
  <c r="U201" i="2"/>
  <c r="R193" i="2"/>
  <c r="U193" i="2"/>
  <c r="R185" i="2"/>
  <c r="U185" i="2"/>
  <c r="R177" i="2"/>
  <c r="U177" i="2"/>
  <c r="R169" i="2"/>
  <c r="U169" i="2"/>
  <c r="R161" i="2"/>
  <c r="U161" i="2"/>
  <c r="R153" i="2"/>
  <c r="U153" i="2"/>
  <c r="R145" i="2"/>
  <c r="U145" i="2"/>
  <c r="R137" i="2"/>
  <c r="U137" i="2"/>
  <c r="R129" i="2"/>
  <c r="U129" i="2"/>
  <c r="R121" i="2"/>
  <c r="U121" i="2"/>
  <c r="R113" i="2"/>
  <c r="U113" i="2"/>
  <c r="R105" i="2"/>
  <c r="U105" i="2"/>
  <c r="R97" i="2"/>
  <c r="U97" i="2"/>
  <c r="R89" i="2"/>
  <c r="U89" i="2"/>
  <c r="R81" i="2"/>
  <c r="U81" i="2"/>
  <c r="R73" i="2"/>
  <c r="U73" i="2"/>
  <c r="R65" i="2"/>
  <c r="U65" i="2"/>
  <c r="R57" i="2"/>
  <c r="U57" i="2"/>
  <c r="R49" i="2"/>
  <c r="U49" i="2"/>
  <c r="R41" i="2"/>
  <c r="U41" i="2"/>
  <c r="R33" i="2"/>
  <c r="U33" i="2"/>
  <c r="R25" i="2"/>
  <c r="U25" i="2"/>
  <c r="R17" i="2"/>
  <c r="U17" i="2"/>
  <c r="R9" i="2"/>
  <c r="K11" i="5" s="1"/>
  <c r="U9" i="2"/>
  <c r="L11" i="5" s="1"/>
  <c r="R1134" i="2"/>
  <c r="U1134" i="2"/>
  <c r="R1126" i="2"/>
  <c r="U1126" i="2"/>
  <c r="R1118" i="2"/>
  <c r="U1118" i="2"/>
  <c r="R1110" i="2"/>
  <c r="U1110" i="2"/>
  <c r="R1102" i="2"/>
  <c r="U1102" i="2"/>
  <c r="R1094" i="2"/>
  <c r="U1094" i="2"/>
  <c r="R1086" i="2"/>
  <c r="U1086" i="2"/>
  <c r="R1078" i="2"/>
  <c r="U1078" i="2"/>
  <c r="R1070" i="2"/>
  <c r="U1070" i="2"/>
  <c r="R1062" i="2"/>
  <c r="U1062" i="2"/>
  <c r="R1054" i="2"/>
  <c r="U1054" i="2"/>
  <c r="R1046" i="2"/>
  <c r="U1046" i="2"/>
  <c r="R1038" i="2"/>
  <c r="U1038" i="2"/>
  <c r="R1030" i="2"/>
  <c r="U1030" i="2"/>
  <c r="R1022" i="2"/>
  <c r="U1022" i="2"/>
  <c r="R1014" i="2"/>
  <c r="U1014" i="2"/>
  <c r="R1006" i="2"/>
  <c r="U1006" i="2"/>
  <c r="R998" i="2"/>
  <c r="U998" i="2"/>
  <c r="R990" i="2"/>
  <c r="U990" i="2"/>
  <c r="R982" i="2"/>
  <c r="U982" i="2"/>
  <c r="R974" i="2"/>
  <c r="U974" i="2"/>
  <c r="R966" i="2"/>
  <c r="U966" i="2"/>
  <c r="R958" i="2"/>
  <c r="U958" i="2"/>
  <c r="R950" i="2"/>
  <c r="U950" i="2"/>
  <c r="R942" i="2"/>
  <c r="U942" i="2"/>
  <c r="R934" i="2"/>
  <c r="U934" i="2"/>
  <c r="R926" i="2"/>
  <c r="U926" i="2"/>
  <c r="R1124" i="2"/>
  <c r="R1085" i="2"/>
  <c r="U1139" i="2"/>
  <c r="U1129" i="2"/>
  <c r="U1119" i="2"/>
  <c r="U1108" i="2"/>
  <c r="U1087" i="2"/>
  <c r="U1013" i="2"/>
  <c r="U912" i="2"/>
  <c r="U875" i="2"/>
  <c r="U839" i="2"/>
  <c r="U802" i="2"/>
  <c r="U764" i="2"/>
  <c r="U722" i="2"/>
  <c r="R874" i="2"/>
  <c r="U874" i="2"/>
  <c r="R738" i="2"/>
  <c r="U738" i="2"/>
  <c r="R682" i="2"/>
  <c r="U682" i="2"/>
  <c r="R618" i="2"/>
  <c r="U618" i="2"/>
  <c r="R554" i="2"/>
  <c r="U554" i="2"/>
  <c r="R490" i="2"/>
  <c r="U490" i="2"/>
  <c r="R426" i="2"/>
  <c r="U426" i="2"/>
  <c r="R362" i="2"/>
  <c r="U362" i="2"/>
  <c r="R298" i="2"/>
  <c r="U298" i="2"/>
  <c r="R226" i="2"/>
  <c r="U226" i="2"/>
  <c r="R162" i="2"/>
  <c r="U162" i="2"/>
  <c r="R82" i="2"/>
  <c r="U82" i="2"/>
  <c r="R34" i="2"/>
  <c r="U34" i="2"/>
  <c r="R1055" i="2"/>
  <c r="U1055" i="2"/>
  <c r="R991" i="2"/>
  <c r="U991" i="2"/>
  <c r="R935" i="2"/>
  <c r="U935" i="2"/>
  <c r="R920" i="2"/>
  <c r="U920" i="2"/>
  <c r="R896" i="2"/>
  <c r="U896" i="2"/>
  <c r="R888" i="2"/>
  <c r="U888" i="2"/>
  <c r="R880" i="2"/>
  <c r="U880" i="2"/>
  <c r="R872" i="2"/>
  <c r="U872" i="2"/>
  <c r="R864" i="2"/>
  <c r="U864" i="2"/>
  <c r="R856" i="2"/>
  <c r="U856" i="2"/>
  <c r="R832" i="2"/>
  <c r="U832" i="2"/>
  <c r="R824" i="2"/>
  <c r="U824" i="2"/>
  <c r="R816" i="2"/>
  <c r="U816" i="2"/>
  <c r="R808" i="2"/>
  <c r="U808" i="2"/>
  <c r="R800" i="2"/>
  <c r="U800" i="2"/>
  <c r="R792" i="2"/>
  <c r="U792" i="2"/>
  <c r="R768" i="2"/>
  <c r="U768" i="2"/>
  <c r="R760" i="2"/>
  <c r="U760" i="2"/>
  <c r="R752" i="2"/>
  <c r="U752" i="2"/>
  <c r="R736" i="2"/>
  <c r="U736" i="2"/>
  <c r="R728" i="2"/>
  <c r="U728" i="2"/>
  <c r="R720" i="2"/>
  <c r="U720" i="2"/>
  <c r="R704" i="2"/>
  <c r="U704" i="2"/>
  <c r="R696" i="2"/>
  <c r="U696" i="2"/>
  <c r="R688" i="2"/>
  <c r="U688" i="2"/>
  <c r="R680" i="2"/>
  <c r="U680" i="2"/>
  <c r="R672" i="2"/>
  <c r="U672" i="2"/>
  <c r="R664" i="2"/>
  <c r="U664" i="2"/>
  <c r="R656" i="2"/>
  <c r="U656" i="2"/>
  <c r="R648" i="2"/>
  <c r="U648" i="2"/>
  <c r="R640" i="2"/>
  <c r="U640" i="2"/>
  <c r="R632" i="2"/>
  <c r="U632" i="2"/>
  <c r="R624" i="2"/>
  <c r="U624" i="2"/>
  <c r="R616" i="2"/>
  <c r="U616" i="2"/>
  <c r="R608" i="2"/>
  <c r="U608" i="2"/>
  <c r="R600" i="2"/>
  <c r="U600" i="2"/>
  <c r="R592" i="2"/>
  <c r="U592" i="2"/>
  <c r="R584" i="2"/>
  <c r="U584" i="2"/>
  <c r="R576" i="2"/>
  <c r="U576" i="2"/>
  <c r="R568" i="2"/>
  <c r="U568" i="2"/>
  <c r="R560" i="2"/>
  <c r="U560" i="2"/>
  <c r="R552" i="2"/>
  <c r="U552" i="2"/>
  <c r="R544" i="2"/>
  <c r="U544" i="2"/>
  <c r="R536" i="2"/>
  <c r="U536" i="2"/>
  <c r="R528" i="2"/>
  <c r="U528" i="2"/>
  <c r="R520" i="2"/>
  <c r="U520" i="2"/>
  <c r="R512" i="2"/>
  <c r="U512" i="2"/>
  <c r="R504" i="2"/>
  <c r="U504" i="2"/>
  <c r="R496" i="2"/>
  <c r="U496" i="2"/>
  <c r="R488" i="2"/>
  <c r="U488" i="2"/>
  <c r="R480" i="2"/>
  <c r="U480" i="2"/>
  <c r="R472" i="2"/>
  <c r="U472" i="2"/>
  <c r="R464" i="2"/>
  <c r="U464" i="2"/>
  <c r="R456" i="2"/>
  <c r="U456" i="2"/>
  <c r="R448" i="2"/>
  <c r="U448" i="2"/>
  <c r="R440" i="2"/>
  <c r="U440" i="2"/>
  <c r="R432" i="2"/>
  <c r="U432" i="2"/>
  <c r="R424" i="2"/>
  <c r="U424" i="2"/>
  <c r="R416" i="2"/>
  <c r="U416" i="2"/>
  <c r="R408" i="2"/>
  <c r="U408" i="2"/>
  <c r="R400" i="2"/>
  <c r="U400" i="2"/>
  <c r="R392" i="2"/>
  <c r="U392" i="2"/>
  <c r="R384" i="2"/>
  <c r="U384" i="2"/>
  <c r="R376" i="2"/>
  <c r="U376" i="2"/>
  <c r="R368" i="2"/>
  <c r="U368" i="2"/>
  <c r="R360" i="2"/>
  <c r="U360" i="2"/>
  <c r="R352" i="2"/>
  <c r="U352" i="2"/>
  <c r="R344" i="2"/>
  <c r="U344" i="2"/>
  <c r="R336" i="2"/>
  <c r="U336" i="2"/>
  <c r="R328" i="2"/>
  <c r="U328" i="2"/>
  <c r="R320" i="2"/>
  <c r="U320" i="2"/>
  <c r="R312" i="2"/>
  <c r="U312" i="2"/>
  <c r="R304" i="2"/>
  <c r="U304" i="2"/>
  <c r="R296" i="2"/>
  <c r="U296" i="2"/>
  <c r="R288" i="2"/>
  <c r="U288" i="2"/>
  <c r="R280" i="2"/>
  <c r="U280" i="2"/>
  <c r="R272" i="2"/>
  <c r="U272" i="2"/>
  <c r="R264" i="2"/>
  <c r="U264" i="2"/>
  <c r="R256" i="2"/>
  <c r="U256" i="2"/>
  <c r="R248" i="2"/>
  <c r="U248" i="2"/>
  <c r="R240" i="2"/>
  <c r="U240" i="2"/>
  <c r="R232" i="2"/>
  <c r="U232" i="2"/>
  <c r="R224" i="2"/>
  <c r="U224" i="2"/>
  <c r="R216" i="2"/>
  <c r="U216" i="2"/>
  <c r="R208" i="2"/>
  <c r="U208" i="2"/>
  <c r="R200" i="2"/>
  <c r="U200" i="2"/>
  <c r="R192" i="2"/>
  <c r="U192" i="2"/>
  <c r="R184" i="2"/>
  <c r="U184" i="2"/>
  <c r="R176" i="2"/>
  <c r="U176" i="2"/>
  <c r="R168" i="2"/>
  <c r="U168" i="2"/>
  <c r="R160" i="2"/>
  <c r="U160" i="2"/>
  <c r="R152" i="2"/>
  <c r="U152" i="2"/>
  <c r="R144" i="2"/>
  <c r="U144" i="2"/>
  <c r="R136" i="2"/>
  <c r="U136" i="2"/>
  <c r="R128" i="2"/>
  <c r="U128" i="2"/>
  <c r="R120" i="2"/>
  <c r="U120" i="2"/>
  <c r="R112" i="2"/>
  <c r="U112" i="2"/>
  <c r="R104" i="2"/>
  <c r="U104" i="2"/>
  <c r="R96" i="2"/>
  <c r="U96" i="2"/>
  <c r="R88" i="2"/>
  <c r="U88" i="2"/>
  <c r="R80" i="2"/>
  <c r="U80" i="2"/>
  <c r="R72" i="2"/>
  <c r="U72" i="2"/>
  <c r="R64" i="2"/>
  <c r="U64" i="2"/>
  <c r="R56" i="2"/>
  <c r="U56" i="2"/>
  <c r="R48" i="2"/>
  <c r="U48" i="2"/>
  <c r="R40" i="2"/>
  <c r="U40" i="2"/>
  <c r="R32" i="2"/>
  <c r="U32" i="2"/>
  <c r="R24" i="2"/>
  <c r="U24" i="2"/>
  <c r="R16" i="2"/>
  <c r="U16" i="2"/>
  <c r="R8" i="2"/>
  <c r="K10" i="5" s="1"/>
  <c r="U8" i="2"/>
  <c r="L10" i="5" s="1"/>
  <c r="R1093" i="2"/>
  <c r="U1093" i="2"/>
  <c r="R1053" i="2"/>
  <c r="U1053" i="2"/>
  <c r="R1045" i="2"/>
  <c r="U1045" i="2"/>
  <c r="R1037" i="2"/>
  <c r="U1037" i="2"/>
  <c r="R1029" i="2"/>
  <c r="U1029" i="2"/>
  <c r="R989" i="2"/>
  <c r="U989" i="2"/>
  <c r="R981" i="2"/>
  <c r="U981" i="2"/>
  <c r="R965" i="2"/>
  <c r="U965" i="2"/>
  <c r="R941" i="2"/>
  <c r="U941" i="2"/>
  <c r="R933" i="2"/>
  <c r="U933" i="2"/>
  <c r="R925" i="2"/>
  <c r="U925" i="2"/>
  <c r="R1076" i="2"/>
  <c r="R1051" i="2"/>
  <c r="R1019" i="2"/>
  <c r="R987" i="2"/>
  <c r="U1117" i="2"/>
  <c r="U1012" i="2"/>
  <c r="U939" i="2"/>
  <c r="U904" i="2"/>
  <c r="U867" i="2"/>
  <c r="U831" i="2"/>
  <c r="U794" i="2"/>
  <c r="U755" i="2"/>
  <c r="U713" i="2"/>
  <c r="R730" i="2"/>
  <c r="U730" i="2"/>
  <c r="R666" i="2"/>
  <c r="U666" i="2"/>
  <c r="R602" i="2"/>
  <c r="U602" i="2"/>
  <c r="R530" i="2"/>
  <c r="U530" i="2"/>
  <c r="R466" i="2"/>
  <c r="U466" i="2"/>
  <c r="R410" i="2"/>
  <c r="U410" i="2"/>
  <c r="R354" i="2"/>
  <c r="U354" i="2"/>
  <c r="R290" i="2"/>
  <c r="U290" i="2"/>
  <c r="R242" i="2"/>
  <c r="U242" i="2"/>
  <c r="R178" i="2"/>
  <c r="U178" i="2"/>
  <c r="R114" i="2"/>
  <c r="U114" i="2"/>
  <c r="R50" i="2"/>
  <c r="U50" i="2"/>
  <c r="R1063" i="2"/>
  <c r="U1063" i="2"/>
  <c r="R1007" i="2"/>
  <c r="U1007" i="2"/>
  <c r="R975" i="2"/>
  <c r="U975" i="2"/>
  <c r="R919" i="2"/>
  <c r="U919" i="2"/>
  <c r="R911" i="2"/>
  <c r="U911" i="2"/>
  <c r="R887" i="2"/>
  <c r="U887" i="2"/>
  <c r="R879" i="2"/>
  <c r="U879" i="2"/>
  <c r="R871" i="2"/>
  <c r="U871" i="2"/>
  <c r="R863" i="2"/>
  <c r="U863" i="2"/>
  <c r="R855" i="2"/>
  <c r="U855" i="2"/>
  <c r="R847" i="2"/>
  <c r="U847" i="2"/>
  <c r="R823" i="2"/>
  <c r="U823" i="2"/>
  <c r="R815" i="2"/>
  <c r="U815" i="2"/>
  <c r="R807" i="2"/>
  <c r="U807" i="2"/>
  <c r="R799" i="2"/>
  <c r="U799" i="2"/>
  <c r="R791" i="2"/>
  <c r="U791" i="2"/>
  <c r="R783" i="2"/>
  <c r="U783" i="2"/>
  <c r="R759" i="2"/>
  <c r="U759" i="2"/>
  <c r="R751" i="2"/>
  <c r="U751" i="2"/>
  <c r="R743" i="2"/>
  <c r="U743" i="2"/>
  <c r="R727" i="2"/>
  <c r="U727" i="2"/>
  <c r="R719" i="2"/>
  <c r="U719" i="2"/>
  <c r="R711" i="2"/>
  <c r="U711" i="2"/>
  <c r="R695" i="2"/>
  <c r="U695" i="2"/>
  <c r="R687" i="2"/>
  <c r="U687" i="2"/>
  <c r="R679" i="2"/>
  <c r="U679" i="2"/>
  <c r="R671" i="2"/>
  <c r="U671" i="2"/>
  <c r="R663" i="2"/>
  <c r="U663" i="2"/>
  <c r="R655" i="2"/>
  <c r="U655" i="2"/>
  <c r="R647" i="2"/>
  <c r="U647" i="2"/>
  <c r="R639" i="2"/>
  <c r="U639" i="2"/>
  <c r="R631" i="2"/>
  <c r="U631" i="2"/>
  <c r="R623" i="2"/>
  <c r="U623" i="2"/>
  <c r="R615" i="2"/>
  <c r="U615" i="2"/>
  <c r="R607" i="2"/>
  <c r="U607" i="2"/>
  <c r="R599" i="2"/>
  <c r="U599" i="2"/>
  <c r="R591" i="2"/>
  <c r="U591" i="2"/>
  <c r="R583" i="2"/>
  <c r="U583" i="2"/>
  <c r="R575" i="2"/>
  <c r="U575" i="2"/>
  <c r="R567" i="2"/>
  <c r="U567" i="2"/>
  <c r="R559" i="2"/>
  <c r="U559" i="2"/>
  <c r="R551" i="2"/>
  <c r="U551" i="2"/>
  <c r="R543" i="2"/>
  <c r="U543" i="2"/>
  <c r="R535" i="2"/>
  <c r="U535" i="2"/>
  <c r="R527" i="2"/>
  <c r="U527" i="2"/>
  <c r="R519" i="2"/>
  <c r="U519" i="2"/>
  <c r="R511" i="2"/>
  <c r="U511" i="2"/>
  <c r="R503" i="2"/>
  <c r="U503" i="2"/>
  <c r="R495" i="2"/>
  <c r="U495" i="2"/>
  <c r="R487" i="2"/>
  <c r="U487" i="2"/>
  <c r="R479" i="2"/>
  <c r="U479" i="2"/>
  <c r="R471" i="2"/>
  <c r="U471" i="2"/>
  <c r="R463" i="2"/>
  <c r="U463" i="2"/>
  <c r="R455" i="2"/>
  <c r="U455" i="2"/>
  <c r="R447" i="2"/>
  <c r="U447" i="2"/>
  <c r="R439" i="2"/>
  <c r="U439" i="2"/>
  <c r="R431" i="2"/>
  <c r="U431" i="2"/>
  <c r="R423" i="2"/>
  <c r="U423" i="2"/>
  <c r="R415" i="2"/>
  <c r="U415" i="2"/>
  <c r="R407" i="2"/>
  <c r="U407" i="2"/>
  <c r="R399" i="2"/>
  <c r="U399" i="2"/>
  <c r="R391" i="2"/>
  <c r="U391" i="2"/>
  <c r="R383" i="2"/>
  <c r="U383" i="2"/>
  <c r="R375" i="2"/>
  <c r="U375" i="2"/>
  <c r="R367" i="2"/>
  <c r="U367" i="2"/>
  <c r="R359" i="2"/>
  <c r="U359" i="2"/>
  <c r="R351" i="2"/>
  <c r="U351" i="2"/>
  <c r="R343" i="2"/>
  <c r="U343" i="2"/>
  <c r="R335" i="2"/>
  <c r="U335" i="2"/>
  <c r="R327" i="2"/>
  <c r="U327" i="2"/>
  <c r="R319" i="2"/>
  <c r="U319" i="2"/>
  <c r="R311" i="2"/>
  <c r="U311" i="2"/>
  <c r="R303" i="2"/>
  <c r="U303" i="2"/>
  <c r="R295" i="2"/>
  <c r="U295" i="2"/>
  <c r="R287" i="2"/>
  <c r="U287" i="2"/>
  <c r="R279" i="2"/>
  <c r="U279" i="2"/>
  <c r="R271" i="2"/>
  <c r="U271" i="2"/>
  <c r="R263" i="2"/>
  <c r="U263" i="2"/>
  <c r="R255" i="2"/>
  <c r="U255" i="2"/>
  <c r="R247" i="2"/>
  <c r="U247" i="2"/>
  <c r="R239" i="2"/>
  <c r="U239" i="2"/>
  <c r="R231" i="2"/>
  <c r="U231" i="2"/>
  <c r="R223" i="2"/>
  <c r="U223" i="2"/>
  <c r="R215" i="2"/>
  <c r="U215" i="2"/>
  <c r="R207" i="2"/>
  <c r="U207" i="2"/>
  <c r="R199" i="2"/>
  <c r="U199" i="2"/>
  <c r="R191" i="2"/>
  <c r="U191" i="2"/>
  <c r="R183" i="2"/>
  <c r="U183" i="2"/>
  <c r="R175" i="2"/>
  <c r="U175" i="2"/>
  <c r="R167" i="2"/>
  <c r="U167" i="2"/>
  <c r="R159" i="2"/>
  <c r="U159" i="2"/>
  <c r="R151" i="2"/>
  <c r="U151" i="2"/>
  <c r="R143" i="2"/>
  <c r="U143" i="2"/>
  <c r="R135" i="2"/>
  <c r="U135" i="2"/>
  <c r="R127" i="2"/>
  <c r="U127" i="2"/>
  <c r="R119" i="2"/>
  <c r="U119" i="2"/>
  <c r="R111" i="2"/>
  <c r="U111" i="2"/>
  <c r="R103" i="2"/>
  <c r="U103" i="2"/>
  <c r="R95" i="2"/>
  <c r="U95" i="2"/>
  <c r="R87" i="2"/>
  <c r="U87" i="2"/>
  <c r="R79" i="2"/>
  <c r="U79" i="2"/>
  <c r="R71" i="2"/>
  <c r="U71" i="2"/>
  <c r="R63" i="2"/>
  <c r="U63" i="2"/>
  <c r="R55" i="2"/>
  <c r="U55" i="2"/>
  <c r="R47" i="2"/>
  <c r="U47" i="2"/>
  <c r="R39" i="2"/>
  <c r="U39" i="2"/>
  <c r="R31" i="2"/>
  <c r="U31" i="2"/>
  <c r="R23" i="2"/>
  <c r="U23" i="2"/>
  <c r="R15" i="2"/>
  <c r="U15" i="2"/>
  <c r="R7" i="2"/>
  <c r="K9" i="5" s="1"/>
  <c r="U7" i="2"/>
  <c r="L9" i="5" s="1"/>
  <c r="R1116" i="2"/>
  <c r="U1116" i="2"/>
  <c r="R1100" i="2"/>
  <c r="U1100" i="2"/>
  <c r="R1092" i="2"/>
  <c r="U1092" i="2"/>
  <c r="R1084" i="2"/>
  <c r="U1084" i="2"/>
  <c r="R1052" i="2"/>
  <c r="U1052" i="2"/>
  <c r="R1044" i="2"/>
  <c r="U1044" i="2"/>
  <c r="R1036" i="2"/>
  <c r="U1036" i="2"/>
  <c r="R1028" i="2"/>
  <c r="U1028" i="2"/>
  <c r="R1020" i="2"/>
  <c r="U1020" i="2"/>
  <c r="R988" i="2"/>
  <c r="U988" i="2"/>
  <c r="R980" i="2"/>
  <c r="U980" i="2"/>
  <c r="R972" i="2"/>
  <c r="U972" i="2"/>
  <c r="R964" i="2"/>
  <c r="U964" i="2"/>
  <c r="R956" i="2"/>
  <c r="U956" i="2"/>
  <c r="R1075" i="2"/>
  <c r="R1011" i="2"/>
  <c r="U1137" i="2"/>
  <c r="U1127" i="2"/>
  <c r="U1115" i="2"/>
  <c r="U1105" i="2"/>
  <c r="U1077" i="2"/>
  <c r="U1004" i="2"/>
  <c r="U931" i="2"/>
  <c r="U903" i="2"/>
  <c r="U866" i="2"/>
  <c r="U829" i="2"/>
  <c r="U793" i="2"/>
  <c r="U754" i="2"/>
  <c r="U712" i="2"/>
  <c r="R898" i="2"/>
  <c r="U898" i="2"/>
  <c r="R834" i="2"/>
  <c r="U834" i="2"/>
  <c r="R698" i="2"/>
  <c r="U698" i="2"/>
  <c r="R642" i="2"/>
  <c r="U642" i="2"/>
  <c r="R570" i="2"/>
  <c r="U570" i="2"/>
  <c r="R514" i="2"/>
  <c r="U514" i="2"/>
  <c r="R450" i="2"/>
  <c r="U450" i="2"/>
  <c r="R386" i="2"/>
  <c r="U386" i="2"/>
  <c r="R314" i="2"/>
  <c r="U314" i="2"/>
  <c r="R250" i="2"/>
  <c r="U250" i="2"/>
  <c r="R186" i="2"/>
  <c r="U186" i="2"/>
  <c r="R122" i="2"/>
  <c r="U122" i="2"/>
  <c r="R66" i="2"/>
  <c r="U66" i="2"/>
  <c r="R943" i="2"/>
  <c r="U943" i="2"/>
  <c r="R3" i="2"/>
  <c r="K5" i="5" s="1"/>
  <c r="U3" i="2"/>
  <c r="L5" i="5" s="1"/>
  <c r="R918" i="2"/>
  <c r="U918" i="2"/>
  <c r="R910" i="2"/>
  <c r="U910" i="2"/>
  <c r="R902" i="2"/>
  <c r="U902" i="2"/>
  <c r="R894" i="2"/>
  <c r="U894" i="2"/>
  <c r="R886" i="2"/>
  <c r="U886" i="2"/>
  <c r="R878" i="2"/>
  <c r="U878" i="2"/>
  <c r="R870" i="2"/>
  <c r="U870" i="2"/>
  <c r="R862" i="2"/>
  <c r="U862" i="2"/>
  <c r="R854" i="2"/>
  <c r="U854" i="2"/>
  <c r="R846" i="2"/>
  <c r="U846" i="2"/>
  <c r="R838" i="2"/>
  <c r="U838" i="2"/>
  <c r="R830" i="2"/>
  <c r="U830" i="2"/>
  <c r="R822" i="2"/>
  <c r="U822" i="2"/>
  <c r="R814" i="2"/>
  <c r="U814" i="2"/>
  <c r="R806" i="2"/>
  <c r="U806" i="2"/>
  <c r="R798" i="2"/>
  <c r="U798" i="2"/>
  <c r="R790" i="2"/>
  <c r="U790" i="2"/>
  <c r="R782" i="2"/>
  <c r="U782" i="2"/>
  <c r="R774" i="2"/>
  <c r="U774" i="2"/>
  <c r="R766" i="2"/>
  <c r="U766" i="2"/>
  <c r="R758" i="2"/>
  <c r="U758" i="2"/>
  <c r="R750" i="2"/>
  <c r="U750" i="2"/>
  <c r="R742" i="2"/>
  <c r="U742" i="2"/>
  <c r="R734" i="2"/>
  <c r="U734" i="2"/>
  <c r="R726" i="2"/>
  <c r="U726" i="2"/>
  <c r="R718" i="2"/>
  <c r="U718" i="2"/>
  <c r="R710" i="2"/>
  <c r="U710" i="2"/>
  <c r="R702" i="2"/>
  <c r="U702" i="2"/>
  <c r="R694" i="2"/>
  <c r="U694" i="2"/>
  <c r="R686" i="2"/>
  <c r="U686" i="2"/>
  <c r="R678" i="2"/>
  <c r="U678" i="2"/>
  <c r="R670" i="2"/>
  <c r="U670" i="2"/>
  <c r="R662" i="2"/>
  <c r="U662" i="2"/>
  <c r="R654" i="2"/>
  <c r="U654" i="2"/>
  <c r="R646" i="2"/>
  <c r="U646" i="2"/>
  <c r="R638" i="2"/>
  <c r="U638" i="2"/>
  <c r="R630" i="2"/>
  <c r="U630" i="2"/>
  <c r="R622" i="2"/>
  <c r="U622" i="2"/>
  <c r="R614" i="2"/>
  <c r="U614" i="2"/>
  <c r="R606" i="2"/>
  <c r="U606" i="2"/>
  <c r="R598" i="2"/>
  <c r="U598" i="2"/>
  <c r="R590" i="2"/>
  <c r="U590" i="2"/>
  <c r="R582" i="2"/>
  <c r="U582" i="2"/>
  <c r="R574" i="2"/>
  <c r="U574" i="2"/>
  <c r="R566" i="2"/>
  <c r="U566" i="2"/>
  <c r="R558" i="2"/>
  <c r="U558" i="2"/>
  <c r="R550" i="2"/>
  <c r="U550" i="2"/>
  <c r="R542" i="2"/>
  <c r="U542" i="2"/>
  <c r="R534" i="2"/>
  <c r="U534" i="2"/>
  <c r="R526" i="2"/>
  <c r="U526" i="2"/>
  <c r="R518" i="2"/>
  <c r="U518" i="2"/>
  <c r="R510" i="2"/>
  <c r="U510" i="2"/>
  <c r="R502" i="2"/>
  <c r="U502" i="2"/>
  <c r="R494" i="2"/>
  <c r="U494" i="2"/>
  <c r="R486" i="2"/>
  <c r="U486" i="2"/>
  <c r="R478" i="2"/>
  <c r="U478" i="2"/>
  <c r="R470" i="2"/>
  <c r="U470" i="2"/>
  <c r="R462" i="2"/>
  <c r="U462" i="2"/>
  <c r="R454" i="2"/>
  <c r="U454" i="2"/>
  <c r="R446" i="2"/>
  <c r="U446" i="2"/>
  <c r="R438" i="2"/>
  <c r="U438" i="2"/>
  <c r="R430" i="2"/>
  <c r="U430" i="2"/>
  <c r="R422" i="2"/>
  <c r="U422" i="2"/>
  <c r="R414" i="2"/>
  <c r="U414" i="2"/>
  <c r="R406" i="2"/>
  <c r="U406" i="2"/>
  <c r="R398" i="2"/>
  <c r="U398" i="2"/>
  <c r="R390" i="2"/>
  <c r="U390" i="2"/>
  <c r="R382" i="2"/>
  <c r="U382" i="2"/>
  <c r="R374" i="2"/>
  <c r="U374" i="2"/>
  <c r="R366" i="2"/>
  <c r="U366" i="2"/>
  <c r="R358" i="2"/>
  <c r="U358" i="2"/>
  <c r="R350" i="2"/>
  <c r="U350" i="2"/>
  <c r="R342" i="2"/>
  <c r="U342" i="2"/>
  <c r="R334" i="2"/>
  <c r="U334" i="2"/>
  <c r="R326" i="2"/>
  <c r="U326" i="2"/>
  <c r="R318" i="2"/>
  <c r="U318" i="2"/>
  <c r="R310" i="2"/>
  <c r="U310" i="2"/>
  <c r="R302" i="2"/>
  <c r="U302" i="2"/>
  <c r="R294" i="2"/>
  <c r="U294" i="2"/>
  <c r="R286" i="2"/>
  <c r="U286" i="2"/>
  <c r="R278" i="2"/>
  <c r="U278" i="2"/>
  <c r="R270" i="2"/>
  <c r="U270" i="2"/>
  <c r="R262" i="2"/>
  <c r="U262" i="2"/>
  <c r="R254" i="2"/>
  <c r="U254" i="2"/>
  <c r="R246" i="2"/>
  <c r="U246" i="2"/>
  <c r="R238" i="2"/>
  <c r="U238" i="2"/>
  <c r="R230" i="2"/>
  <c r="U230" i="2"/>
  <c r="R222" i="2"/>
  <c r="U222" i="2"/>
  <c r="R214" i="2"/>
  <c r="U214" i="2"/>
  <c r="R206" i="2"/>
  <c r="U206" i="2"/>
  <c r="R198" i="2"/>
  <c r="U198" i="2"/>
  <c r="R190" i="2"/>
  <c r="U190" i="2"/>
  <c r="R182" i="2"/>
  <c r="U182" i="2"/>
  <c r="R174" i="2"/>
  <c r="U174" i="2"/>
  <c r="R166" i="2"/>
  <c r="U166" i="2"/>
  <c r="R158" i="2"/>
  <c r="U158" i="2"/>
  <c r="R150" i="2"/>
  <c r="U150" i="2"/>
  <c r="R142" i="2"/>
  <c r="U142" i="2"/>
  <c r="R134" i="2"/>
  <c r="U134" i="2"/>
  <c r="R126" i="2"/>
  <c r="U126" i="2"/>
  <c r="R118" i="2"/>
  <c r="U118" i="2"/>
  <c r="R110" i="2"/>
  <c r="U110" i="2"/>
  <c r="R102" i="2"/>
  <c r="U102" i="2"/>
  <c r="R94" i="2"/>
  <c r="U94" i="2"/>
  <c r="R86" i="2"/>
  <c r="U86" i="2"/>
  <c r="R78" i="2"/>
  <c r="U78" i="2"/>
  <c r="R70" i="2"/>
  <c r="U70" i="2"/>
  <c r="R62" i="2"/>
  <c r="U62" i="2"/>
  <c r="R54" i="2"/>
  <c r="U54" i="2"/>
  <c r="R46" i="2"/>
  <c r="U46" i="2"/>
  <c r="R38" i="2"/>
  <c r="U38" i="2"/>
  <c r="R30" i="2"/>
  <c r="U30" i="2"/>
  <c r="R22" i="2"/>
  <c r="U22" i="2"/>
  <c r="R14" i="2"/>
  <c r="U14" i="2"/>
  <c r="R1107" i="2"/>
  <c r="U1107" i="2"/>
  <c r="R1091" i="2"/>
  <c r="U1091" i="2"/>
  <c r="R1083" i="2"/>
  <c r="U1083" i="2"/>
  <c r="R1043" i="2"/>
  <c r="U1043" i="2"/>
  <c r="R1027" i="2"/>
  <c r="U1027" i="2"/>
  <c r="R979" i="2"/>
  <c r="U979" i="2"/>
  <c r="R971" i="2"/>
  <c r="U971" i="2"/>
  <c r="R963" i="2"/>
  <c r="U963" i="2"/>
  <c r="R955" i="2"/>
  <c r="U955" i="2"/>
  <c r="R947" i="2"/>
  <c r="U947" i="2"/>
  <c r="R923" i="2"/>
  <c r="U923" i="2"/>
  <c r="R1101" i="2"/>
  <c r="U1003" i="2"/>
  <c r="U967" i="2"/>
  <c r="U895" i="2"/>
  <c r="U858" i="2"/>
  <c r="U821" i="2"/>
  <c r="U785" i="2"/>
  <c r="U745" i="2"/>
  <c r="U703" i="2"/>
  <c r="R882" i="2"/>
  <c r="U882" i="2"/>
  <c r="R810" i="2"/>
  <c r="U810" i="2"/>
  <c r="R762" i="2"/>
  <c r="U762" i="2"/>
  <c r="R706" i="2"/>
  <c r="U706" i="2"/>
  <c r="R634" i="2"/>
  <c r="U634" i="2"/>
  <c r="R578" i="2"/>
  <c r="U578" i="2"/>
  <c r="R522" i="2"/>
  <c r="U522" i="2"/>
  <c r="R458" i="2"/>
  <c r="U458" i="2"/>
  <c r="R394" i="2"/>
  <c r="U394" i="2"/>
  <c r="R338" i="2"/>
  <c r="U338" i="2"/>
  <c r="R282" i="2"/>
  <c r="U282" i="2"/>
  <c r="R218" i="2"/>
  <c r="U218" i="2"/>
  <c r="R154" i="2"/>
  <c r="U154" i="2"/>
  <c r="R98" i="2"/>
  <c r="U98" i="2"/>
  <c r="R42" i="2"/>
  <c r="U42" i="2"/>
  <c r="R1135" i="2"/>
  <c r="U1135" i="2"/>
  <c r="R1079" i="2"/>
  <c r="U1079" i="2"/>
  <c r="R1015" i="2"/>
  <c r="U1015" i="2"/>
  <c r="R951" i="2"/>
  <c r="U951" i="2"/>
  <c r="R5" i="2"/>
  <c r="K7" i="5" s="1"/>
  <c r="U5" i="2"/>
  <c r="E7" i="5" s="1"/>
  <c r="R917" i="2"/>
  <c r="U917" i="2"/>
  <c r="R909" i="2"/>
  <c r="U909" i="2"/>
  <c r="R901" i="2"/>
  <c r="U901" i="2"/>
  <c r="R877" i="2"/>
  <c r="U877" i="2"/>
  <c r="R869" i="2"/>
  <c r="U869" i="2"/>
  <c r="R861" i="2"/>
  <c r="U861" i="2"/>
  <c r="R853" i="2"/>
  <c r="U853" i="2"/>
  <c r="R845" i="2"/>
  <c r="U845" i="2"/>
  <c r="R837" i="2"/>
  <c r="U837" i="2"/>
  <c r="R813" i="2"/>
  <c r="U813" i="2"/>
  <c r="R805" i="2"/>
  <c r="U805" i="2"/>
  <c r="R797" i="2"/>
  <c r="U797" i="2"/>
  <c r="R789" i="2"/>
  <c r="U789" i="2"/>
  <c r="R781" i="2"/>
  <c r="U781" i="2"/>
  <c r="R773" i="2"/>
  <c r="U773" i="2"/>
  <c r="R765" i="2"/>
  <c r="U765" i="2"/>
  <c r="R757" i="2"/>
  <c r="U757" i="2"/>
  <c r="R749" i="2"/>
  <c r="U749" i="2"/>
  <c r="R741" i="2"/>
  <c r="U741" i="2"/>
  <c r="R733" i="2"/>
  <c r="U733" i="2"/>
  <c r="R725" i="2"/>
  <c r="U725" i="2"/>
  <c r="R717" i="2"/>
  <c r="U717" i="2"/>
  <c r="R709" i="2"/>
  <c r="U709" i="2"/>
  <c r="R701" i="2"/>
  <c r="U701" i="2"/>
  <c r="R693" i="2"/>
  <c r="U693" i="2"/>
  <c r="R685" i="2"/>
  <c r="U685" i="2"/>
  <c r="R677" i="2"/>
  <c r="U677" i="2"/>
  <c r="R669" i="2"/>
  <c r="U669" i="2"/>
  <c r="R661" i="2"/>
  <c r="U661" i="2"/>
  <c r="R653" i="2"/>
  <c r="U653" i="2"/>
  <c r="R645" i="2"/>
  <c r="U645" i="2"/>
  <c r="R637" i="2"/>
  <c r="U637" i="2"/>
  <c r="R629" i="2"/>
  <c r="U629" i="2"/>
  <c r="R621" i="2"/>
  <c r="U621" i="2"/>
  <c r="R613" i="2"/>
  <c r="U613" i="2"/>
  <c r="R605" i="2"/>
  <c r="U605" i="2"/>
  <c r="R597" i="2"/>
  <c r="U597" i="2"/>
  <c r="R589" i="2"/>
  <c r="U589" i="2"/>
  <c r="R581" i="2"/>
  <c r="U581" i="2"/>
  <c r="R573" i="2"/>
  <c r="U573" i="2"/>
  <c r="R565" i="2"/>
  <c r="U565" i="2"/>
  <c r="R557" i="2"/>
  <c r="U557" i="2"/>
  <c r="R549" i="2"/>
  <c r="U549" i="2"/>
  <c r="R541" i="2"/>
  <c r="U541" i="2"/>
  <c r="R533" i="2"/>
  <c r="U533" i="2"/>
  <c r="R525" i="2"/>
  <c r="U525" i="2"/>
  <c r="R517" i="2"/>
  <c r="U517" i="2"/>
  <c r="R509" i="2"/>
  <c r="U509" i="2"/>
  <c r="R501" i="2"/>
  <c r="U501" i="2"/>
  <c r="R493" i="2"/>
  <c r="U493" i="2"/>
  <c r="R485" i="2"/>
  <c r="U485" i="2"/>
  <c r="R477" i="2"/>
  <c r="U477" i="2"/>
  <c r="R469" i="2"/>
  <c r="U469" i="2"/>
  <c r="R461" i="2"/>
  <c r="U461" i="2"/>
  <c r="R453" i="2"/>
  <c r="U453" i="2"/>
  <c r="R445" i="2"/>
  <c r="U445" i="2"/>
  <c r="R437" i="2"/>
  <c r="U437" i="2"/>
  <c r="R429" i="2"/>
  <c r="U429" i="2"/>
  <c r="R421" i="2"/>
  <c r="U421" i="2"/>
  <c r="R413" i="2"/>
  <c r="U413" i="2"/>
  <c r="R405" i="2"/>
  <c r="U405" i="2"/>
  <c r="R397" i="2"/>
  <c r="U397" i="2"/>
  <c r="R389" i="2"/>
  <c r="U389" i="2"/>
  <c r="R381" i="2"/>
  <c r="U381" i="2"/>
  <c r="R373" i="2"/>
  <c r="U373" i="2"/>
  <c r="R365" i="2"/>
  <c r="U365" i="2"/>
  <c r="R357" i="2"/>
  <c r="U357" i="2"/>
  <c r="R349" i="2"/>
  <c r="U349" i="2"/>
  <c r="R341" i="2"/>
  <c r="U341" i="2"/>
  <c r="R333" i="2"/>
  <c r="U333" i="2"/>
  <c r="R325" i="2"/>
  <c r="U325" i="2"/>
  <c r="R317" i="2"/>
  <c r="U317" i="2"/>
  <c r="R309" i="2"/>
  <c r="U309" i="2"/>
  <c r="R301" i="2"/>
  <c r="U301" i="2"/>
  <c r="R293" i="2"/>
  <c r="U293" i="2"/>
  <c r="R285" i="2"/>
  <c r="U285" i="2"/>
  <c r="R277" i="2"/>
  <c r="U277" i="2"/>
  <c r="R269" i="2"/>
  <c r="U269" i="2"/>
  <c r="R261" i="2"/>
  <c r="U261" i="2"/>
  <c r="R253" i="2"/>
  <c r="U253" i="2"/>
  <c r="R245" i="2"/>
  <c r="U245" i="2"/>
  <c r="R237" i="2"/>
  <c r="U237" i="2"/>
  <c r="R229" i="2"/>
  <c r="U229" i="2"/>
  <c r="R221" i="2"/>
  <c r="U221" i="2"/>
  <c r="R213" i="2"/>
  <c r="U213" i="2"/>
  <c r="R205" i="2"/>
  <c r="U205" i="2"/>
  <c r="R197" i="2"/>
  <c r="U197" i="2"/>
  <c r="R189" i="2"/>
  <c r="U189" i="2"/>
  <c r="R181" i="2"/>
  <c r="U181" i="2"/>
  <c r="R173" i="2"/>
  <c r="U173" i="2"/>
  <c r="R165" i="2"/>
  <c r="U165" i="2"/>
  <c r="R157" i="2"/>
  <c r="U157" i="2"/>
  <c r="R149" i="2"/>
  <c r="U149" i="2"/>
  <c r="R141" i="2"/>
  <c r="U141" i="2"/>
  <c r="R133" i="2"/>
  <c r="U133" i="2"/>
  <c r="R125" i="2"/>
  <c r="U125" i="2"/>
  <c r="R117" i="2"/>
  <c r="U117" i="2"/>
  <c r="R109" i="2"/>
  <c r="U109" i="2"/>
  <c r="R101" i="2"/>
  <c r="U101" i="2"/>
  <c r="R93" i="2"/>
  <c r="U93" i="2"/>
  <c r="R85" i="2"/>
  <c r="U85" i="2"/>
  <c r="R77" i="2"/>
  <c r="U77" i="2"/>
  <c r="R69" i="2"/>
  <c r="U69" i="2"/>
  <c r="R61" i="2"/>
  <c r="U61" i="2"/>
  <c r="R53" i="2"/>
  <c r="U53" i="2"/>
  <c r="R45" i="2"/>
  <c r="U45" i="2"/>
  <c r="R37" i="2"/>
  <c r="U37" i="2"/>
  <c r="R29" i="2"/>
  <c r="U29" i="2"/>
  <c r="R21" i="2"/>
  <c r="U21" i="2"/>
  <c r="R13" i="2"/>
  <c r="U13" i="2"/>
  <c r="R1082" i="2"/>
  <c r="U1082" i="2"/>
  <c r="R1066" i="2"/>
  <c r="U1066" i="2"/>
  <c r="R1042" i="2"/>
  <c r="U1042" i="2"/>
  <c r="R1026" i="2"/>
  <c r="U1026" i="2"/>
  <c r="R1018" i="2"/>
  <c r="U1018" i="2"/>
  <c r="R1002" i="2"/>
  <c r="U1002" i="2"/>
  <c r="R978" i="2"/>
  <c r="U978" i="2"/>
  <c r="R970" i="2"/>
  <c r="U970" i="2"/>
  <c r="R962" i="2"/>
  <c r="U962" i="2"/>
  <c r="R954" i="2"/>
  <c r="U954" i="2"/>
  <c r="R946" i="2"/>
  <c r="U946" i="2"/>
  <c r="R938" i="2"/>
  <c r="U938" i="2"/>
  <c r="R1099" i="2"/>
  <c r="R1073" i="2"/>
  <c r="R1035" i="2"/>
  <c r="R1009" i="2"/>
  <c r="R973" i="2"/>
  <c r="U1133" i="2"/>
  <c r="U1123" i="2"/>
  <c r="U1068" i="2"/>
  <c r="U1032" i="2"/>
  <c r="U995" i="2"/>
  <c r="U959" i="2"/>
  <c r="U893" i="2"/>
  <c r="U857" i="2"/>
  <c r="U820" i="2"/>
  <c r="U784" i="2"/>
  <c r="U744" i="2"/>
  <c r="U700" i="2"/>
  <c r="R914" i="2"/>
  <c r="U914" i="2"/>
  <c r="R890" i="2"/>
  <c r="U890" i="2"/>
  <c r="R850" i="2"/>
  <c r="U850" i="2"/>
  <c r="R818" i="2"/>
  <c r="U818" i="2"/>
  <c r="R778" i="2"/>
  <c r="U778" i="2"/>
  <c r="R746" i="2"/>
  <c r="U746" i="2"/>
  <c r="R714" i="2"/>
  <c r="U714" i="2"/>
  <c r="R674" i="2"/>
  <c r="U674" i="2"/>
  <c r="R650" i="2"/>
  <c r="U650" i="2"/>
  <c r="R610" i="2"/>
  <c r="U610" i="2"/>
  <c r="R586" i="2"/>
  <c r="U586" i="2"/>
  <c r="R546" i="2"/>
  <c r="U546" i="2"/>
  <c r="R506" i="2"/>
  <c r="U506" i="2"/>
  <c r="R482" i="2"/>
  <c r="U482" i="2"/>
  <c r="R442" i="2"/>
  <c r="U442" i="2"/>
  <c r="R418" i="2"/>
  <c r="U418" i="2"/>
  <c r="R370" i="2"/>
  <c r="U370" i="2"/>
  <c r="R346" i="2"/>
  <c r="U346" i="2"/>
  <c r="R306" i="2"/>
  <c r="U306" i="2"/>
  <c r="R266" i="2"/>
  <c r="U266" i="2"/>
  <c r="R234" i="2"/>
  <c r="U234" i="2"/>
  <c r="R194" i="2"/>
  <c r="U194" i="2"/>
  <c r="R170" i="2"/>
  <c r="U170" i="2"/>
  <c r="R130" i="2"/>
  <c r="U130" i="2"/>
  <c r="R106" i="2"/>
  <c r="U106" i="2"/>
  <c r="R58" i="2"/>
  <c r="U58" i="2"/>
  <c r="R10" i="2"/>
  <c r="K12" i="5" s="1"/>
  <c r="U10" i="2"/>
  <c r="E12" i="5" s="1"/>
  <c r="R1071" i="2"/>
  <c r="U1071" i="2"/>
  <c r="R999" i="2"/>
  <c r="U999" i="2"/>
  <c r="R983" i="2"/>
  <c r="U983" i="2"/>
  <c r="R927" i="2"/>
  <c r="U927" i="2"/>
  <c r="R4" i="2"/>
  <c r="K6" i="5" s="1"/>
  <c r="U4" i="2"/>
  <c r="E6" i="5" s="1"/>
  <c r="R916" i="2"/>
  <c r="U916" i="2"/>
  <c r="R908" i="2"/>
  <c r="U908" i="2"/>
  <c r="R900" i="2"/>
  <c r="U900" i="2"/>
  <c r="R892" i="2"/>
  <c r="U892" i="2"/>
  <c r="R868" i="2"/>
  <c r="U868" i="2"/>
  <c r="R860" i="2"/>
  <c r="U860" i="2"/>
  <c r="R852" i="2"/>
  <c r="U852" i="2"/>
  <c r="R844" i="2"/>
  <c r="U844" i="2"/>
  <c r="R836" i="2"/>
  <c r="U836" i="2"/>
  <c r="R828" i="2"/>
  <c r="U828" i="2"/>
  <c r="R804" i="2"/>
  <c r="U804" i="2"/>
  <c r="R796" i="2"/>
  <c r="U796" i="2"/>
  <c r="R788" i="2"/>
  <c r="U788" i="2"/>
  <c r="R780" i="2"/>
  <c r="U780" i="2"/>
  <c r="R772" i="2"/>
  <c r="U772" i="2"/>
  <c r="R756" i="2"/>
  <c r="U756" i="2"/>
  <c r="R748" i="2"/>
  <c r="U748" i="2"/>
  <c r="R740" i="2"/>
  <c r="U740" i="2"/>
  <c r="R724" i="2"/>
  <c r="U724" i="2"/>
  <c r="R716" i="2"/>
  <c r="U716" i="2"/>
  <c r="R708" i="2"/>
  <c r="U708" i="2"/>
  <c r="R692" i="2"/>
  <c r="U692" i="2"/>
  <c r="R684" i="2"/>
  <c r="U684" i="2"/>
  <c r="R676" i="2"/>
  <c r="U676" i="2"/>
  <c r="R668" i="2"/>
  <c r="U668" i="2"/>
  <c r="R660" i="2"/>
  <c r="U660" i="2"/>
  <c r="R652" i="2"/>
  <c r="U652" i="2"/>
  <c r="R644" i="2"/>
  <c r="U644" i="2"/>
  <c r="R636" i="2"/>
  <c r="U636" i="2"/>
  <c r="R628" i="2"/>
  <c r="U628" i="2"/>
  <c r="R620" i="2"/>
  <c r="U620" i="2"/>
  <c r="R612" i="2"/>
  <c r="U612" i="2"/>
  <c r="R604" i="2"/>
  <c r="U604" i="2"/>
  <c r="R596" i="2"/>
  <c r="U596" i="2"/>
  <c r="R588" i="2"/>
  <c r="U588" i="2"/>
  <c r="R580" i="2"/>
  <c r="U580" i="2"/>
  <c r="R572" i="2"/>
  <c r="U572" i="2"/>
  <c r="R564" i="2"/>
  <c r="U564" i="2"/>
  <c r="R556" i="2"/>
  <c r="U556" i="2"/>
  <c r="R548" i="2"/>
  <c r="U548" i="2"/>
  <c r="R540" i="2"/>
  <c r="U540" i="2"/>
  <c r="R532" i="2"/>
  <c r="U532" i="2"/>
  <c r="R524" i="2"/>
  <c r="U524" i="2"/>
  <c r="R516" i="2"/>
  <c r="U516" i="2"/>
  <c r="R508" i="2"/>
  <c r="U508" i="2"/>
  <c r="R500" i="2"/>
  <c r="U500" i="2"/>
  <c r="R492" i="2"/>
  <c r="U492" i="2"/>
  <c r="R484" i="2"/>
  <c r="U484" i="2"/>
  <c r="R476" i="2"/>
  <c r="U476" i="2"/>
  <c r="R468" i="2"/>
  <c r="U468" i="2"/>
  <c r="R460" i="2"/>
  <c r="U460" i="2"/>
  <c r="R452" i="2"/>
  <c r="U452" i="2"/>
  <c r="R444" i="2"/>
  <c r="U444" i="2"/>
  <c r="R436" i="2"/>
  <c r="U436" i="2"/>
  <c r="R428" i="2"/>
  <c r="U428" i="2"/>
  <c r="R420" i="2"/>
  <c r="U420" i="2"/>
  <c r="R412" i="2"/>
  <c r="U412" i="2"/>
  <c r="R404" i="2"/>
  <c r="U404" i="2"/>
  <c r="R396" i="2"/>
  <c r="U396" i="2"/>
  <c r="R388" i="2"/>
  <c r="U388" i="2"/>
  <c r="R380" i="2"/>
  <c r="U380" i="2"/>
  <c r="R372" i="2"/>
  <c r="U372" i="2"/>
  <c r="R364" i="2"/>
  <c r="U364" i="2"/>
  <c r="R356" i="2"/>
  <c r="U356" i="2"/>
  <c r="R348" i="2"/>
  <c r="U348" i="2"/>
  <c r="R340" i="2"/>
  <c r="U340" i="2"/>
  <c r="R332" i="2"/>
  <c r="U332" i="2"/>
  <c r="R324" i="2"/>
  <c r="U324" i="2"/>
  <c r="R316" i="2"/>
  <c r="U316" i="2"/>
  <c r="R308" i="2"/>
  <c r="U308" i="2"/>
  <c r="R300" i="2"/>
  <c r="U300" i="2"/>
  <c r="R292" i="2"/>
  <c r="U292" i="2"/>
  <c r="R284" i="2"/>
  <c r="U284" i="2"/>
  <c r="R276" i="2"/>
  <c r="U276" i="2"/>
  <c r="R268" i="2"/>
  <c r="U268" i="2"/>
  <c r="R260" i="2"/>
  <c r="U260" i="2"/>
  <c r="R252" i="2"/>
  <c r="U252" i="2"/>
  <c r="R244" i="2"/>
  <c r="U244" i="2"/>
  <c r="R236" i="2"/>
  <c r="U236" i="2"/>
  <c r="R228" i="2"/>
  <c r="U228" i="2"/>
  <c r="R220" i="2"/>
  <c r="U220" i="2"/>
  <c r="R212" i="2"/>
  <c r="U212" i="2"/>
  <c r="R204" i="2"/>
  <c r="U204" i="2"/>
  <c r="R196" i="2"/>
  <c r="U196" i="2"/>
  <c r="R188" i="2"/>
  <c r="U188" i="2"/>
  <c r="R180" i="2"/>
  <c r="U180" i="2"/>
  <c r="R172" i="2"/>
  <c r="U172" i="2"/>
  <c r="R164" i="2"/>
  <c r="U164" i="2"/>
  <c r="R156" i="2"/>
  <c r="U156" i="2"/>
  <c r="R148" i="2"/>
  <c r="U148" i="2"/>
  <c r="R140" i="2"/>
  <c r="U140" i="2"/>
  <c r="R132" i="2"/>
  <c r="U132" i="2"/>
  <c r="R124" i="2"/>
  <c r="U124" i="2"/>
  <c r="R116" i="2"/>
  <c r="U116" i="2"/>
  <c r="R108" i="2"/>
  <c r="U108" i="2"/>
  <c r="R100" i="2"/>
  <c r="U100" i="2"/>
  <c r="R92" i="2"/>
  <c r="U92" i="2"/>
  <c r="R84" i="2"/>
  <c r="U84" i="2"/>
  <c r="R76" i="2"/>
  <c r="U76" i="2"/>
  <c r="R68" i="2"/>
  <c r="U68" i="2"/>
  <c r="R60" i="2"/>
  <c r="U60" i="2"/>
  <c r="R52" i="2"/>
  <c r="U52" i="2"/>
  <c r="R44" i="2"/>
  <c r="U44" i="2"/>
  <c r="R36" i="2"/>
  <c r="U36" i="2"/>
  <c r="R28" i="2"/>
  <c r="U28" i="2"/>
  <c r="R20" i="2"/>
  <c r="U20" i="2"/>
  <c r="R12" i="2"/>
  <c r="K14" i="5" s="1"/>
  <c r="U12" i="2"/>
  <c r="L14" i="5" s="1"/>
  <c r="R1089" i="2"/>
  <c r="U1089" i="2"/>
  <c r="R1081" i="2"/>
  <c r="U1081" i="2"/>
  <c r="R1065" i="2"/>
  <c r="U1065" i="2"/>
  <c r="R1057" i="2"/>
  <c r="U1057" i="2"/>
  <c r="R1017" i="2"/>
  <c r="U1017" i="2"/>
  <c r="R1001" i="2"/>
  <c r="U1001" i="2"/>
  <c r="R993" i="2"/>
  <c r="U993" i="2"/>
  <c r="R961" i="2"/>
  <c r="U961" i="2"/>
  <c r="R945" i="2"/>
  <c r="U945" i="2"/>
  <c r="R937" i="2"/>
  <c r="U937" i="2"/>
  <c r="R929" i="2"/>
  <c r="U929" i="2"/>
  <c r="R1069" i="2"/>
  <c r="R1005" i="2"/>
  <c r="R969" i="2"/>
  <c r="U1132" i="2"/>
  <c r="U1097" i="2"/>
  <c r="U1067" i="2"/>
  <c r="U1031" i="2"/>
  <c r="U957" i="2"/>
  <c r="U922" i="2"/>
  <c r="U885" i="2"/>
  <c r="U849" i="2"/>
  <c r="U812" i="2"/>
  <c r="U776" i="2"/>
  <c r="U735" i="2"/>
  <c r="U691" i="2"/>
  <c r="R826" i="2"/>
  <c r="U826" i="2"/>
  <c r="R770" i="2"/>
  <c r="U770" i="2"/>
  <c r="R626" i="2"/>
  <c r="U626" i="2"/>
  <c r="R562" i="2"/>
  <c r="U562" i="2"/>
  <c r="R498" i="2"/>
  <c r="U498" i="2"/>
  <c r="R434" i="2"/>
  <c r="U434" i="2"/>
  <c r="R378" i="2"/>
  <c r="U378" i="2"/>
  <c r="R322" i="2"/>
  <c r="U322" i="2"/>
  <c r="R258" i="2"/>
  <c r="U258" i="2"/>
  <c r="R210" i="2"/>
  <c r="U210" i="2"/>
  <c r="R146" i="2"/>
  <c r="U146" i="2"/>
  <c r="R90" i="2"/>
  <c r="U90" i="2"/>
  <c r="R26" i="2"/>
  <c r="U26" i="2"/>
  <c r="R1039" i="2"/>
  <c r="U1039" i="2"/>
  <c r="U1095" i="2"/>
  <c r="R6" i="2"/>
  <c r="K8" i="5" s="1"/>
  <c r="U6" i="2"/>
  <c r="L8" i="5" s="1"/>
  <c r="R915" i="2"/>
  <c r="U915" i="2"/>
  <c r="R907" i="2"/>
  <c r="U907" i="2"/>
  <c r="R899" i="2"/>
  <c r="U899" i="2"/>
  <c r="R891" i="2"/>
  <c r="U891" i="2"/>
  <c r="R883" i="2"/>
  <c r="U883" i="2"/>
  <c r="R859" i="2"/>
  <c r="U859" i="2"/>
  <c r="R851" i="2"/>
  <c r="U851" i="2"/>
  <c r="R843" i="2"/>
  <c r="U843" i="2"/>
  <c r="R835" i="2"/>
  <c r="U835" i="2"/>
  <c r="R827" i="2"/>
  <c r="U827" i="2"/>
  <c r="R819" i="2"/>
  <c r="U819" i="2"/>
  <c r="R795" i="2"/>
  <c r="U795" i="2"/>
  <c r="R787" i="2"/>
  <c r="U787" i="2"/>
  <c r="R779" i="2"/>
  <c r="U779" i="2"/>
  <c r="R771" i="2"/>
  <c r="U771" i="2"/>
  <c r="R763" i="2"/>
  <c r="U763" i="2"/>
  <c r="R747" i="2"/>
  <c r="U747" i="2"/>
  <c r="R739" i="2"/>
  <c r="U739" i="2"/>
  <c r="R731" i="2"/>
  <c r="U731" i="2"/>
  <c r="R715" i="2"/>
  <c r="U715" i="2"/>
  <c r="R707" i="2"/>
  <c r="U707" i="2"/>
  <c r="R699" i="2"/>
  <c r="U699" i="2"/>
  <c r="R683" i="2"/>
  <c r="U683" i="2"/>
  <c r="R675" i="2"/>
  <c r="U675" i="2"/>
  <c r="R667" i="2"/>
  <c r="U667" i="2"/>
  <c r="R659" i="2"/>
  <c r="U659" i="2"/>
  <c r="R651" i="2"/>
  <c r="U651" i="2"/>
  <c r="R643" i="2"/>
  <c r="U643" i="2"/>
  <c r="R635" i="2"/>
  <c r="U635" i="2"/>
  <c r="R627" i="2"/>
  <c r="U627" i="2"/>
  <c r="R619" i="2"/>
  <c r="U619" i="2"/>
  <c r="R611" i="2"/>
  <c r="U611" i="2"/>
  <c r="R603" i="2"/>
  <c r="U603" i="2"/>
  <c r="R595" i="2"/>
  <c r="U595" i="2"/>
  <c r="R587" i="2"/>
  <c r="U587" i="2"/>
  <c r="R579" i="2"/>
  <c r="U579" i="2"/>
  <c r="R571" i="2"/>
  <c r="U571" i="2"/>
  <c r="R563" i="2"/>
  <c r="U563" i="2"/>
  <c r="R555" i="2"/>
  <c r="U555" i="2"/>
  <c r="R547" i="2"/>
  <c r="U547" i="2"/>
  <c r="R539" i="2"/>
  <c r="U539" i="2"/>
  <c r="R531" i="2"/>
  <c r="U531" i="2"/>
  <c r="R523" i="2"/>
  <c r="U523" i="2"/>
  <c r="R515" i="2"/>
  <c r="U515" i="2"/>
  <c r="R507" i="2"/>
  <c r="U507" i="2"/>
  <c r="R499" i="2"/>
  <c r="U499" i="2"/>
  <c r="R491" i="2"/>
  <c r="U491" i="2"/>
  <c r="R483" i="2"/>
  <c r="U483" i="2"/>
  <c r="R475" i="2"/>
  <c r="U475" i="2"/>
  <c r="R467" i="2"/>
  <c r="U467" i="2"/>
  <c r="R459" i="2"/>
  <c r="U459" i="2"/>
  <c r="R451" i="2"/>
  <c r="U451" i="2"/>
  <c r="R443" i="2"/>
  <c r="U443" i="2"/>
  <c r="R435" i="2"/>
  <c r="U435" i="2"/>
  <c r="R427" i="2"/>
  <c r="U427" i="2"/>
  <c r="R419" i="2"/>
  <c r="U419" i="2"/>
  <c r="R411" i="2"/>
  <c r="U411" i="2"/>
  <c r="R403" i="2"/>
  <c r="U403" i="2"/>
  <c r="R395" i="2"/>
  <c r="U395" i="2"/>
  <c r="R387" i="2"/>
  <c r="U387" i="2"/>
  <c r="R379" i="2"/>
  <c r="U379" i="2"/>
  <c r="R371" i="2"/>
  <c r="U371" i="2"/>
  <c r="R363" i="2"/>
  <c r="U363" i="2"/>
  <c r="R355" i="2"/>
  <c r="U355" i="2"/>
  <c r="R347" i="2"/>
  <c r="U347" i="2"/>
  <c r="R339" i="2"/>
  <c r="U339" i="2"/>
  <c r="R331" i="2"/>
  <c r="U331" i="2"/>
  <c r="R323" i="2"/>
  <c r="U323" i="2"/>
  <c r="R315" i="2"/>
  <c r="U315" i="2"/>
  <c r="R307" i="2"/>
  <c r="U307" i="2"/>
  <c r="R299" i="2"/>
  <c r="U299" i="2"/>
  <c r="R291" i="2"/>
  <c r="U291" i="2"/>
  <c r="R283" i="2"/>
  <c r="U283" i="2"/>
  <c r="R275" i="2"/>
  <c r="U275" i="2"/>
  <c r="R267" i="2"/>
  <c r="U267" i="2"/>
  <c r="R259" i="2"/>
  <c r="U259" i="2"/>
  <c r="R251" i="2"/>
  <c r="U251" i="2"/>
  <c r="R243" i="2"/>
  <c r="U243" i="2"/>
  <c r="R235" i="2"/>
  <c r="U235" i="2"/>
  <c r="R227" i="2"/>
  <c r="U227" i="2"/>
  <c r="R219" i="2"/>
  <c r="U219" i="2"/>
  <c r="R211" i="2"/>
  <c r="U211" i="2"/>
  <c r="R203" i="2"/>
  <c r="U203" i="2"/>
  <c r="R195" i="2"/>
  <c r="U195" i="2"/>
  <c r="R187" i="2"/>
  <c r="U187" i="2"/>
  <c r="R179" i="2"/>
  <c r="U179" i="2"/>
  <c r="R171" i="2"/>
  <c r="U171" i="2"/>
  <c r="R163" i="2"/>
  <c r="U163" i="2"/>
  <c r="R155" i="2"/>
  <c r="U155" i="2"/>
  <c r="R147" i="2"/>
  <c r="U147" i="2"/>
  <c r="R139" i="2"/>
  <c r="U139" i="2"/>
  <c r="R131" i="2"/>
  <c r="U131" i="2"/>
  <c r="R123" i="2"/>
  <c r="U123" i="2"/>
  <c r="R115" i="2"/>
  <c r="U115" i="2"/>
  <c r="R107" i="2"/>
  <c r="U107" i="2"/>
  <c r="R99" i="2"/>
  <c r="U99" i="2"/>
  <c r="R91" i="2"/>
  <c r="U91" i="2"/>
  <c r="R83" i="2"/>
  <c r="U83" i="2"/>
  <c r="R75" i="2"/>
  <c r="U75" i="2"/>
  <c r="R67" i="2"/>
  <c r="U67" i="2"/>
  <c r="R59" i="2"/>
  <c r="U59" i="2"/>
  <c r="R51" i="2"/>
  <c r="U51" i="2"/>
  <c r="R43" i="2"/>
  <c r="U43" i="2"/>
  <c r="R35" i="2"/>
  <c r="U35" i="2"/>
  <c r="R27" i="2"/>
  <c r="U27" i="2"/>
  <c r="R19" i="2"/>
  <c r="U19" i="2"/>
  <c r="R11" i="2"/>
  <c r="K13" i="5" s="1"/>
  <c r="U11" i="2"/>
  <c r="L13" i="5" s="1"/>
  <c r="R1088" i="2"/>
  <c r="U1088" i="2"/>
  <c r="R1080" i="2"/>
  <c r="U1080" i="2"/>
  <c r="R1072" i="2"/>
  <c r="U1072" i="2"/>
  <c r="R1064" i="2"/>
  <c r="U1064" i="2"/>
  <c r="R1056" i="2"/>
  <c r="U1056" i="2"/>
  <c r="R1048" i="2"/>
  <c r="U1048" i="2"/>
  <c r="R1024" i="2"/>
  <c r="U1024" i="2"/>
  <c r="R1016" i="2"/>
  <c r="U1016" i="2"/>
  <c r="R1008" i="2"/>
  <c r="U1008" i="2"/>
  <c r="R1000" i="2"/>
  <c r="U1000" i="2"/>
  <c r="R992" i="2"/>
  <c r="U992" i="2"/>
  <c r="R984" i="2"/>
  <c r="U984" i="2"/>
  <c r="R960" i="2"/>
  <c r="U960" i="2"/>
  <c r="R952" i="2"/>
  <c r="U952" i="2"/>
  <c r="R944" i="2"/>
  <c r="U944" i="2"/>
  <c r="R936" i="2"/>
  <c r="U936" i="2"/>
  <c r="R928" i="2"/>
  <c r="U928" i="2"/>
  <c r="R1061" i="2"/>
  <c r="R1033" i="2"/>
  <c r="R997" i="2"/>
  <c r="R953" i="2"/>
  <c r="U1131" i="2"/>
  <c r="U1121" i="2"/>
  <c r="U1111" i="2"/>
  <c r="U1096" i="2"/>
  <c r="U1059" i="2"/>
  <c r="U1023" i="2"/>
  <c r="U949" i="2"/>
  <c r="U921" i="2"/>
  <c r="U884" i="2"/>
  <c r="U848" i="2"/>
  <c r="U811" i="2"/>
  <c r="U775" i="2"/>
  <c r="U732" i="2"/>
  <c r="U690" i="2"/>
  <c r="L577" i="2"/>
  <c r="L874" i="2"/>
  <c r="L921" i="2"/>
  <c r="L913" i="2"/>
  <c r="L905" i="2"/>
  <c r="L897" i="2"/>
  <c r="L889" i="2"/>
  <c r="L881" i="2"/>
  <c r="L873" i="2"/>
  <c r="L865" i="2"/>
  <c r="L857" i="2"/>
  <c r="L849" i="2"/>
  <c r="L841" i="2"/>
  <c r="L833" i="2"/>
  <c r="L825" i="2"/>
  <c r="L817" i="2"/>
  <c r="L809" i="2"/>
  <c r="L801" i="2"/>
  <c r="L793" i="2"/>
  <c r="L785" i="2"/>
  <c r="L777" i="2"/>
  <c r="L769" i="2"/>
  <c r="L761" i="2"/>
  <c r="L753" i="2"/>
  <c r="L745" i="2"/>
  <c r="L737" i="2"/>
  <c r="L729" i="2"/>
  <c r="L721" i="2"/>
  <c r="L713" i="2"/>
  <c r="L705" i="2"/>
  <c r="L697" i="2"/>
  <c r="L689" i="2"/>
  <c r="L680" i="2"/>
  <c r="L671" i="2"/>
  <c r="L662" i="2"/>
  <c r="L649" i="2"/>
  <c r="L636" i="2"/>
  <c r="L609" i="2"/>
  <c r="L920" i="2"/>
  <c r="L912" i="2"/>
  <c r="L904" i="2"/>
  <c r="L896" i="2"/>
  <c r="L888" i="2"/>
  <c r="L880" i="2"/>
  <c r="L872" i="2"/>
  <c r="L864" i="2"/>
  <c r="L856" i="2"/>
  <c r="L848" i="2"/>
  <c r="L840" i="2"/>
  <c r="L832" i="2"/>
  <c r="L824" i="2"/>
  <c r="L816" i="2"/>
  <c r="L808" i="2"/>
  <c r="L800" i="2"/>
  <c r="L792" i="2"/>
  <c r="L784" i="2"/>
  <c r="L776" i="2"/>
  <c r="L768" i="2"/>
  <c r="L760" i="2"/>
  <c r="L752" i="2"/>
  <c r="L744" i="2"/>
  <c r="L736" i="2"/>
  <c r="L728" i="2"/>
  <c r="L720" i="2"/>
  <c r="L712" i="2"/>
  <c r="L704" i="2"/>
  <c r="L696" i="2"/>
  <c r="L688" i="2"/>
  <c r="L679" i="2"/>
  <c r="L670" i="2"/>
  <c r="L660" i="2"/>
  <c r="L647" i="2"/>
  <c r="L635" i="2"/>
  <c r="L607" i="2"/>
  <c r="L2" i="2"/>
  <c r="L919" i="2"/>
  <c r="L911" i="2"/>
  <c r="L903" i="2"/>
  <c r="L895" i="2"/>
  <c r="L887" i="2"/>
  <c r="L879" i="2"/>
  <c r="L871" i="2"/>
  <c r="L863" i="2"/>
  <c r="L855" i="2"/>
  <c r="L847" i="2"/>
  <c r="L839" i="2"/>
  <c r="L831" i="2"/>
  <c r="L823" i="2"/>
  <c r="L815" i="2"/>
  <c r="L807" i="2"/>
  <c r="L799" i="2"/>
  <c r="L791" i="2"/>
  <c r="L783" i="2"/>
  <c r="L775" i="2"/>
  <c r="L767" i="2"/>
  <c r="L759" i="2"/>
  <c r="L751" i="2"/>
  <c r="L743" i="2"/>
  <c r="L735" i="2"/>
  <c r="L727" i="2"/>
  <c r="L719" i="2"/>
  <c r="L711" i="2"/>
  <c r="L703" i="2"/>
  <c r="L695" i="2"/>
  <c r="L687" i="2"/>
  <c r="L678" i="2"/>
  <c r="L669" i="2"/>
  <c r="L659" i="2"/>
  <c r="L646" i="2"/>
  <c r="L633" i="2"/>
  <c r="L601" i="2"/>
  <c r="L6" i="2"/>
  <c r="L918" i="2"/>
  <c r="L910" i="2"/>
  <c r="L902" i="2"/>
  <c r="L894" i="2"/>
  <c r="L886" i="2"/>
  <c r="L878" i="2"/>
  <c r="L870" i="2"/>
  <c r="L862" i="2"/>
  <c r="L854" i="2"/>
  <c r="L846" i="2"/>
  <c r="L838" i="2"/>
  <c r="L830" i="2"/>
  <c r="L822" i="2"/>
  <c r="L814" i="2"/>
  <c r="L806" i="2"/>
  <c r="L798" i="2"/>
  <c r="L790" i="2"/>
  <c r="L782" i="2"/>
  <c r="L774" i="2"/>
  <c r="L766" i="2"/>
  <c r="L758" i="2"/>
  <c r="L750" i="2"/>
  <c r="L742" i="2"/>
  <c r="L734" i="2"/>
  <c r="L726" i="2"/>
  <c r="L718" i="2"/>
  <c r="L710" i="2"/>
  <c r="L702" i="2"/>
  <c r="L694" i="2"/>
  <c r="L686" i="2"/>
  <c r="L677" i="2"/>
  <c r="L668" i="2"/>
  <c r="L657" i="2"/>
  <c r="L644" i="2"/>
  <c r="L631" i="2"/>
  <c r="L593" i="2"/>
  <c r="L5" i="2"/>
  <c r="L917" i="2"/>
  <c r="L909" i="2"/>
  <c r="L901" i="2"/>
  <c r="L893" i="2"/>
  <c r="L885" i="2"/>
  <c r="L877" i="2"/>
  <c r="L869" i="2"/>
  <c r="L861" i="2"/>
  <c r="L853" i="2"/>
  <c r="L845" i="2"/>
  <c r="L837" i="2"/>
  <c r="L829" i="2"/>
  <c r="L821" i="2"/>
  <c r="L813" i="2"/>
  <c r="L805" i="2"/>
  <c r="L797" i="2"/>
  <c r="L789" i="2"/>
  <c r="L781" i="2"/>
  <c r="L773" i="2"/>
  <c r="L765" i="2"/>
  <c r="L757" i="2"/>
  <c r="L749" i="2"/>
  <c r="L741" i="2"/>
  <c r="L733" i="2"/>
  <c r="L725" i="2"/>
  <c r="L717" i="2"/>
  <c r="L709" i="2"/>
  <c r="L701" i="2"/>
  <c r="L693" i="2"/>
  <c r="L685" i="2"/>
  <c r="L676" i="2"/>
  <c r="L667" i="2"/>
  <c r="L655" i="2"/>
  <c r="L643" i="2"/>
  <c r="L625" i="2"/>
  <c r="L585" i="2"/>
  <c r="L4" i="2"/>
  <c r="L916" i="2"/>
  <c r="L908" i="2"/>
  <c r="L900" i="2"/>
  <c r="L892" i="2"/>
  <c r="L884" i="2"/>
  <c r="L876" i="2"/>
  <c r="L868" i="2"/>
  <c r="L860" i="2"/>
  <c r="L852" i="2"/>
  <c r="L844" i="2"/>
  <c r="L836" i="2"/>
  <c r="L828" i="2"/>
  <c r="L820" i="2"/>
  <c r="L812" i="2"/>
  <c r="L804" i="2"/>
  <c r="L796" i="2"/>
  <c r="L788" i="2"/>
  <c r="L780" i="2"/>
  <c r="L772" i="2"/>
  <c r="L764" i="2"/>
  <c r="L756" i="2"/>
  <c r="L748" i="2"/>
  <c r="L740" i="2"/>
  <c r="L732" i="2"/>
  <c r="L724" i="2"/>
  <c r="L716" i="2"/>
  <c r="L708" i="2"/>
  <c r="L700" i="2"/>
  <c r="L692" i="2"/>
  <c r="L684" i="2"/>
  <c r="L675" i="2"/>
  <c r="L665" i="2"/>
  <c r="L654" i="2"/>
  <c r="L641" i="2"/>
  <c r="L623" i="2"/>
  <c r="L7" i="2"/>
  <c r="L15" i="2"/>
  <c r="L23" i="2"/>
  <c r="L31" i="2"/>
  <c r="L39" i="2"/>
  <c r="L47" i="2"/>
  <c r="L55" i="2"/>
  <c r="L63" i="2"/>
  <c r="L71" i="2"/>
  <c r="L79" i="2"/>
  <c r="L87" i="2"/>
  <c r="L95" i="2"/>
  <c r="L103" i="2"/>
  <c r="L111" i="2"/>
  <c r="L119" i="2"/>
  <c r="L127" i="2"/>
  <c r="L135" i="2"/>
  <c r="L143" i="2"/>
  <c r="L151" i="2"/>
  <c r="L159" i="2"/>
  <c r="L167" i="2"/>
  <c r="L175" i="2"/>
  <c r="L183" i="2"/>
  <c r="L191" i="2"/>
  <c r="L199" i="2"/>
  <c r="L207" i="2"/>
  <c r="L215" i="2"/>
  <c r="L223" i="2"/>
  <c r="L231" i="2"/>
  <c r="L239" i="2"/>
  <c r="L247" i="2"/>
  <c r="L255" i="2"/>
  <c r="L263" i="2"/>
  <c r="L271" i="2"/>
  <c r="L279" i="2"/>
  <c r="L287" i="2"/>
  <c r="L295" i="2"/>
  <c r="L303" i="2"/>
  <c r="L311" i="2"/>
  <c r="L319" i="2"/>
  <c r="L327" i="2"/>
  <c r="L335" i="2"/>
  <c r="L343" i="2"/>
  <c r="L351" i="2"/>
  <c r="L359" i="2"/>
  <c r="L367" i="2"/>
  <c r="L375" i="2"/>
  <c r="L383" i="2"/>
  <c r="L391" i="2"/>
  <c r="L399" i="2"/>
  <c r="L407" i="2"/>
  <c r="L415" i="2"/>
  <c r="L423" i="2"/>
  <c r="L431" i="2"/>
  <c r="L439" i="2"/>
  <c r="L447" i="2"/>
  <c r="L455" i="2"/>
  <c r="L463" i="2"/>
  <c r="L471" i="2"/>
  <c r="L479" i="2"/>
  <c r="L487" i="2"/>
  <c r="L495" i="2"/>
  <c r="L503" i="2"/>
  <c r="L511" i="2"/>
  <c r="L519" i="2"/>
  <c r="L527" i="2"/>
  <c r="L535" i="2"/>
  <c r="L543" i="2"/>
  <c r="L551" i="2"/>
  <c r="L559" i="2"/>
  <c r="L567" i="2"/>
  <c r="L575" i="2"/>
  <c r="L583" i="2"/>
  <c r="L591" i="2"/>
  <c r="L599" i="2"/>
  <c r="L8" i="2"/>
  <c r="L16" i="2"/>
  <c r="L24" i="2"/>
  <c r="L32" i="2"/>
  <c r="L40" i="2"/>
  <c r="L48" i="2"/>
  <c r="L56" i="2"/>
  <c r="L64" i="2"/>
  <c r="L72" i="2"/>
  <c r="L80" i="2"/>
  <c r="L88" i="2"/>
  <c r="L96" i="2"/>
  <c r="L104" i="2"/>
  <c r="L112" i="2"/>
  <c r="L120" i="2"/>
  <c r="L128" i="2"/>
  <c r="L136" i="2"/>
  <c r="L144" i="2"/>
  <c r="L152" i="2"/>
  <c r="L160" i="2"/>
  <c r="L168" i="2"/>
  <c r="L176" i="2"/>
  <c r="L184" i="2"/>
  <c r="L192" i="2"/>
  <c r="L200" i="2"/>
  <c r="L208" i="2"/>
  <c r="L216" i="2"/>
  <c r="L224" i="2"/>
  <c r="L232" i="2"/>
  <c r="L240" i="2"/>
  <c r="L248" i="2"/>
  <c r="L256" i="2"/>
  <c r="L264" i="2"/>
  <c r="L272" i="2"/>
  <c r="L280" i="2"/>
  <c r="L288" i="2"/>
  <c r="L296" i="2"/>
  <c r="L304" i="2"/>
  <c r="L312" i="2"/>
  <c r="L320" i="2"/>
  <c r="L328" i="2"/>
  <c r="L336" i="2"/>
  <c r="L344" i="2"/>
  <c r="L352" i="2"/>
  <c r="L360" i="2"/>
  <c r="L368" i="2"/>
  <c r="L376" i="2"/>
  <c r="L384" i="2"/>
  <c r="L392" i="2"/>
  <c r="L400" i="2"/>
  <c r="L408" i="2"/>
  <c r="L416" i="2"/>
  <c r="L424" i="2"/>
  <c r="L432" i="2"/>
  <c r="L440" i="2"/>
  <c r="L448" i="2"/>
  <c r="L456" i="2"/>
  <c r="L464" i="2"/>
  <c r="L472" i="2"/>
  <c r="L480" i="2"/>
  <c r="L488" i="2"/>
  <c r="L496" i="2"/>
  <c r="L504" i="2"/>
  <c r="L512" i="2"/>
  <c r="L520" i="2"/>
  <c r="L528" i="2"/>
  <c r="L536" i="2"/>
  <c r="L544" i="2"/>
  <c r="L552" i="2"/>
  <c r="L560" i="2"/>
  <c r="L568" i="2"/>
  <c r="L576" i="2"/>
  <c r="L584" i="2"/>
  <c r="L592" i="2"/>
  <c r="L600" i="2"/>
  <c r="L608" i="2"/>
  <c r="L616" i="2"/>
  <c r="L624" i="2"/>
  <c r="L632" i="2"/>
  <c r="L640" i="2"/>
  <c r="L648" i="2"/>
  <c r="L656" i="2"/>
  <c r="L9" i="2"/>
  <c r="L17" i="2"/>
  <c r="L25" i="2"/>
  <c r="L33" i="2"/>
  <c r="L41" i="2"/>
  <c r="L49" i="2"/>
  <c r="L57" i="2"/>
  <c r="L65" i="2"/>
  <c r="L73" i="2"/>
  <c r="L81" i="2"/>
  <c r="L89" i="2"/>
  <c r="L97" i="2"/>
  <c r="L105" i="2"/>
  <c r="L113" i="2"/>
  <c r="L121" i="2"/>
  <c r="L129" i="2"/>
  <c r="L137" i="2"/>
  <c r="L145" i="2"/>
  <c r="L153" i="2"/>
  <c r="L161" i="2"/>
  <c r="L169" i="2"/>
  <c r="L177" i="2"/>
  <c r="L185" i="2"/>
  <c r="L193" i="2"/>
  <c r="L201" i="2"/>
  <c r="L209" i="2"/>
  <c r="L217" i="2"/>
  <c r="L225" i="2"/>
  <c r="L233" i="2"/>
  <c r="L241" i="2"/>
  <c r="L249" i="2"/>
  <c r="L257" i="2"/>
  <c r="L265" i="2"/>
  <c r="L273" i="2"/>
  <c r="L281" i="2"/>
  <c r="L289" i="2"/>
  <c r="L297" i="2"/>
  <c r="L305" i="2"/>
  <c r="L313" i="2"/>
  <c r="L321" i="2"/>
  <c r="L329" i="2"/>
  <c r="L337" i="2"/>
  <c r="L345" i="2"/>
  <c r="L353" i="2"/>
  <c r="L361" i="2"/>
  <c r="L369" i="2"/>
  <c r="L377" i="2"/>
  <c r="L385" i="2"/>
  <c r="L393" i="2"/>
  <c r="L401" i="2"/>
  <c r="L409" i="2"/>
  <c r="L417" i="2"/>
  <c r="L425" i="2"/>
  <c r="L433" i="2"/>
  <c r="L441" i="2"/>
  <c r="L449" i="2"/>
  <c r="L457" i="2"/>
  <c r="L465" i="2"/>
  <c r="L473" i="2"/>
  <c r="L481" i="2"/>
  <c r="L489" i="2"/>
  <c r="L497" i="2"/>
  <c r="L505" i="2"/>
  <c r="L513" i="2"/>
  <c r="L521" i="2"/>
  <c r="L529" i="2"/>
  <c r="L537" i="2"/>
  <c r="L545" i="2"/>
  <c r="L553" i="2"/>
  <c r="L10" i="2"/>
  <c r="L18" i="2"/>
  <c r="L26" i="2"/>
  <c r="L34" i="2"/>
  <c r="L42" i="2"/>
  <c r="L50" i="2"/>
  <c r="L58" i="2"/>
  <c r="L66" i="2"/>
  <c r="L74" i="2"/>
  <c r="L82" i="2"/>
  <c r="L90" i="2"/>
  <c r="L98" i="2"/>
  <c r="L106" i="2"/>
  <c r="L114" i="2"/>
  <c r="L122" i="2"/>
  <c r="L130" i="2"/>
  <c r="L138" i="2"/>
  <c r="L146" i="2"/>
  <c r="L154" i="2"/>
  <c r="L162" i="2"/>
  <c r="L170" i="2"/>
  <c r="L178" i="2"/>
  <c r="L186" i="2"/>
  <c r="L194" i="2"/>
  <c r="L202" i="2"/>
  <c r="L210" i="2"/>
  <c r="L218" i="2"/>
  <c r="L226" i="2"/>
  <c r="L234" i="2"/>
  <c r="L242" i="2"/>
  <c r="L250" i="2"/>
  <c r="L258" i="2"/>
  <c r="L266" i="2"/>
  <c r="L274" i="2"/>
  <c r="L282" i="2"/>
  <c r="L290" i="2"/>
  <c r="L298" i="2"/>
  <c r="L306" i="2"/>
  <c r="L314" i="2"/>
  <c r="L322" i="2"/>
  <c r="L330" i="2"/>
  <c r="L338" i="2"/>
  <c r="L346" i="2"/>
  <c r="L354" i="2"/>
  <c r="L362" i="2"/>
  <c r="L370" i="2"/>
  <c r="L378" i="2"/>
  <c r="L386" i="2"/>
  <c r="L394" i="2"/>
  <c r="L402" i="2"/>
  <c r="L410" i="2"/>
  <c r="L418" i="2"/>
  <c r="L426" i="2"/>
  <c r="L434" i="2"/>
  <c r="L442" i="2"/>
  <c r="L450" i="2"/>
  <c r="L458" i="2"/>
  <c r="L466" i="2"/>
  <c r="L474" i="2"/>
  <c r="L482" i="2"/>
  <c r="L490" i="2"/>
  <c r="L498" i="2"/>
  <c r="L506" i="2"/>
  <c r="L514" i="2"/>
  <c r="L522" i="2"/>
  <c r="L530" i="2"/>
  <c r="L538" i="2"/>
  <c r="L546" i="2"/>
  <c r="L554" i="2"/>
  <c r="L562" i="2"/>
  <c r="L570" i="2"/>
  <c r="L578" i="2"/>
  <c r="L586" i="2"/>
  <c r="L594" i="2"/>
  <c r="L602" i="2"/>
  <c r="L610" i="2"/>
  <c r="L618" i="2"/>
  <c r="L626" i="2"/>
  <c r="L634" i="2"/>
  <c r="L642" i="2"/>
  <c r="L650" i="2"/>
  <c r="L658" i="2"/>
  <c r="L666" i="2"/>
  <c r="L674" i="2"/>
  <c r="L682" i="2"/>
  <c r="L11" i="2"/>
  <c r="L19" i="2"/>
  <c r="L27" i="2"/>
  <c r="L35" i="2"/>
  <c r="L43" i="2"/>
  <c r="L51" i="2"/>
  <c r="L59" i="2"/>
  <c r="L67" i="2"/>
  <c r="L75" i="2"/>
  <c r="L83" i="2"/>
  <c r="L91" i="2"/>
  <c r="L99" i="2"/>
  <c r="L107" i="2"/>
  <c r="L115" i="2"/>
  <c r="L123" i="2"/>
  <c r="L131" i="2"/>
  <c r="L139" i="2"/>
  <c r="L147" i="2"/>
  <c r="L155" i="2"/>
  <c r="L163" i="2"/>
  <c r="L171" i="2"/>
  <c r="L179" i="2"/>
  <c r="L187" i="2"/>
  <c r="L195" i="2"/>
  <c r="L203" i="2"/>
  <c r="L211" i="2"/>
  <c r="L219" i="2"/>
  <c r="L227" i="2"/>
  <c r="L235" i="2"/>
  <c r="L243" i="2"/>
  <c r="L251" i="2"/>
  <c r="L259" i="2"/>
  <c r="L267" i="2"/>
  <c r="L275" i="2"/>
  <c r="L283" i="2"/>
  <c r="L291" i="2"/>
  <c r="L299" i="2"/>
  <c r="L307" i="2"/>
  <c r="L315" i="2"/>
  <c r="L323" i="2"/>
  <c r="L331" i="2"/>
  <c r="L339" i="2"/>
  <c r="L347" i="2"/>
  <c r="L355" i="2"/>
  <c r="L363" i="2"/>
  <c r="L371" i="2"/>
  <c r="L379" i="2"/>
  <c r="L387" i="2"/>
  <c r="L395" i="2"/>
  <c r="L403" i="2"/>
  <c r="L411" i="2"/>
  <c r="L419" i="2"/>
  <c r="L427" i="2"/>
  <c r="L435" i="2"/>
  <c r="L443" i="2"/>
  <c r="L451" i="2"/>
  <c r="L459" i="2"/>
  <c r="L467" i="2"/>
  <c r="L475" i="2"/>
  <c r="L483" i="2"/>
  <c r="L491" i="2"/>
  <c r="L499" i="2"/>
  <c r="L507" i="2"/>
  <c r="L515" i="2"/>
  <c r="L523" i="2"/>
  <c r="L531" i="2"/>
  <c r="L539" i="2"/>
  <c r="L547" i="2"/>
  <c r="L555" i="2"/>
  <c r="L563" i="2"/>
  <c r="L571" i="2"/>
  <c r="L579" i="2"/>
  <c r="L587" i="2"/>
  <c r="L595" i="2"/>
  <c r="L603" i="2"/>
  <c r="L611" i="2"/>
  <c r="L619" i="2"/>
  <c r="L627" i="2"/>
  <c r="L12" i="2"/>
  <c r="L20" i="2"/>
  <c r="L28" i="2"/>
  <c r="L36" i="2"/>
  <c r="L44" i="2"/>
  <c r="L52" i="2"/>
  <c r="L60" i="2"/>
  <c r="L68" i="2"/>
  <c r="L76" i="2"/>
  <c r="L84" i="2"/>
  <c r="L92" i="2"/>
  <c r="L100" i="2"/>
  <c r="L108" i="2"/>
  <c r="L116" i="2"/>
  <c r="L124" i="2"/>
  <c r="L132" i="2"/>
  <c r="L140" i="2"/>
  <c r="L148" i="2"/>
  <c r="L156" i="2"/>
  <c r="L164" i="2"/>
  <c r="L172" i="2"/>
  <c r="L180" i="2"/>
  <c r="L188" i="2"/>
  <c r="L196" i="2"/>
  <c r="L204" i="2"/>
  <c r="L212" i="2"/>
  <c r="L220" i="2"/>
  <c r="L228" i="2"/>
  <c r="L236" i="2"/>
  <c r="L244" i="2"/>
  <c r="L252" i="2"/>
  <c r="L260" i="2"/>
  <c r="L268" i="2"/>
  <c r="L276" i="2"/>
  <c r="L284" i="2"/>
  <c r="L292" i="2"/>
  <c r="L300" i="2"/>
  <c r="L308" i="2"/>
  <c r="L316" i="2"/>
  <c r="L324" i="2"/>
  <c r="L332" i="2"/>
  <c r="L340" i="2"/>
  <c r="L348" i="2"/>
  <c r="L356" i="2"/>
  <c r="L364" i="2"/>
  <c r="L372" i="2"/>
  <c r="L380" i="2"/>
  <c r="L388" i="2"/>
  <c r="L396" i="2"/>
  <c r="L404" i="2"/>
  <c r="L412" i="2"/>
  <c r="L420" i="2"/>
  <c r="L428" i="2"/>
  <c r="L436" i="2"/>
  <c r="L444" i="2"/>
  <c r="L452" i="2"/>
  <c r="L460" i="2"/>
  <c r="L468" i="2"/>
  <c r="L476" i="2"/>
  <c r="L484" i="2"/>
  <c r="L492" i="2"/>
  <c r="L500" i="2"/>
  <c r="L508" i="2"/>
  <c r="L516" i="2"/>
  <c r="L524" i="2"/>
  <c r="L532" i="2"/>
  <c r="L540" i="2"/>
  <c r="L548" i="2"/>
  <c r="L556" i="2"/>
  <c r="L564" i="2"/>
  <c r="L572" i="2"/>
  <c r="L580" i="2"/>
  <c r="L588" i="2"/>
  <c r="L596" i="2"/>
  <c r="L604" i="2"/>
  <c r="L612" i="2"/>
  <c r="L620" i="2"/>
  <c r="L628" i="2"/>
  <c r="L13" i="2"/>
  <c r="L21" i="2"/>
  <c r="L29" i="2"/>
  <c r="L37" i="2"/>
  <c r="L45" i="2"/>
  <c r="L53" i="2"/>
  <c r="L61" i="2"/>
  <c r="L69" i="2"/>
  <c r="L77" i="2"/>
  <c r="L85" i="2"/>
  <c r="L93" i="2"/>
  <c r="L101" i="2"/>
  <c r="L109" i="2"/>
  <c r="L117" i="2"/>
  <c r="L125" i="2"/>
  <c r="L133" i="2"/>
  <c r="L141" i="2"/>
  <c r="L149" i="2"/>
  <c r="L157" i="2"/>
  <c r="L165" i="2"/>
  <c r="L173" i="2"/>
  <c r="L181" i="2"/>
  <c r="L189" i="2"/>
  <c r="L197" i="2"/>
  <c r="L205" i="2"/>
  <c r="L213" i="2"/>
  <c r="L221" i="2"/>
  <c r="L229" i="2"/>
  <c r="L237" i="2"/>
  <c r="L245" i="2"/>
  <c r="L253" i="2"/>
  <c r="L261" i="2"/>
  <c r="L269" i="2"/>
  <c r="L277" i="2"/>
  <c r="L285" i="2"/>
  <c r="L293" i="2"/>
  <c r="L301" i="2"/>
  <c r="L309" i="2"/>
  <c r="L317" i="2"/>
  <c r="L325" i="2"/>
  <c r="L333" i="2"/>
  <c r="L341" i="2"/>
  <c r="L349" i="2"/>
  <c r="L357" i="2"/>
  <c r="L365" i="2"/>
  <c r="L373" i="2"/>
  <c r="L381" i="2"/>
  <c r="L389" i="2"/>
  <c r="L397" i="2"/>
  <c r="L405" i="2"/>
  <c r="L413" i="2"/>
  <c r="L421" i="2"/>
  <c r="L429" i="2"/>
  <c r="L437" i="2"/>
  <c r="L445" i="2"/>
  <c r="L453" i="2"/>
  <c r="L461" i="2"/>
  <c r="L469" i="2"/>
  <c r="L477" i="2"/>
  <c r="L485" i="2"/>
  <c r="L493" i="2"/>
  <c r="L501" i="2"/>
  <c r="L509" i="2"/>
  <c r="L517" i="2"/>
  <c r="L525" i="2"/>
  <c r="L533" i="2"/>
  <c r="L541" i="2"/>
  <c r="L549" i="2"/>
  <c r="L557" i="2"/>
  <c r="L565" i="2"/>
  <c r="L573" i="2"/>
  <c r="L581" i="2"/>
  <c r="L589" i="2"/>
  <c r="L597" i="2"/>
  <c r="L605" i="2"/>
  <c r="L613" i="2"/>
  <c r="L621" i="2"/>
  <c r="L629" i="2"/>
  <c r="L637" i="2"/>
  <c r="L645" i="2"/>
  <c r="L653" i="2"/>
  <c r="L661" i="2"/>
  <c r="L14" i="2"/>
  <c r="L22" i="2"/>
  <c r="L30" i="2"/>
  <c r="L38" i="2"/>
  <c r="L46" i="2"/>
  <c r="L54" i="2"/>
  <c r="L62" i="2"/>
  <c r="L70" i="2"/>
  <c r="L78" i="2"/>
  <c r="L86" i="2"/>
  <c r="L94" i="2"/>
  <c r="L102" i="2"/>
  <c r="L110" i="2"/>
  <c r="L118" i="2"/>
  <c r="L126" i="2"/>
  <c r="L134" i="2"/>
  <c r="L142" i="2"/>
  <c r="L150" i="2"/>
  <c r="L158" i="2"/>
  <c r="L166" i="2"/>
  <c r="L174" i="2"/>
  <c r="L182" i="2"/>
  <c r="L190" i="2"/>
  <c r="L198" i="2"/>
  <c r="L206" i="2"/>
  <c r="L214" i="2"/>
  <c r="L222" i="2"/>
  <c r="L230" i="2"/>
  <c r="L238" i="2"/>
  <c r="L246" i="2"/>
  <c r="L254" i="2"/>
  <c r="L262" i="2"/>
  <c r="L270" i="2"/>
  <c r="L278" i="2"/>
  <c r="L286" i="2"/>
  <c r="L294" i="2"/>
  <c r="L302" i="2"/>
  <c r="L310" i="2"/>
  <c r="L318" i="2"/>
  <c r="L326" i="2"/>
  <c r="L334" i="2"/>
  <c r="L342" i="2"/>
  <c r="L350" i="2"/>
  <c r="L358" i="2"/>
  <c r="L366" i="2"/>
  <c r="L374" i="2"/>
  <c r="L382" i="2"/>
  <c r="L390" i="2"/>
  <c r="L398" i="2"/>
  <c r="L406" i="2"/>
  <c r="L414" i="2"/>
  <c r="L422" i="2"/>
  <c r="L430" i="2"/>
  <c r="L438" i="2"/>
  <c r="L446" i="2"/>
  <c r="L454" i="2"/>
  <c r="L462" i="2"/>
  <c r="L470" i="2"/>
  <c r="L478" i="2"/>
  <c r="L486" i="2"/>
  <c r="L494" i="2"/>
  <c r="L502" i="2"/>
  <c r="L510" i="2"/>
  <c r="L518" i="2"/>
  <c r="L526" i="2"/>
  <c r="L534" i="2"/>
  <c r="L542" i="2"/>
  <c r="L550" i="2"/>
  <c r="L558" i="2"/>
  <c r="L566" i="2"/>
  <c r="L574" i="2"/>
  <c r="L582" i="2"/>
  <c r="L590" i="2"/>
  <c r="L598" i="2"/>
  <c r="L606" i="2"/>
  <c r="L614" i="2"/>
  <c r="L622" i="2"/>
  <c r="L630" i="2"/>
  <c r="L3" i="2"/>
  <c r="L915" i="2"/>
  <c r="L907" i="2"/>
  <c r="L899" i="2"/>
  <c r="L891" i="2"/>
  <c r="L883" i="2"/>
  <c r="L875" i="2"/>
  <c r="L867" i="2"/>
  <c r="L859" i="2"/>
  <c r="L851" i="2"/>
  <c r="L843" i="2"/>
  <c r="L835" i="2"/>
  <c r="L827" i="2"/>
  <c r="L819" i="2"/>
  <c r="L811" i="2"/>
  <c r="L803" i="2"/>
  <c r="L795" i="2"/>
  <c r="L787" i="2"/>
  <c r="L779" i="2"/>
  <c r="L771" i="2"/>
  <c r="L763" i="2"/>
  <c r="L755" i="2"/>
  <c r="L747" i="2"/>
  <c r="L739" i="2"/>
  <c r="L731" i="2"/>
  <c r="L723" i="2"/>
  <c r="L715" i="2"/>
  <c r="L707" i="2"/>
  <c r="L699" i="2"/>
  <c r="L691" i="2"/>
  <c r="L683" i="2"/>
  <c r="L673" i="2"/>
  <c r="L664" i="2"/>
  <c r="L652" i="2"/>
  <c r="L639" i="2"/>
  <c r="L617" i="2"/>
  <c r="L569" i="2"/>
  <c r="L922" i="2"/>
  <c r="L914" i="2"/>
  <c r="L906" i="2"/>
  <c r="L898" i="2"/>
  <c r="L890" i="2"/>
  <c r="L882" i="2"/>
  <c r="L866" i="2"/>
  <c r="L858" i="2"/>
  <c r="L850" i="2"/>
  <c r="L842" i="2"/>
  <c r="L834" i="2"/>
  <c r="L826" i="2"/>
  <c r="L818" i="2"/>
  <c r="L810" i="2"/>
  <c r="L802" i="2"/>
  <c r="L794" i="2"/>
  <c r="L786" i="2"/>
  <c r="L778" i="2"/>
  <c r="L770" i="2"/>
  <c r="L762" i="2"/>
  <c r="L754" i="2"/>
  <c r="L746" i="2"/>
  <c r="L738" i="2"/>
  <c r="L730" i="2"/>
  <c r="L722" i="2"/>
  <c r="L714" i="2"/>
  <c r="L706" i="2"/>
  <c r="L698" i="2"/>
  <c r="L690" i="2"/>
  <c r="L681" i="2"/>
  <c r="L672" i="2"/>
  <c r="L663" i="2"/>
  <c r="L651" i="2"/>
  <c r="L638" i="2"/>
  <c r="L615" i="2"/>
  <c r="L561" i="2"/>
  <c r="N2" i="2"/>
  <c r="B11" i="5" s="1"/>
  <c r="K2" i="2"/>
  <c r="M202" i="2" s="1"/>
  <c r="M916" i="2" l="1"/>
  <c r="M560" i="2"/>
  <c r="M598" i="2"/>
  <c r="M631" i="2"/>
  <c r="M265" i="2"/>
  <c r="E14" i="5"/>
  <c r="E5" i="5"/>
  <c r="L6" i="5"/>
  <c r="L7" i="5"/>
  <c r="E13" i="5"/>
  <c r="L12" i="5"/>
  <c r="O2" i="2"/>
  <c r="E8" i="5"/>
  <c r="M567" i="2"/>
  <c r="M293" i="2"/>
  <c r="M154" i="2"/>
  <c r="M409" i="2"/>
  <c r="Q682" i="2"/>
  <c r="Q888" i="2"/>
  <c r="Q557" i="2"/>
  <c r="Q92" i="2"/>
  <c r="Q891" i="2"/>
  <c r="M417" i="2"/>
  <c r="M454" i="2"/>
  <c r="M383" i="2"/>
  <c r="M84" i="2"/>
  <c r="M116" i="2"/>
  <c r="M866" i="2"/>
  <c r="M167" i="2"/>
  <c r="M809" i="2"/>
  <c r="M101" i="2"/>
  <c r="M246" i="2"/>
  <c r="M210" i="2"/>
  <c r="M642" i="2"/>
  <c r="M725" i="2"/>
  <c r="M843" i="2"/>
  <c r="M470" i="2"/>
  <c r="M475" i="2"/>
  <c r="M7" i="2"/>
  <c r="M360" i="2"/>
  <c r="M133" i="2"/>
  <c r="M515" i="2"/>
  <c r="M630" i="2"/>
  <c r="M270" i="2"/>
  <c r="M644" i="2"/>
  <c r="M81" i="2"/>
  <c r="M577" i="2"/>
  <c r="M817" i="2"/>
  <c r="M194" i="2"/>
  <c r="M493" i="2"/>
  <c r="M668" i="2"/>
  <c r="M439" i="2"/>
  <c r="M236" i="2"/>
  <c r="M98" i="2"/>
  <c r="M400" i="2"/>
  <c r="M317" i="2"/>
  <c r="M625" i="2"/>
  <c r="M196" i="2"/>
  <c r="M541" i="2"/>
  <c r="M499" i="2"/>
  <c r="M595" i="2"/>
  <c r="M673" i="2"/>
  <c r="M837" i="2"/>
  <c r="M512" i="2"/>
  <c r="M847" i="2"/>
  <c r="M372" i="2"/>
  <c r="M490" i="2"/>
  <c r="M750" i="2"/>
  <c r="M255" i="2"/>
  <c r="M848" i="2"/>
  <c r="M323" i="2"/>
  <c r="M11" i="2"/>
  <c r="M766" i="2"/>
  <c r="M893" i="2"/>
  <c r="M324" i="2"/>
  <c r="M370" i="2"/>
  <c r="M835" i="2"/>
  <c r="M189" i="2"/>
  <c r="M176" i="2"/>
  <c r="M602" i="2"/>
  <c r="M288" i="2"/>
  <c r="M181" i="2"/>
  <c r="M52" i="2"/>
  <c r="M326" i="2"/>
  <c r="M919" i="2"/>
  <c r="M289" i="2"/>
  <c r="M570" i="2"/>
  <c r="M252" i="2"/>
  <c r="M357" i="2"/>
  <c r="M239" i="2"/>
  <c r="M502" i="2"/>
  <c r="M900" i="2"/>
  <c r="M697" i="2"/>
  <c r="M501" i="2"/>
  <c r="M878" i="2"/>
  <c r="M130" i="2"/>
  <c r="M464" i="2"/>
  <c r="M161" i="2"/>
  <c r="M89" i="2"/>
  <c r="M377" i="2"/>
  <c r="M74" i="2"/>
  <c r="M531" i="2"/>
  <c r="M120" i="2"/>
  <c r="M226" i="2"/>
  <c r="M731" i="2"/>
  <c r="M369" i="2"/>
  <c r="M658" i="2"/>
  <c r="M767" i="2"/>
  <c r="M704" i="2"/>
  <c r="M544" i="2"/>
  <c r="M617" i="2"/>
  <c r="M841" i="2"/>
  <c r="M162" i="2"/>
  <c r="M76" i="2"/>
  <c r="M833" i="2"/>
  <c r="M42" i="2"/>
  <c r="M209" i="2"/>
  <c r="M873" i="2"/>
  <c r="M119" i="2"/>
  <c r="M500" i="2"/>
  <c r="M852" i="2"/>
  <c r="M820" i="2"/>
  <c r="M220" i="2"/>
  <c r="M666" i="2"/>
  <c r="M440" i="2"/>
  <c r="M137" i="2"/>
  <c r="M826" i="2"/>
  <c r="M588" i="2"/>
  <c r="M253" i="2"/>
  <c r="M263" i="2"/>
  <c r="M687" i="2"/>
  <c r="M816" i="2"/>
  <c r="M498" i="2"/>
  <c r="M435" i="2"/>
  <c r="M877" i="2"/>
  <c r="M754" i="2"/>
  <c r="M853" i="2"/>
  <c r="M886" i="2"/>
  <c r="M4" i="2"/>
  <c r="M200" i="2"/>
  <c r="M867" i="2"/>
  <c r="M654" i="2"/>
  <c r="M341" i="2"/>
  <c r="M425" i="2"/>
  <c r="M818" i="2"/>
  <c r="M829" i="2"/>
  <c r="M730" i="2"/>
  <c r="M569" i="2"/>
  <c r="M355" i="2"/>
  <c r="M219" i="2"/>
  <c r="M271" i="2"/>
  <c r="M728" i="2"/>
  <c r="M63" i="2"/>
  <c r="M659" i="2"/>
  <c r="M503" i="2"/>
  <c r="M151" i="2"/>
  <c r="M12" i="2"/>
  <c r="M278" i="2"/>
  <c r="M620" i="2"/>
  <c r="M54" i="2"/>
  <c r="M742" i="2"/>
  <c r="M857" i="2"/>
  <c r="M633" i="2"/>
  <c r="M368" i="2"/>
  <c r="M911" i="2"/>
  <c r="M247" i="2"/>
  <c r="M795" i="2"/>
  <c r="M150" i="2"/>
  <c r="M907" i="2"/>
  <c r="M465" i="2"/>
  <c r="M96" i="2"/>
  <c r="M27" i="2"/>
  <c r="M433" i="2"/>
  <c r="M614" i="2"/>
  <c r="M183" i="2"/>
  <c r="M438" i="2"/>
  <c r="M896" i="2"/>
  <c r="M197" i="2"/>
  <c r="M597" i="2"/>
  <c r="M114" i="2"/>
  <c r="M394" i="2"/>
  <c r="M171" i="2"/>
  <c r="M185" i="2"/>
  <c r="M571" i="2"/>
  <c r="M789" i="2"/>
  <c r="M466" i="2"/>
  <c r="M777" i="2"/>
  <c r="M34" i="2"/>
  <c r="M686" i="2"/>
  <c r="M387" i="2"/>
  <c r="M856" i="2"/>
  <c r="M125" i="2"/>
  <c r="M575" i="2"/>
  <c r="M215" i="2"/>
  <c r="M17" i="2"/>
  <c r="M392" i="2"/>
  <c r="M693" i="2"/>
  <c r="M587" i="2"/>
  <c r="M399" i="2"/>
  <c r="M168" i="2"/>
  <c r="M157" i="2"/>
  <c r="M272" i="2"/>
  <c r="M596" i="2"/>
  <c r="M381" i="2"/>
  <c r="M554" i="2"/>
  <c r="M140" i="2"/>
  <c r="M148" i="2"/>
  <c r="M335" i="2"/>
  <c r="M418" i="2"/>
  <c r="M36" i="2"/>
  <c r="M375" i="2"/>
  <c r="M404" i="2"/>
  <c r="M854" i="2"/>
  <c r="M139" i="2"/>
  <c r="M361" i="2"/>
  <c r="M103" i="2"/>
  <c r="M328" i="2"/>
  <c r="M533" i="2"/>
  <c r="M573" i="2"/>
  <c r="M489" i="2"/>
  <c r="M15" i="2"/>
  <c r="M184" i="2"/>
  <c r="M540" i="2"/>
  <c r="M696" i="2"/>
  <c r="M779" i="2"/>
  <c r="M563" i="2"/>
  <c r="M549" i="2"/>
  <c r="M138" i="2"/>
  <c r="M733" i="2"/>
  <c r="M791" i="2"/>
  <c r="M741" i="2"/>
  <c r="M612" i="2"/>
  <c r="M889" i="2"/>
  <c r="M888" i="2"/>
  <c r="M769" i="2"/>
  <c r="M527" i="2"/>
  <c r="M9" i="2"/>
  <c r="M462" i="2"/>
  <c r="M732" i="2"/>
  <c r="M273" i="2"/>
  <c r="M367" i="2"/>
  <c r="M38" i="2"/>
  <c r="M468" i="2"/>
  <c r="M303" i="2"/>
  <c r="M430" i="2"/>
  <c r="M636" i="2"/>
  <c r="M772" i="2"/>
  <c r="M738" i="2"/>
  <c r="M436" i="2"/>
  <c r="M22" i="2"/>
  <c r="M685" i="2"/>
  <c r="M616" i="2"/>
  <c r="M529" i="2"/>
  <c r="M663" i="2"/>
  <c r="M657" i="2"/>
  <c r="M170" i="2"/>
  <c r="M379" i="2"/>
  <c r="M834" i="2"/>
  <c r="M770" i="2"/>
  <c r="M522" i="2"/>
  <c r="M446" i="2"/>
  <c r="M424" i="2"/>
  <c r="M69" i="2"/>
  <c r="M351" i="2"/>
  <c r="M609" i="2"/>
  <c r="M476" i="2"/>
  <c r="M110" i="2"/>
  <c r="M422" i="2"/>
  <c r="M57" i="2"/>
  <c r="M842" i="2"/>
  <c r="M395" i="2"/>
  <c r="M321" i="2"/>
  <c r="M471" i="2"/>
  <c r="M702" i="2"/>
  <c r="M526" i="2"/>
  <c r="M745" i="2"/>
  <c r="M258" i="2"/>
  <c r="M734" i="2"/>
  <c r="M822" i="2"/>
  <c r="M580" i="2"/>
  <c r="M922" i="2"/>
  <c r="M452" i="2"/>
  <c r="M874" i="2"/>
  <c r="M416" i="2"/>
  <c r="M190" i="2"/>
  <c r="M322" i="2"/>
  <c r="M105" i="2"/>
  <c r="M313" i="2"/>
  <c r="M894" i="2"/>
  <c r="M238" i="2"/>
  <c r="M821" i="2"/>
  <c r="M229" i="2"/>
  <c r="M448" i="2"/>
  <c r="Q349" i="2"/>
  <c r="P446" i="2"/>
  <c r="P700" i="2"/>
  <c r="P402" i="2"/>
  <c r="P167" i="2"/>
  <c r="P1029" i="2"/>
  <c r="P773" i="2"/>
  <c r="Q953" i="2"/>
  <c r="Q270" i="2"/>
  <c r="P533" i="2"/>
  <c r="P649" i="2"/>
  <c r="P750" i="2"/>
  <c r="P254" i="2"/>
  <c r="P320" i="2"/>
  <c r="Q56" i="2"/>
  <c r="Q986" i="2"/>
  <c r="P988" i="2"/>
  <c r="P571" i="2"/>
  <c r="P1131" i="2"/>
  <c r="Q947" i="2"/>
  <c r="Q36" i="2"/>
  <c r="P581" i="2"/>
  <c r="P231" i="2"/>
  <c r="P48" i="2"/>
  <c r="P628" i="2"/>
  <c r="P213" i="2"/>
  <c r="Q999" i="2"/>
  <c r="P385" i="2"/>
  <c r="P170" i="2"/>
  <c r="P15" i="2"/>
  <c r="Q1018" i="2"/>
  <c r="P209" i="2"/>
  <c r="P949" i="2"/>
  <c r="P207" i="2"/>
  <c r="M100" i="2"/>
  <c r="M90" i="2"/>
  <c r="M53" i="2"/>
  <c r="M447" i="2"/>
  <c r="M431" i="2"/>
  <c r="M77" i="2"/>
  <c r="M208" i="2"/>
  <c r="M484" i="2"/>
  <c r="M790" i="2"/>
  <c r="M590" i="2"/>
  <c r="M622" i="2"/>
  <c r="M621" i="2"/>
  <c r="M389" i="2"/>
  <c r="M432" i="2"/>
  <c r="M188" i="2"/>
  <c r="M543" i="2"/>
  <c r="M174" i="2"/>
  <c r="M784" i="2"/>
  <c r="M824" i="2"/>
  <c r="M414" i="2"/>
  <c r="M266" i="2"/>
  <c r="M579" i="2"/>
  <c r="M613" i="2"/>
  <c r="M547" i="2"/>
  <c r="M698" i="2"/>
  <c r="M290" i="2"/>
  <c r="M88" i="2"/>
  <c r="M320" i="2"/>
  <c r="M908" i="2"/>
  <c r="M78" i="2"/>
  <c r="M516" i="2"/>
  <c r="M763" i="2"/>
  <c r="M803" i="2"/>
  <c r="M256" i="2"/>
  <c r="M141" i="2"/>
  <c r="M371" i="2"/>
  <c r="M797" i="2"/>
  <c r="M534" i="2"/>
  <c r="M364" i="2"/>
  <c r="M350" i="2"/>
  <c r="M583" i="2"/>
  <c r="M178" i="2"/>
  <c r="M97" i="2"/>
  <c r="M401" i="2"/>
  <c r="M30" i="2"/>
  <c r="M793" i="2"/>
  <c r="M684" i="2"/>
  <c r="M655" i="2"/>
  <c r="M624" i="2"/>
  <c r="M378" i="2"/>
  <c r="M552" i="2"/>
  <c r="M727" i="2"/>
  <c r="M29" i="2"/>
  <c r="M706" i="2"/>
  <c r="M203" i="2"/>
  <c r="M488" i="2"/>
  <c r="M87" i="2"/>
  <c r="M604" i="2"/>
  <c r="M652" i="2"/>
  <c r="M921" i="2"/>
  <c r="M885" i="2"/>
  <c r="M717" i="2"/>
  <c r="M391" i="2"/>
  <c r="M647" i="2"/>
  <c r="M51" i="2"/>
  <c r="M592" i="2"/>
  <c r="M33" i="2"/>
  <c r="M477" i="2"/>
  <c r="M679" i="2"/>
  <c r="M165" i="2"/>
  <c r="M555" i="2"/>
  <c r="M532" i="2"/>
  <c r="M362" i="2"/>
  <c r="M628" i="2"/>
  <c r="M586" i="2"/>
  <c r="M251" i="2"/>
  <c r="M830" i="2"/>
  <c r="M712" i="2"/>
  <c r="M338" i="2"/>
  <c r="M574" i="2"/>
  <c r="M782" i="2"/>
  <c r="M180" i="2"/>
  <c r="M80" i="2"/>
  <c r="M899" i="2"/>
  <c r="M232" i="2"/>
  <c r="M429" i="2"/>
  <c r="M261" i="2"/>
  <c r="M204" i="2"/>
  <c r="M16" i="2"/>
  <c r="M403" i="2"/>
  <c r="M227" i="2"/>
  <c r="M699" i="2"/>
  <c r="M407" i="2"/>
  <c r="M451" i="2"/>
  <c r="M781" i="2"/>
  <c r="M217" i="2"/>
  <c r="M508" i="2"/>
  <c r="M325" i="2"/>
  <c r="M221" i="2"/>
  <c r="M705" i="2"/>
  <c r="M426" i="2"/>
  <c r="M518" i="2"/>
  <c r="M423" i="2"/>
  <c r="M421" i="2"/>
  <c r="M358" i="2"/>
  <c r="M163" i="2"/>
  <c r="M810" i="2"/>
  <c r="M650" i="2"/>
  <c r="M72" i="2"/>
  <c r="M901" i="2"/>
  <c r="M677" i="2"/>
  <c r="M259" i="2"/>
  <c r="M121" i="2"/>
  <c r="M819" i="2"/>
  <c r="M243" i="2"/>
  <c r="M231" i="2"/>
  <c r="M331" i="2"/>
  <c r="M787" i="2"/>
  <c r="M225" i="2"/>
  <c r="M216" i="2"/>
  <c r="M606" i="2"/>
  <c r="M453" i="2"/>
  <c r="Q851" i="2"/>
  <c r="Q1051" i="2"/>
  <c r="Q930" i="2"/>
  <c r="Q159" i="2"/>
  <c r="Q946" i="2"/>
  <c r="Q954" i="2"/>
  <c r="Q842" i="2"/>
  <c r="Q779" i="2"/>
  <c r="Q368" i="2"/>
  <c r="Q60" i="2"/>
  <c r="P504" i="2"/>
  <c r="P128" i="2"/>
  <c r="P205" i="2"/>
  <c r="P297" i="2"/>
  <c r="P843" i="2"/>
  <c r="Q1097" i="2"/>
  <c r="Q824" i="2"/>
  <c r="Q101" i="2"/>
  <c r="P671" i="2"/>
  <c r="P295" i="2"/>
  <c r="P180" i="2"/>
  <c r="P312" i="2"/>
  <c r="P772" i="2"/>
  <c r="Q45" i="2"/>
  <c r="Q1106" i="2"/>
  <c r="P1010" i="2"/>
  <c r="P600" i="2"/>
  <c r="P384" i="2"/>
  <c r="Q168" i="2"/>
  <c r="Q689" i="2"/>
  <c r="P259" i="2"/>
  <c r="P31" i="2"/>
  <c r="P550" i="2"/>
  <c r="P915" i="2"/>
  <c r="P555" i="2"/>
  <c r="Q949" i="2"/>
  <c r="P218" i="2"/>
  <c r="P234" i="2"/>
  <c r="P94" i="2"/>
  <c r="Q1090" i="2"/>
  <c r="P69" i="2"/>
  <c r="P215" i="2"/>
  <c r="P400" i="2"/>
  <c r="M177" i="2"/>
  <c r="M352" i="2"/>
  <c r="M618" i="2"/>
  <c r="M716" i="2"/>
  <c r="M402" i="2"/>
  <c r="M875" i="2"/>
  <c r="M713" i="2"/>
  <c r="M282" i="2"/>
  <c r="M840" i="2"/>
  <c r="M182" i="2"/>
  <c r="M240" i="2"/>
  <c r="M410" i="2"/>
  <c r="M800" i="2"/>
  <c r="M736" i="2"/>
  <c r="M444" i="2"/>
  <c r="M494" i="2"/>
  <c r="M553" i="2"/>
  <c r="M102" i="2"/>
  <c r="M720" i="2"/>
  <c r="M761" i="2"/>
  <c r="M674" i="2"/>
  <c r="M13" i="2"/>
  <c r="M242" i="2"/>
  <c r="M136" i="2"/>
  <c r="M300" i="2"/>
  <c r="M747" i="2"/>
  <c r="M307" i="2"/>
  <c r="M344" i="2"/>
  <c r="M537" i="2"/>
  <c r="M218" i="2"/>
  <c r="M459" i="2"/>
  <c r="M744" i="2"/>
  <c r="M765" i="2"/>
  <c r="M897" i="2"/>
  <c r="M918" i="2"/>
  <c r="M869" i="2"/>
  <c r="M671" i="2"/>
  <c r="M443" i="2"/>
  <c r="M205" i="2"/>
  <c r="Q28" i="2"/>
  <c r="Q551" i="2"/>
  <c r="Q22" i="2"/>
  <c r="Q647" i="2"/>
  <c r="Q1033" i="2"/>
  <c r="Q1058" i="2"/>
  <c r="Q712" i="2"/>
  <c r="Q809" i="2"/>
  <c r="P564" i="2"/>
  <c r="P886" i="2"/>
  <c r="P805" i="2"/>
  <c r="P453" i="2"/>
  <c r="P114" i="2"/>
  <c r="P161" i="2"/>
  <c r="Q362" i="2"/>
  <c r="Q752" i="2"/>
  <c r="P1106" i="2"/>
  <c r="P240" i="2"/>
  <c r="P425" i="2"/>
  <c r="P428" i="2"/>
  <c r="P33" i="2"/>
  <c r="P986" i="2"/>
  <c r="Q1104" i="2"/>
  <c r="Q296" i="2"/>
  <c r="P717" i="2"/>
  <c r="P1013" i="2"/>
  <c r="P764" i="2"/>
  <c r="Q244" i="2"/>
  <c r="Q688" i="2"/>
  <c r="P1085" i="2"/>
  <c r="P395" i="2"/>
  <c r="P821" i="2"/>
  <c r="P931" i="2"/>
  <c r="P166" i="2"/>
  <c r="P729" i="2"/>
  <c r="P538" i="2"/>
  <c r="P51" i="2"/>
  <c r="P470" i="2"/>
  <c r="Q880" i="2"/>
  <c r="P505" i="2"/>
  <c r="P906" i="2"/>
  <c r="P256" i="2"/>
  <c r="M268" i="2"/>
  <c r="M21" i="2"/>
  <c r="M546" i="2"/>
  <c r="M299" i="2"/>
  <c r="M710" i="2"/>
  <c r="M806" i="2"/>
  <c r="M441" i="2"/>
  <c r="M390" i="2"/>
  <c r="M884" i="2"/>
  <c r="M230" i="2"/>
  <c r="M276" i="2"/>
  <c r="M689" i="2"/>
  <c r="M79" i="2"/>
  <c r="M23" i="2"/>
  <c r="M603" i="2"/>
  <c r="M83" i="2"/>
  <c r="M107" i="2"/>
  <c r="M828" i="2"/>
  <c r="M175" i="2"/>
  <c r="M785" i="2"/>
  <c r="M519" i="2"/>
  <c r="M814" i="2"/>
  <c r="M43" i="2"/>
  <c r="M336" i="2"/>
  <c r="M608" i="2"/>
  <c r="M405" i="2"/>
  <c r="M386" i="2"/>
  <c r="M581" i="2"/>
  <c r="M254" i="2"/>
  <c r="M158" i="2"/>
  <c r="M576" i="2"/>
  <c r="M460" i="2"/>
  <c r="M222" i="2"/>
  <c r="M672" i="2"/>
  <c r="M729" i="2"/>
  <c r="M329" i="2"/>
  <c r="M267" i="2"/>
  <c r="M419" i="2"/>
  <c r="M858" i="2"/>
  <c r="M525" i="2"/>
  <c r="M192" i="2"/>
  <c r="M605" i="2"/>
  <c r="M746" i="2"/>
  <c r="M479" i="2"/>
  <c r="M591" i="2"/>
  <c r="M640" i="2"/>
  <c r="M914" i="2"/>
  <c r="M287" i="2"/>
  <c r="M365" i="2"/>
  <c r="M319" i="2"/>
  <c r="M393" i="2"/>
  <c r="M356" i="2"/>
  <c r="M483" i="2"/>
  <c r="M561" i="2"/>
  <c r="M85" i="2"/>
  <c r="M396" i="2"/>
  <c r="M142" i="2"/>
  <c r="M223" i="2"/>
  <c r="M740" i="2"/>
  <c r="M562" i="2"/>
  <c r="M20" i="2"/>
  <c r="M93" i="2"/>
  <c r="M496" i="2"/>
  <c r="M678" i="2"/>
  <c r="M314" i="2"/>
  <c r="M281" i="2"/>
  <c r="M675" i="2"/>
  <c r="M106" i="2"/>
  <c r="M380" i="2"/>
  <c r="M692" i="2"/>
  <c r="M280" i="2"/>
  <c r="M882" i="2"/>
  <c r="M812" i="2"/>
  <c r="M786" i="2"/>
  <c r="M40" i="2"/>
  <c r="M398" i="2"/>
  <c r="M913" i="2"/>
  <c r="M315" i="2"/>
  <c r="M607" i="2"/>
  <c r="M481" i="2"/>
  <c r="M517" i="2"/>
  <c r="M373" i="2"/>
  <c r="M28" i="2"/>
  <c r="M415" i="2"/>
  <c r="M284" i="2"/>
  <c r="M805" i="2"/>
  <c r="M825" i="2"/>
  <c r="M345" i="2"/>
  <c r="M330" i="2"/>
  <c r="M113" i="2"/>
  <c r="M25" i="2"/>
  <c r="M695" i="2"/>
  <c r="M343" i="2"/>
  <c r="M467" i="2"/>
  <c r="M846" i="2"/>
  <c r="M559" i="2"/>
  <c r="M683" i="2"/>
  <c r="M862" i="2"/>
  <c r="M212" i="2"/>
  <c r="M861" i="2"/>
  <c r="M363" i="2"/>
  <c r="M286" i="2"/>
  <c r="M813" i="2"/>
  <c r="M681" i="2"/>
  <c r="M557" i="2"/>
  <c r="M235" i="2"/>
  <c r="M648" i="2"/>
  <c r="M260" i="2"/>
  <c r="M353" i="2"/>
  <c r="M347" i="2"/>
  <c r="M871" i="2"/>
  <c r="M903" i="2"/>
  <c r="Q195" i="2"/>
  <c r="Q875" i="2"/>
  <c r="Q883" i="2"/>
  <c r="Q771" i="2"/>
  <c r="Q339" i="2"/>
  <c r="Q391" i="2"/>
  <c r="Q69" i="2"/>
  <c r="Q498" i="2"/>
  <c r="Q650" i="2"/>
  <c r="P1100" i="2"/>
  <c r="P34" i="2"/>
  <c r="P657" i="2"/>
  <c r="P716" i="2"/>
  <c r="P386" i="2"/>
  <c r="P796" i="2"/>
  <c r="Q533" i="2"/>
  <c r="Q493" i="2"/>
  <c r="P593" i="2"/>
  <c r="P488" i="2"/>
  <c r="P587" i="2"/>
  <c r="P749" i="2"/>
  <c r="P766" i="2"/>
  <c r="P765" i="2"/>
  <c r="Q637" i="2"/>
  <c r="Q592" i="2"/>
  <c r="P547" i="2"/>
  <c r="P891" i="2"/>
  <c r="P64" i="2"/>
  <c r="Q811" i="2"/>
  <c r="P654" i="2"/>
  <c r="P820" i="2"/>
  <c r="P795" i="2"/>
  <c r="P810" i="2"/>
  <c r="P882" i="2"/>
  <c r="P373" i="2"/>
  <c r="P177" i="2"/>
  <c r="Q584" i="2"/>
  <c r="P165" i="2"/>
  <c r="P272" i="2"/>
  <c r="Q471" i="2"/>
  <c r="P609" i="2"/>
  <c r="P1134" i="2"/>
  <c r="P416" i="2"/>
  <c r="M339" i="2"/>
  <c r="M879" i="2"/>
  <c r="M99" i="2"/>
  <c r="M718" i="2"/>
  <c r="M450" i="2"/>
  <c r="M62" i="2"/>
  <c r="M836" i="2"/>
  <c r="M759" i="2"/>
  <c r="M509" i="2"/>
  <c r="M773" i="2"/>
  <c r="M880" i="2"/>
  <c r="M804" i="2"/>
  <c r="M374" i="2"/>
  <c r="M179" i="2"/>
  <c r="M632" i="2"/>
  <c r="M849" i="2"/>
  <c r="M463" i="2"/>
  <c r="M262" i="2"/>
  <c r="M690" i="2"/>
  <c r="M187" i="2"/>
  <c r="M905" i="2"/>
  <c r="M412" i="2"/>
  <c r="M783" i="2"/>
  <c r="M752" i="2"/>
  <c r="M859" i="2"/>
  <c r="M123" i="2"/>
  <c r="M257" i="2"/>
  <c r="M297" i="2"/>
  <c r="M304" i="2"/>
  <c r="M45" i="2"/>
  <c r="M653" i="2"/>
  <c r="M868" i="2"/>
  <c r="M310" i="2"/>
  <c r="M337" i="2"/>
  <c r="M146" i="2"/>
  <c r="M199" i="2"/>
  <c r="M855" i="2"/>
  <c r="M635" i="2"/>
  <c r="M762" i="2"/>
  <c r="M334" i="2"/>
  <c r="M474" i="2"/>
  <c r="M863" i="2"/>
  <c r="M485" i="2"/>
  <c r="M191" i="2"/>
  <c r="M798" i="2"/>
  <c r="M169" i="2"/>
  <c r="M556" i="2"/>
  <c r="M524" i="2"/>
  <c r="M582" i="2"/>
  <c r="M881" i="2"/>
  <c r="M711" i="2"/>
  <c r="M228" i="2"/>
  <c r="M145" i="2"/>
  <c r="M292" i="2"/>
  <c r="M50" i="2"/>
  <c r="M35" i="2"/>
  <c r="M735" i="2"/>
  <c r="M551" i="2"/>
  <c r="M82" i="2"/>
  <c r="M135" i="2"/>
  <c r="M565" i="2"/>
  <c r="M780" i="2"/>
  <c r="M359" i="2"/>
  <c r="M420" i="2"/>
  <c r="M891" i="2"/>
  <c r="M47" i="2"/>
  <c r="M10" i="2"/>
  <c r="M406" i="2"/>
  <c r="M312" i="2"/>
  <c r="M839" i="2"/>
  <c r="M147" i="2"/>
  <c r="M723" i="2"/>
  <c r="M482" i="2"/>
  <c r="M691" i="2"/>
  <c r="M504" i="2"/>
  <c r="M5" i="2"/>
  <c r="M768" i="2"/>
  <c r="M340" i="2"/>
  <c r="M248" i="2"/>
  <c r="M715" i="2"/>
  <c r="M626" i="2"/>
  <c r="M8" i="2"/>
  <c r="M64" i="2"/>
  <c r="M124" i="2"/>
  <c r="M709" i="2"/>
  <c r="M277" i="2"/>
  <c r="M902" i="2"/>
  <c r="M682" i="2"/>
  <c r="M572" i="2"/>
  <c r="M774" i="2"/>
  <c r="M376" i="2"/>
  <c r="M876" i="2"/>
  <c r="M850" i="2"/>
  <c r="M111" i="2"/>
  <c r="M910" i="2"/>
  <c r="M764" i="2"/>
  <c r="M545" i="2"/>
  <c r="M155" i="2"/>
  <c r="M651" i="2"/>
  <c r="M241" i="2"/>
  <c r="M520" i="2"/>
  <c r="M667" i="2"/>
  <c r="M269" i="2"/>
  <c r="M58" i="2"/>
  <c r="M333" i="2"/>
  <c r="M49" i="2"/>
  <c r="M61" i="2"/>
  <c r="M143" i="2"/>
  <c r="M865" i="2"/>
  <c r="M117" i="2"/>
  <c r="M664" i="2"/>
  <c r="M670" i="2"/>
  <c r="M802" i="2"/>
  <c r="M115" i="2"/>
  <c r="M564" i="2"/>
  <c r="Q1088" i="2"/>
  <c r="Q459" i="2"/>
  <c r="Q1114" i="2"/>
  <c r="Q987" i="2"/>
  <c r="Q271" i="2"/>
  <c r="Q461" i="2"/>
  <c r="Q490" i="2"/>
  <c r="Q221" i="2"/>
  <c r="Q739" i="2"/>
  <c r="P1122" i="2"/>
  <c r="P568" i="2"/>
  <c r="P682" i="2"/>
  <c r="P802" i="2"/>
  <c r="P67" i="2"/>
  <c r="P818" i="2"/>
  <c r="Q95" i="2"/>
  <c r="P1094" i="2"/>
  <c r="P1059" i="2"/>
  <c r="P548" i="2"/>
  <c r="P610" i="2"/>
  <c r="P739" i="2"/>
  <c r="P98" i="2"/>
  <c r="P755" i="2"/>
  <c r="Q1024" i="2"/>
  <c r="Q223" i="2"/>
  <c r="P21" i="2"/>
  <c r="P441" i="2"/>
  <c r="P869" i="2"/>
  <c r="Q426" i="2"/>
  <c r="P596" i="2"/>
  <c r="P1092" i="2"/>
  <c r="P683" i="2"/>
  <c r="P627" i="2"/>
  <c r="P499" i="2"/>
  <c r="P150" i="2"/>
  <c r="P13" i="2"/>
  <c r="P1105" i="2"/>
  <c r="P477" i="2"/>
  <c r="P57" i="2"/>
  <c r="Q615" i="2"/>
  <c r="P417" i="2"/>
  <c r="P1051" i="2"/>
  <c r="Q482" i="2"/>
  <c r="M428" i="2"/>
  <c r="M832" i="2"/>
  <c r="M641" i="2"/>
  <c r="M539" i="2"/>
  <c r="M195" i="2"/>
  <c r="M127" i="2"/>
  <c r="M600" i="2"/>
  <c r="M349" i="2"/>
  <c r="M382" i="2"/>
  <c r="M661" i="2"/>
  <c r="M48" i="2"/>
  <c r="M794" i="2"/>
  <c r="M887" i="2"/>
  <c r="M593" i="2"/>
  <c r="M788" i="2"/>
  <c r="M214" i="2"/>
  <c r="M388" i="2"/>
  <c r="M39" i="2"/>
  <c r="M473" i="2"/>
  <c r="M895" i="2"/>
  <c r="M41" i="2"/>
  <c r="M427" i="2"/>
  <c r="M920" i="2"/>
  <c r="Q562" i="2"/>
  <c r="Q889" i="2"/>
  <c r="Q1064" i="2"/>
  <c r="Q502" i="2"/>
  <c r="P925" i="2"/>
  <c r="P585" i="2"/>
  <c r="P1004" i="2"/>
  <c r="P1124" i="2"/>
  <c r="P922" i="2"/>
  <c r="P1076" i="2"/>
  <c r="Q522" i="2"/>
  <c r="Q455" i="2"/>
  <c r="P121" i="2"/>
  <c r="P673" i="2"/>
  <c r="P1021" i="2"/>
  <c r="P561" i="2"/>
  <c r="P859" i="2"/>
  <c r="Q418" i="2"/>
  <c r="Q250" i="2"/>
  <c r="Q86" i="2"/>
  <c r="P159" i="2"/>
  <c r="P382" i="2"/>
  <c r="Q970" i="2"/>
  <c r="Q518" i="2"/>
  <c r="P853" i="2"/>
  <c r="P667" i="2"/>
  <c r="P948" i="2"/>
  <c r="P185" i="2"/>
  <c r="P1114" i="2"/>
  <c r="P631" i="2"/>
  <c r="P232" i="2"/>
  <c r="P1091" i="2"/>
  <c r="P841" i="2"/>
  <c r="Q611" i="2"/>
  <c r="Q13" i="2"/>
  <c r="P318" i="2"/>
  <c r="P155" i="2"/>
  <c r="M495" i="2"/>
  <c r="M134" i="2"/>
  <c r="M109" i="2"/>
  <c r="M523" i="2"/>
  <c r="M291" i="2"/>
  <c r="M629" i="2"/>
  <c r="M24" i="2"/>
  <c r="M535" i="2"/>
  <c r="M601" i="2"/>
  <c r="M250" i="2"/>
  <c r="M274" i="2"/>
  <c r="M213" i="2"/>
  <c r="M31" i="2"/>
  <c r="M845" i="2"/>
  <c r="M584" i="2"/>
  <c r="M637" i="2"/>
  <c r="M311" i="2"/>
  <c r="M132" i="2"/>
  <c r="M301" i="2"/>
  <c r="M743" i="2"/>
  <c r="M166" i="2"/>
  <c r="M70" i="2"/>
  <c r="M775" i="2"/>
  <c r="M68" i="2"/>
  <c r="M92" i="2"/>
  <c r="M883" i="2"/>
  <c r="M757" i="2"/>
  <c r="M234" i="2"/>
  <c r="M760" i="2"/>
  <c r="M186" i="2"/>
  <c r="M909" i="2"/>
  <c r="M737" i="2"/>
  <c r="M308" i="2"/>
  <c r="M721" i="2"/>
  <c r="M521" i="2"/>
  <c r="M455" i="2"/>
  <c r="M95" i="2"/>
  <c r="M864" i="2"/>
  <c r="M316" i="2"/>
  <c r="M756" i="2"/>
  <c r="M59" i="2"/>
  <c r="M193" i="2"/>
  <c r="M491" i="2"/>
  <c r="M505" i="2"/>
  <c r="M458" i="2"/>
  <c r="M305" i="2"/>
  <c r="M536" i="2"/>
  <c r="M480" i="2"/>
  <c r="M510" i="2"/>
  <c r="M844" i="2"/>
  <c r="M279" i="2"/>
  <c r="M619" i="2"/>
  <c r="M285" i="2"/>
  <c r="M67" i="2"/>
  <c r="M811" i="2"/>
  <c r="M726" i="2"/>
  <c r="M244" i="2"/>
  <c r="M73" i="2"/>
  <c r="M86" i="2"/>
  <c r="M478" i="2"/>
  <c r="M542" i="2"/>
  <c r="M275" i="2"/>
  <c r="M514" i="2"/>
  <c r="M449" i="2"/>
  <c r="M703" i="2"/>
  <c r="M838" i="2"/>
  <c r="M513" i="2"/>
  <c r="M434" i="2"/>
  <c r="M707" i="2"/>
  <c r="M384" i="2"/>
  <c r="M397" i="2"/>
  <c r="M332" i="2"/>
  <c r="M14" i="2"/>
  <c r="M198" i="2"/>
  <c r="M548" i="2"/>
  <c r="M342" i="2"/>
  <c r="M327" i="2"/>
  <c r="M497" i="2"/>
  <c r="M413" i="2"/>
  <c r="M530" i="2"/>
  <c r="M144" i="2"/>
  <c r="M749" i="2"/>
  <c r="M457" i="2"/>
  <c r="M615" i="2"/>
  <c r="M461" i="2"/>
  <c r="M714" i="2"/>
  <c r="M26" i="2"/>
  <c r="M118" i="2"/>
  <c r="M511" i="2"/>
  <c r="M75" i="2"/>
  <c r="M578" i="2"/>
  <c r="M751" i="2"/>
  <c r="M638" i="2"/>
  <c r="M492" i="2"/>
  <c r="M129" i="2"/>
  <c r="M656" i="2"/>
  <c r="M700" i="2"/>
  <c r="M528" i="2"/>
  <c r="M126" i="2"/>
  <c r="M660" i="2"/>
  <c r="M708" i="2"/>
  <c r="M827" i="2"/>
  <c r="M739" i="2"/>
  <c r="M128" i="2"/>
  <c r="M568" i="2"/>
  <c r="M249" i="2"/>
  <c r="M904" i="2"/>
  <c r="M66" i="2"/>
  <c r="M411" i="2"/>
  <c r="M594" i="2"/>
  <c r="M56" i="2"/>
  <c r="M538" i="2"/>
  <c r="Q74" i="2"/>
  <c r="Q337" i="2"/>
  <c r="P895" i="2"/>
  <c r="Q67" i="2"/>
  <c r="Q784" i="2"/>
  <c r="Q305" i="2"/>
  <c r="Q404" i="2"/>
  <c r="Q783" i="2"/>
  <c r="Q1009" i="2"/>
  <c r="Q126" i="2"/>
  <c r="Q333" i="2"/>
  <c r="Q579" i="2"/>
  <c r="Q1077" i="2"/>
  <c r="Q14" i="2"/>
  <c r="Q570" i="2"/>
  <c r="Q155" i="2"/>
  <c r="Q63" i="2"/>
  <c r="P734" i="2"/>
  <c r="Q1098" i="2"/>
  <c r="Q367" i="2"/>
  <c r="Q720" i="2"/>
  <c r="Q1082" i="2"/>
  <c r="Q979" i="2"/>
  <c r="Q1083" i="2"/>
  <c r="Q704" i="2"/>
  <c r="Q769" i="2"/>
  <c r="Q848" i="2"/>
  <c r="P897" i="2"/>
  <c r="Q831" i="2"/>
  <c r="Q166" i="2"/>
  <c r="Q911" i="2"/>
  <c r="Q122" i="2"/>
  <c r="Q434" i="2"/>
  <c r="Q994" i="2"/>
  <c r="Q702" i="2"/>
  <c r="Q582" i="2"/>
  <c r="Q926" i="2"/>
  <c r="Q862" i="2"/>
  <c r="Q462" i="2"/>
  <c r="P817" i="2"/>
  <c r="Q945" i="2"/>
  <c r="Q496" i="2"/>
  <c r="Q1042" i="2"/>
  <c r="Q220" i="2"/>
  <c r="Q608" i="2"/>
  <c r="Q230" i="2"/>
  <c r="Q669" i="2"/>
  <c r="Q18" i="2"/>
  <c r="Q952" i="2"/>
  <c r="Q351" i="2"/>
  <c r="P888" i="2"/>
  <c r="Q575" i="2"/>
  <c r="Q130" i="2"/>
  <c r="Q100" i="2"/>
  <c r="Q240" i="2"/>
  <c r="Q833" i="2"/>
  <c r="Q662" i="2"/>
  <c r="Q506" i="2"/>
  <c r="Q236" i="2"/>
  <c r="Q183" i="2"/>
  <c r="Q402" i="2"/>
  <c r="Q53" i="2"/>
  <c r="Q928" i="2"/>
  <c r="Q389" i="2"/>
  <c r="Q252" i="2"/>
  <c r="Q162" i="2"/>
  <c r="P752" i="2"/>
  <c r="Q794" i="2"/>
  <c r="Q235" i="2"/>
  <c r="Q565" i="2"/>
  <c r="Q606" i="2"/>
  <c r="Q54" i="2"/>
  <c r="Q1119" i="2"/>
  <c r="Q51" i="2"/>
  <c r="Q422" i="2"/>
  <c r="Q444" i="2"/>
  <c r="Q370" i="2"/>
  <c r="Q1139" i="2"/>
  <c r="Q133" i="2"/>
  <c r="Q764" i="2"/>
  <c r="Q216" i="2"/>
  <c r="Q179" i="2"/>
  <c r="Q441" i="2"/>
  <c r="P528" i="2"/>
  <c r="P227" i="2"/>
  <c r="P9" i="2"/>
  <c r="P43" i="2"/>
  <c r="P111" i="2"/>
  <c r="Q719" i="2"/>
  <c r="P1032" i="2"/>
  <c r="P258" i="2"/>
  <c r="P55" i="2"/>
  <c r="Q722" i="2"/>
  <c r="Q724" i="2"/>
  <c r="Q701" i="2"/>
  <c r="P1031" i="2"/>
  <c r="Q1015" i="2"/>
  <c r="Q415" i="2"/>
  <c r="Q310" i="2"/>
  <c r="Q123" i="2"/>
  <c r="Q1043" i="2"/>
  <c r="Q691" i="2"/>
  <c r="Q156" i="2"/>
  <c r="Q440" i="2"/>
  <c r="Q215" i="2"/>
  <c r="Q421" i="2"/>
  <c r="Q830" i="2"/>
  <c r="Q238" i="2"/>
  <c r="P680" i="2"/>
  <c r="P592" i="2"/>
  <c r="Q1110" i="2"/>
  <c r="Q228" i="2"/>
  <c r="Q119" i="2"/>
  <c r="Q246" i="2"/>
  <c r="Q976" i="2"/>
  <c r="Q104" i="2"/>
  <c r="Q1131" i="2"/>
  <c r="Q710" i="2"/>
  <c r="P769" i="2"/>
  <c r="Q355" i="2"/>
  <c r="P880" i="2"/>
  <c r="Q705" i="2"/>
  <c r="Q897" i="2"/>
  <c r="P753" i="2"/>
  <c r="Q940" i="2"/>
  <c r="Q9" i="2"/>
  <c r="Q286" i="2"/>
  <c r="Q160" i="2"/>
  <c r="Q971" i="2"/>
  <c r="Q388" i="2"/>
  <c r="Q768" i="2"/>
  <c r="Q923" i="2"/>
  <c r="P824" i="2"/>
  <c r="P635" i="2"/>
  <c r="Q81" i="2"/>
  <c r="P697" i="2"/>
  <c r="Q931" i="2"/>
  <c r="Q1080" i="2"/>
  <c r="Q4" i="2"/>
  <c r="Q804" i="2"/>
  <c r="Q855" i="2"/>
  <c r="P696" i="2"/>
  <c r="Q593" i="2"/>
  <c r="Q578" i="2"/>
  <c r="Q754" i="2"/>
  <c r="Q1039" i="2"/>
  <c r="P1127" i="2"/>
  <c r="P944" i="2"/>
  <c r="Q634" i="2"/>
  <c r="Q840" i="2"/>
  <c r="Q1129" i="2"/>
  <c r="Q755" i="2"/>
  <c r="Q654" i="2"/>
  <c r="Q401" i="2"/>
  <c r="Q529" i="2"/>
  <c r="Q661" i="2"/>
  <c r="P950" i="2"/>
  <c r="P426" i="2"/>
  <c r="P151" i="2"/>
  <c r="P85" i="2"/>
  <c r="P255" i="2"/>
  <c r="P1111" i="2"/>
  <c r="P70" i="2"/>
  <c r="P966" i="2"/>
  <c r="Q264" i="2"/>
  <c r="Q898" i="2"/>
  <c r="Q729" i="2"/>
  <c r="Q431" i="2"/>
  <c r="Q132" i="2"/>
  <c r="Q806" i="2"/>
  <c r="P833" i="2"/>
  <c r="Q968" i="2"/>
  <c r="Q192" i="2"/>
  <c r="Q360" i="2"/>
  <c r="Q624" i="2"/>
  <c r="P902" i="2"/>
  <c r="Q8" i="2"/>
  <c r="Q1021" i="2"/>
  <c r="Q944" i="2"/>
  <c r="Q478" i="2"/>
  <c r="Q381" i="2"/>
  <c r="Q1066" i="2"/>
  <c r="Q84" i="2"/>
  <c r="Q915" i="2"/>
  <c r="Q590" i="2"/>
  <c r="Q553" i="2"/>
  <c r="Q136" i="2"/>
  <c r="P1128" i="2"/>
  <c r="Q950" i="2"/>
  <c r="Q955" i="2"/>
  <c r="Q165" i="2"/>
  <c r="Q901" i="2"/>
  <c r="Q730" i="2"/>
  <c r="Q539" i="2"/>
  <c r="Q983" i="2"/>
  <c r="Q651" i="2"/>
  <c r="Q256" i="2"/>
  <c r="Q1001" i="2"/>
  <c r="Q770" i="2"/>
  <c r="Q494" i="2"/>
  <c r="Q281" i="2"/>
  <c r="P606" i="2"/>
  <c r="Q266" i="2"/>
  <c r="Q759" i="2"/>
  <c r="Q330" i="2"/>
  <c r="Q605" i="2"/>
  <c r="Q287" i="2"/>
  <c r="Q822" i="2"/>
  <c r="Q1031" i="2"/>
  <c r="Q409" i="2"/>
  <c r="Q99" i="2"/>
  <c r="Q48" i="2"/>
  <c r="Q181" i="2"/>
  <c r="P926" i="2"/>
  <c r="P736" i="2"/>
  <c r="Q289" i="2"/>
  <c r="Q267" i="2"/>
  <c r="Q907" i="2"/>
  <c r="Q151" i="2"/>
  <c r="Q102" i="2"/>
  <c r="Q545" i="2"/>
  <c r="Q673" i="2"/>
  <c r="Q632" i="2"/>
  <c r="Q347" i="2"/>
  <c r="P556" i="2"/>
  <c r="P381" i="2"/>
  <c r="P904" i="2"/>
  <c r="P907" i="2"/>
  <c r="P343" i="2"/>
  <c r="Q957" i="2"/>
  <c r="P301" i="2"/>
  <c r="P623" i="2"/>
  <c r="P807" i="2"/>
  <c r="Q503" i="2"/>
  <c r="Q849" i="2"/>
  <c r="Q856" i="2"/>
  <c r="Q460" i="2"/>
  <c r="Q524" i="2"/>
  <c r="Q486" i="2"/>
  <c r="Q1011" i="2"/>
  <c r="Q196" i="2"/>
  <c r="Q188" i="2"/>
  <c r="Q334" i="2"/>
  <c r="Q129" i="2"/>
  <c r="Q793" i="2"/>
  <c r="Q321" i="2"/>
  <c r="P712" i="2"/>
  <c r="P1063" i="2"/>
  <c r="Q470" i="2"/>
  <c r="P792" i="2"/>
  <c r="Q320" i="2"/>
  <c r="Q30" i="2"/>
  <c r="Q158" i="2"/>
  <c r="Q331" i="2"/>
  <c r="Q242" i="2"/>
  <c r="Q933" i="2"/>
  <c r="Q541" i="2"/>
  <c r="P934" i="2"/>
  <c r="Q1008" i="2"/>
  <c r="Q87" i="2"/>
  <c r="Q452" i="2"/>
  <c r="Q681" i="2"/>
  <c r="P856" i="2"/>
  <c r="Q711" i="2"/>
  <c r="Q58" i="2"/>
  <c r="Q77" i="2"/>
  <c r="Q975" i="2"/>
  <c r="Q664" i="2"/>
  <c r="Q364" i="2"/>
  <c r="P1112" i="2"/>
  <c r="Q176" i="2"/>
  <c r="Q922" i="2"/>
  <c r="Q279" i="2"/>
  <c r="Q795" i="2"/>
  <c r="Q781" i="2"/>
  <c r="Q613" i="2"/>
  <c r="Q152" i="2"/>
  <c r="P661" i="2"/>
  <c r="P626" i="2"/>
  <c r="Q526" i="2"/>
  <c r="Q32" i="2"/>
  <c r="Q178" i="2"/>
  <c r="Q303" i="2"/>
  <c r="Q694" i="2"/>
  <c r="Q297" i="2"/>
  <c r="Q512" i="2"/>
  <c r="Q618" i="2"/>
  <c r="Q641" i="2"/>
  <c r="P560" i="2"/>
  <c r="Q241" i="2"/>
  <c r="Q745" i="2"/>
  <c r="Q131" i="2"/>
  <c r="Q1027" i="2"/>
  <c r="Q106" i="2"/>
  <c r="Q805" i="2"/>
  <c r="Q757" i="2"/>
  <c r="Q1000" i="2"/>
  <c r="Q293" i="2"/>
  <c r="Q80" i="2"/>
  <c r="P968" i="2"/>
  <c r="P1086" i="2"/>
  <c r="P198" i="2"/>
  <c r="Q871" i="2"/>
  <c r="P349" i="2"/>
  <c r="Q324" i="2"/>
  <c r="P335" i="2"/>
  <c r="P88" i="2"/>
  <c r="P872" i="2"/>
  <c r="Q352" i="2"/>
  <c r="Q257" i="2"/>
  <c r="Q1054" i="2"/>
  <c r="Q191" i="2"/>
  <c r="Q456" i="2"/>
  <c r="Q485" i="2"/>
  <c r="Q1026" i="2"/>
  <c r="Q1072" i="2"/>
  <c r="Q500" i="2"/>
  <c r="Q599" i="2"/>
  <c r="Q329" i="2"/>
  <c r="Q913" i="2"/>
  <c r="Q800" i="2"/>
  <c r="Q736" i="2"/>
  <c r="Q109" i="2"/>
  <c r="Q298" i="2"/>
  <c r="Q157" i="2"/>
  <c r="Q492" i="2"/>
  <c r="Q412" i="2"/>
  <c r="Q1127" i="2"/>
  <c r="P728" i="2"/>
  <c r="Q385" i="2"/>
  <c r="Q552" i="2"/>
  <c r="Q638" i="2"/>
  <c r="Q1123" i="2"/>
  <c r="Q516" i="2"/>
  <c r="Q3" i="2"/>
  <c r="Q679" i="2"/>
  <c r="Q143" i="2"/>
  <c r="Q554" i="2"/>
  <c r="Q125" i="2"/>
  <c r="Q373" i="2"/>
  <c r="Q572" i="2"/>
  <c r="P276" i="2"/>
  <c r="Q199" i="2"/>
  <c r="Q365" i="2"/>
  <c r="Q703" i="2"/>
  <c r="P157" i="2"/>
  <c r="Q706" i="2"/>
  <c r="Q984" i="2"/>
  <c r="Q325" i="2"/>
  <c r="Q607" i="2"/>
  <c r="Q269" i="2"/>
  <c r="Q295" i="2"/>
  <c r="Q350" i="2"/>
  <c r="Q294" i="2"/>
  <c r="Q466" i="2"/>
  <c r="P189" i="2"/>
  <c r="Q487" i="2"/>
  <c r="Q405" i="2"/>
  <c r="Q1067" i="2"/>
  <c r="Q961" i="2"/>
  <c r="Q558" i="2"/>
  <c r="Q785" i="2"/>
  <c r="Q12" i="2"/>
  <c r="P294" i="2"/>
  <c r="Q912" i="2"/>
  <c r="Q209" i="2"/>
  <c r="Q666" i="2"/>
  <c r="Q639" i="2"/>
  <c r="Q243" i="2"/>
  <c r="Q354" i="2"/>
  <c r="Q1065" i="2"/>
  <c r="Q786" i="2"/>
  <c r="Q725" i="2"/>
  <c r="Q110" i="2"/>
  <c r="Q282" i="2"/>
  <c r="Q536" i="2"/>
  <c r="P936" i="2"/>
  <c r="P47" i="2"/>
  <c r="P117" i="2"/>
  <c r="P429" i="2"/>
  <c r="P418" i="2"/>
  <c r="P139" i="2"/>
  <c r="Q20" i="2"/>
  <c r="P1045" i="2"/>
  <c r="P432" i="2"/>
  <c r="P873" i="2"/>
  <c r="P743" i="2"/>
  <c r="Q918" i="2"/>
  <c r="Q925" i="2"/>
  <c r="Q73" i="2"/>
  <c r="Q726" i="2"/>
  <c r="Q31" i="2"/>
  <c r="Q543" i="2"/>
  <c r="P500" i="2"/>
  <c r="Q198" i="2"/>
  <c r="Q762" i="2"/>
  <c r="Q559" i="2"/>
  <c r="Q193" i="2"/>
  <c r="Q920" i="2"/>
  <c r="Q218" i="2"/>
  <c r="Q311" i="2"/>
  <c r="Q501" i="2"/>
  <c r="Q523" i="2"/>
  <c r="P937" i="2"/>
  <c r="P247" i="2"/>
  <c r="P970" i="2"/>
  <c r="Q646" i="2"/>
  <c r="Q376" i="2"/>
  <c r="Q1010" i="2"/>
  <c r="Q670" i="2"/>
  <c r="Q428" i="2"/>
  <c r="Q72" i="2"/>
  <c r="Q547" i="2"/>
  <c r="Q981" i="2"/>
  <c r="Q887" i="2"/>
  <c r="Q27" i="2"/>
  <c r="Q1137" i="2"/>
  <c r="Q881" i="2"/>
  <c r="Q929" i="2"/>
  <c r="Q982" i="2"/>
  <c r="Q1074" i="2"/>
  <c r="Q1132" i="2"/>
  <c r="Q291" i="2"/>
  <c r="Q521" i="2"/>
  <c r="P625" i="2"/>
  <c r="Q64" i="2"/>
  <c r="Q865" i="2"/>
  <c r="P952" i="2"/>
  <c r="Q1068" i="2"/>
  <c r="Q937" i="2"/>
  <c r="Q477" i="2"/>
  <c r="Q217" i="2"/>
  <c r="Q342" i="2"/>
  <c r="Q343" i="2"/>
  <c r="Q348" i="2"/>
  <c r="P1126" i="2"/>
  <c r="Q46" i="2"/>
  <c r="Q791" i="2"/>
  <c r="Q137" i="2"/>
  <c r="Q674" i="2"/>
  <c r="Q78" i="2"/>
  <c r="Q292" i="2"/>
  <c r="Q278" i="2"/>
  <c r="Q672" i="2"/>
  <c r="P688" i="2"/>
  <c r="Q854" i="2"/>
  <c r="Q656" i="2"/>
  <c r="P103" i="2"/>
  <c r="Q588" i="2"/>
  <c r="P990" i="2"/>
  <c r="Q1012" i="2"/>
  <c r="Q727" i="2"/>
  <c r="Q838" i="2"/>
  <c r="Q939" i="2"/>
  <c r="Q112" i="2"/>
  <c r="Q993" i="2"/>
  <c r="Q481" i="2"/>
  <c r="Q272" i="2"/>
  <c r="P1008" i="2"/>
  <c r="P1001" i="2"/>
  <c r="Q1052" i="2"/>
  <c r="P278" i="2"/>
  <c r="P66" i="2"/>
  <c r="P110" i="2"/>
  <c r="P613" i="2"/>
  <c r="P557" i="2"/>
  <c r="Q692" i="2"/>
  <c r="Q934" i="2"/>
  <c r="P8" i="2"/>
  <c r="Q965" i="2"/>
  <c r="P863" i="2"/>
  <c r="Q1038" i="2"/>
  <c r="P1137" i="2"/>
  <c r="Q472" i="2"/>
  <c r="P1009" i="2"/>
  <c r="Q850" i="2"/>
  <c r="Q938" i="2"/>
  <c r="Q139" i="2"/>
  <c r="Q527" i="2"/>
  <c r="Q1032" i="2"/>
  <c r="P927" i="2"/>
  <c r="Q393" i="2"/>
  <c r="Q1118" i="2"/>
  <c r="Q1125" i="2"/>
  <c r="Q344" i="2"/>
  <c r="Q449" i="2"/>
  <c r="Q511" i="2"/>
  <c r="Q852" i="2"/>
  <c r="P414" i="2"/>
  <c r="P131" i="2"/>
  <c r="P18" i="2"/>
  <c r="P577" i="2"/>
  <c r="Q707" i="2"/>
  <c r="Q748" i="2"/>
  <c r="Q696" i="2"/>
  <c r="Q642" i="2"/>
  <c r="Q743" i="2"/>
  <c r="Q860" i="2"/>
  <c r="Q379" i="2"/>
  <c r="Q601" i="2"/>
  <c r="Q1108" i="2"/>
  <c r="Q610" i="2"/>
  <c r="Q619" i="2"/>
  <c r="Q761" i="2"/>
  <c r="P1048" i="2"/>
  <c r="Q275" i="2"/>
  <c r="Q239" i="2"/>
  <c r="Q635" i="2"/>
  <c r="Q1030" i="2"/>
  <c r="Q973" i="2"/>
  <c r="P1056" i="2"/>
  <c r="Q341" i="2"/>
  <c r="Q894" i="2"/>
  <c r="Q586" i="2"/>
  <c r="Q1081" i="2"/>
  <c r="Q583" i="2"/>
  <c r="Q274" i="2"/>
  <c r="Q29" i="2"/>
  <c r="Q207" i="2"/>
  <c r="Q1124" i="2"/>
  <c r="Q424" i="2"/>
  <c r="Q717" i="2"/>
  <c r="Q1101" i="2"/>
  <c r="P1065" i="2"/>
  <c r="Q576" i="2"/>
  <c r="Q469" i="2"/>
  <c r="Q290" i="2"/>
  <c r="Q1073" i="2"/>
  <c r="Q204" i="2"/>
  <c r="P809" i="2"/>
  <c r="Q491" i="2"/>
  <c r="P1120" i="2"/>
  <c r="Q591" i="2"/>
  <c r="Q413" i="2"/>
  <c r="P720" i="2"/>
  <c r="P745" i="2"/>
  <c r="Q1037" i="2"/>
  <c r="Q555" i="2"/>
  <c r="Q406" i="2"/>
  <c r="Q79" i="2"/>
  <c r="Q378" i="2"/>
  <c r="Q1007" i="2"/>
  <c r="P862" i="2"/>
  <c r="P727" i="2"/>
  <c r="Q474" i="2"/>
  <c r="Q561" i="2"/>
  <c r="P911" i="2"/>
  <c r="P71" i="2"/>
  <c r="P324" i="2"/>
  <c r="P368" i="2"/>
  <c r="Q685" i="2"/>
  <c r="Q774" i="2"/>
  <c r="P363" i="2"/>
  <c r="P5" i="2"/>
  <c r="Q788" i="2"/>
  <c r="P864" i="2"/>
  <c r="Q1094" i="2"/>
  <c r="Q580" i="2"/>
  <c r="Q903" i="2"/>
  <c r="P594" i="2"/>
  <c r="Q627" i="2"/>
  <c r="Q616" i="2"/>
  <c r="Q684" i="2"/>
  <c r="Q115" i="2"/>
  <c r="P210" i="2"/>
  <c r="Q277" i="2"/>
  <c r="Q991" i="2"/>
  <c r="Q338" i="2"/>
  <c r="Q94" i="2"/>
  <c r="P243" i="2"/>
  <c r="Q731" i="2"/>
  <c r="Q1048" i="2"/>
  <c r="Q1034" i="2"/>
  <c r="Q595" i="2"/>
  <c r="Q568" i="2"/>
  <c r="Q690" i="2"/>
  <c r="Q61" i="2"/>
  <c r="Q695" i="2"/>
  <c r="Q315" i="2"/>
  <c r="Q369" i="2"/>
  <c r="P132" i="2"/>
  <c r="Q777" i="2"/>
  <c r="Q569" i="2"/>
  <c r="P1070" i="2"/>
  <c r="Q403" i="2"/>
  <c r="Q603" i="2"/>
  <c r="Q1128" i="2"/>
  <c r="Q306" i="2"/>
  <c r="Q263" i="2"/>
  <c r="Q357" i="2"/>
  <c r="Q1116" i="2"/>
  <c r="Q758" i="2"/>
  <c r="Q612" i="2"/>
  <c r="Q1006" i="2"/>
  <c r="Q42" i="2"/>
  <c r="Q254" i="2"/>
  <c r="Q1019" i="2"/>
  <c r="Q15" i="2"/>
  <c r="Q447" i="2"/>
  <c r="Q765" i="2"/>
  <c r="P1104" i="2"/>
  <c r="Q483" i="2"/>
  <c r="Q135" i="2"/>
  <c r="Q896" i="2"/>
  <c r="Q864" i="2"/>
  <c r="P579" i="2"/>
  <c r="P1049" i="2"/>
  <c r="Q885" i="2"/>
  <c r="Q116" i="2"/>
  <c r="Q261" i="2"/>
  <c r="Q825" i="2"/>
  <c r="Q245" i="2"/>
  <c r="Q693" i="2"/>
  <c r="P782" i="2"/>
  <c r="Q908" i="2"/>
  <c r="P759" i="2"/>
  <c r="P957" i="2"/>
  <c r="P726" i="2"/>
  <c r="P542" i="2"/>
  <c r="P959" i="2"/>
  <c r="Q956" i="2"/>
  <c r="Q489" i="2"/>
  <c r="P443" i="2"/>
  <c r="P216" i="2"/>
  <c r="Q1121" i="2"/>
  <c r="Q924" i="2"/>
  <c r="Q766" i="2"/>
  <c r="Q773" i="2"/>
  <c r="Q225" i="2"/>
  <c r="Q951" i="2"/>
  <c r="Q356" i="2"/>
  <c r="Q866" i="2"/>
  <c r="P1057" i="2"/>
  <c r="Q989" i="2"/>
  <c r="P920" i="2"/>
  <c r="Q797" i="2"/>
  <c r="P912" i="2"/>
  <c r="P711" i="2"/>
  <c r="P242" i="2"/>
  <c r="P332" i="2"/>
  <c r="P398" i="2"/>
  <c r="Q927" i="2"/>
  <c r="Q997" i="2"/>
  <c r="Q655" i="2"/>
  <c r="Q200" i="2"/>
  <c r="P36" i="2"/>
  <c r="P951" i="2"/>
  <c r="Q62" i="2"/>
  <c r="Q978" i="2"/>
  <c r="Q665" i="2"/>
  <c r="Q1053" i="2"/>
  <c r="Q676" i="2"/>
  <c r="P760" i="2"/>
  <c r="Q194" i="2"/>
  <c r="Q380" i="2"/>
  <c r="Q479" i="2"/>
  <c r="Q614" i="2"/>
  <c r="Q213" i="2"/>
  <c r="Q1117" i="2"/>
  <c r="Q148" i="2"/>
  <c r="Q309" i="2"/>
  <c r="Q396" i="2"/>
  <c r="Q556" i="2"/>
  <c r="Q475" i="2"/>
  <c r="Q1002" i="2"/>
  <c r="Q789" i="2"/>
  <c r="P163" i="2"/>
  <c r="P90" i="2"/>
  <c r="Q513" i="2"/>
  <c r="Q737" i="2"/>
  <c r="P1121" i="2"/>
  <c r="P378" i="2"/>
  <c r="P191" i="2"/>
  <c r="P371" i="2"/>
  <c r="P248" i="2"/>
  <c r="P534" i="2"/>
  <c r="P847" i="2"/>
  <c r="Q996" i="2"/>
  <c r="Q410" i="2"/>
  <c r="Q16" i="2"/>
  <c r="P1054" i="2"/>
  <c r="P434" i="2"/>
  <c r="P65" i="2"/>
  <c r="P485" i="2"/>
  <c r="P40" i="2"/>
  <c r="P107" i="2"/>
  <c r="P179" i="2"/>
  <c r="P554" i="2"/>
  <c r="P229" i="2"/>
  <c r="P1058" i="2"/>
  <c r="P510" i="2"/>
  <c r="P313" i="2"/>
  <c r="P1095" i="2"/>
  <c r="P791" i="2"/>
  <c r="Q790" i="2"/>
  <c r="Q375" i="2"/>
  <c r="Q980" i="2"/>
  <c r="Q756" i="2"/>
  <c r="Q117" i="2"/>
  <c r="P653" i="2"/>
  <c r="P56" i="2"/>
  <c r="P358" i="2"/>
  <c r="P506" i="2"/>
  <c r="P1015" i="2"/>
  <c r="P81" i="2"/>
  <c r="P850" i="2"/>
  <c r="Q713" i="2"/>
  <c r="Q59" i="2"/>
  <c r="Q118" i="2"/>
  <c r="Q519" i="2"/>
  <c r="Q507" i="2"/>
  <c r="Q602" i="2"/>
  <c r="Q49" i="2"/>
  <c r="Q609" i="2"/>
  <c r="Q1045" i="2"/>
  <c r="Q317" i="2"/>
  <c r="Q801" i="2"/>
  <c r="Q841" i="2"/>
  <c r="P793" i="2"/>
  <c r="Q1109" i="2"/>
  <c r="P910" i="2"/>
  <c r="P1119" i="2"/>
  <c r="Q914" i="2"/>
  <c r="P1097" i="2"/>
  <c r="P1055" i="2"/>
  <c r="P379" i="2"/>
  <c r="P391" i="2"/>
  <c r="Q884" i="2"/>
  <c r="P999" i="2"/>
  <c r="P1062" i="2"/>
  <c r="Q1092" i="2"/>
  <c r="P597" i="2"/>
  <c r="P58" i="2"/>
  <c r="Q71" i="2"/>
  <c r="Q874" i="2"/>
  <c r="P82" i="2"/>
  <c r="Q1102" i="2"/>
  <c r="P1081" i="2"/>
  <c r="P605" i="2"/>
  <c r="Q180" i="2"/>
  <c r="Q93" i="2"/>
  <c r="Q1050" i="2"/>
  <c r="Q75" i="2"/>
  <c r="Q510" i="2"/>
  <c r="Q645" i="2"/>
  <c r="Q741" i="2"/>
  <c r="Q189" i="2"/>
  <c r="Q253" i="2"/>
  <c r="Q792" i="2"/>
  <c r="Q728" i="2"/>
  <c r="Q445" i="2"/>
  <c r="Q417" i="2"/>
  <c r="P362" i="2"/>
  <c r="P905" i="2"/>
  <c r="Q201" i="2"/>
  <c r="Q921" i="2"/>
  <c r="P857" i="2"/>
  <c r="P87" i="2"/>
  <c r="P327" i="2"/>
  <c r="P28" i="2"/>
  <c r="P838" i="2"/>
  <c r="P599" i="2"/>
  <c r="P804" i="2"/>
  <c r="Q1023" i="2"/>
  <c r="Q799" i="2"/>
  <c r="Q808" i="2"/>
  <c r="P595" i="2"/>
  <c r="P451" i="2"/>
  <c r="P24" i="2"/>
  <c r="P404" i="2"/>
  <c r="P1061" i="2"/>
  <c r="P447" i="2"/>
  <c r="P946" i="2"/>
  <c r="P26" i="2"/>
  <c r="P647" i="2"/>
  <c r="P1117" i="2"/>
  <c r="Q708" i="2"/>
  <c r="P690" i="2"/>
  <c r="Q531" i="2"/>
  <c r="Q796" i="2"/>
  <c r="Q465" i="2"/>
  <c r="Q302" i="2"/>
  <c r="P774" i="2"/>
  <c r="Q782" i="2"/>
  <c r="Q509" i="2"/>
  <c r="P1087" i="2"/>
  <c r="P706" i="2"/>
  <c r="P467" i="2"/>
  <c r="P461" i="2"/>
  <c r="P76" i="2"/>
  <c r="P777" i="2"/>
  <c r="P337" i="2"/>
  <c r="Q1003" i="2"/>
  <c r="Q1130" i="2"/>
  <c r="Q1035" i="2"/>
  <c r="Q905" i="2"/>
  <c r="Q153" i="2"/>
  <c r="Q571" i="2"/>
  <c r="Q107" i="2"/>
  <c r="Q169" i="2"/>
  <c r="Q967" i="2"/>
  <c r="Q1084" i="2"/>
  <c r="Q1120" i="2"/>
  <c r="Q843" i="2"/>
  <c r="Q150" i="2"/>
  <c r="Q574" i="2"/>
  <c r="Q675" i="2"/>
  <c r="Q585" i="2"/>
  <c r="Q144" i="2"/>
  <c r="Q383" i="2"/>
  <c r="P502" i="2"/>
  <c r="Q1022" i="2"/>
  <c r="P42" i="2"/>
  <c r="P813" i="2"/>
  <c r="Q1004" i="2"/>
  <c r="Q480" i="2"/>
  <c r="Q1093" i="2"/>
  <c r="P357" i="2"/>
  <c r="P1088" i="2"/>
  <c r="Q284" i="2"/>
  <c r="Q1107" i="2"/>
  <c r="Q699" i="2"/>
  <c r="P578" i="2"/>
  <c r="Q1095" i="2"/>
  <c r="P744" i="2"/>
  <c r="P735" i="2"/>
  <c r="Q390" i="2"/>
  <c r="Q326" i="2"/>
  <c r="Q697" i="2"/>
  <c r="Q141" i="2"/>
  <c r="Q7" i="2"/>
  <c r="Q636" i="2"/>
  <c r="Q1076" i="2"/>
  <c r="Q700" i="2"/>
  <c r="Q544" i="2"/>
  <c r="Q990" i="2"/>
  <c r="Q1020" i="2"/>
  <c r="Q733" i="2"/>
  <c r="Q1071" i="2"/>
  <c r="P253" i="2"/>
  <c r="P590" i="2"/>
  <c r="P935" i="2"/>
  <c r="Q1041" i="2"/>
  <c r="Q751" i="2"/>
  <c r="P219" i="2"/>
  <c r="P514" i="2"/>
  <c r="P651" i="2"/>
  <c r="P355" i="2"/>
  <c r="Q1013" i="2"/>
  <c r="P480" i="2"/>
  <c r="Q361" i="2"/>
  <c r="Q1111" i="2"/>
  <c r="Q992" i="2"/>
  <c r="P848" i="2"/>
  <c r="P304" i="2"/>
  <c r="P160" i="2"/>
  <c r="P53" i="2"/>
  <c r="Q121" i="2"/>
  <c r="P758" i="2"/>
  <c r="P916" i="2"/>
  <c r="P287" i="2"/>
  <c r="P1035" i="2"/>
  <c r="P899" i="2"/>
  <c r="P567" i="2"/>
  <c r="Q464" i="2"/>
  <c r="Q247" i="2"/>
  <c r="Q363" i="2"/>
  <c r="P669" i="2"/>
  <c r="P1089" i="2"/>
  <c r="Q91" i="2"/>
  <c r="Q537" i="2"/>
  <c r="P961" i="2"/>
  <c r="P644" i="2"/>
  <c r="Q844" i="2"/>
  <c r="P885" i="2"/>
  <c r="Q900" i="2"/>
  <c r="P975" i="2"/>
  <c r="P1007" i="2"/>
  <c r="Q423" i="2"/>
  <c r="Q138" i="2"/>
  <c r="Q1091" i="2"/>
  <c r="Q620" i="2"/>
  <c r="Q826" i="2"/>
  <c r="P983" i="2"/>
  <c r="Q919" i="2"/>
  <c r="Q234" i="2"/>
  <c r="Q98" i="2"/>
  <c r="Q273" i="2"/>
  <c r="Q837" i="2"/>
  <c r="Q910" i="2"/>
  <c r="Q1014" i="2"/>
  <c r="P871" i="2"/>
  <c r="Q870" i="2"/>
  <c r="Q1135" i="2"/>
  <c r="Q687" i="2"/>
  <c r="P1037" i="2"/>
  <c r="Q1060" i="2"/>
  <c r="Q1086" i="2"/>
  <c r="Q686" i="2"/>
  <c r="P412" i="2"/>
  <c r="P311" i="2"/>
  <c r="Q1059" i="2"/>
  <c r="Q630" i="2"/>
  <c r="Q146" i="2"/>
  <c r="P536" i="2"/>
  <c r="P146" i="2"/>
  <c r="P800" i="2"/>
  <c r="P274" i="2"/>
  <c r="Q715" i="2"/>
  <c r="Q40" i="2"/>
  <c r="Q170" i="2"/>
  <c r="Q197" i="2"/>
  <c r="Q1099" i="2"/>
  <c r="Q504" i="2"/>
  <c r="Q499" i="2"/>
  <c r="P1136" i="2"/>
  <c r="Q384" i="2"/>
  <c r="P953" i="2"/>
  <c r="Q17" i="2"/>
  <c r="Q25" i="2"/>
  <c r="Q419" i="2"/>
  <c r="P423" i="2"/>
  <c r="P286" i="2"/>
  <c r="P945" i="2"/>
  <c r="Q65" i="2"/>
  <c r="Q377" i="2"/>
  <c r="P718" i="2"/>
  <c r="P120" i="2"/>
  <c r="P122" i="2"/>
  <c r="P973" i="2"/>
  <c r="P454" i="2"/>
  <c r="Q346" i="2"/>
  <c r="P650" i="2"/>
  <c r="P942" i="2"/>
  <c r="Q1112" i="2"/>
  <c r="Q814" i="2"/>
  <c r="P277" i="2"/>
  <c r="P236" i="2"/>
  <c r="P300" i="2"/>
  <c r="P326" i="2"/>
  <c r="P563" i="2"/>
  <c r="P302" i="2"/>
  <c r="P896" i="2"/>
  <c r="P713" i="2"/>
  <c r="P356" i="2"/>
  <c r="P323" i="2"/>
  <c r="P616" i="2"/>
  <c r="Q174" i="2"/>
  <c r="P767" i="2"/>
  <c r="P608" i="2"/>
  <c r="Q820" i="2"/>
  <c r="Q872" i="2"/>
  <c r="P576" i="2"/>
  <c r="P761" i="2"/>
  <c r="P582" i="2"/>
  <c r="Q1005" i="2"/>
  <c r="Q528" i="2"/>
  <c r="P1102" i="2"/>
  <c r="P572" i="2"/>
  <c r="P484" i="2"/>
  <c r="Q640" i="2"/>
  <c r="Q66" i="2"/>
  <c r="Q229" i="2"/>
  <c r="Q231" i="2"/>
  <c r="Q802" i="2"/>
  <c r="Q988" i="2"/>
  <c r="Q88" i="2"/>
  <c r="Q1055" i="2"/>
  <c r="Q660" i="2"/>
  <c r="P865" i="2"/>
  <c r="Q847" i="2"/>
  <c r="Q255" i="2"/>
  <c r="Q677" i="2"/>
  <c r="Q853" i="2"/>
  <c r="Q430" i="2"/>
  <c r="P507" i="2"/>
  <c r="P652" i="2"/>
  <c r="P397" i="2"/>
  <c r="P184" i="2"/>
  <c r="Q995" i="2"/>
  <c r="Q683" i="2"/>
  <c r="Q567" i="2"/>
  <c r="Q540" i="2"/>
  <c r="Q966" i="2"/>
  <c r="Q312" i="2"/>
  <c r="Q336" i="2"/>
  <c r="P427" i="2"/>
  <c r="Q82" i="2"/>
  <c r="P815" i="2"/>
  <c r="P1020" i="2"/>
  <c r="Q732" i="2"/>
  <c r="P976" i="2"/>
  <c r="Q594" i="2"/>
  <c r="P403" i="2"/>
  <c r="P224" i="2"/>
  <c r="Q68" i="2"/>
  <c r="Q124" i="2"/>
  <c r="Q26" i="2"/>
  <c r="Q394" i="2"/>
  <c r="P1103" i="2"/>
  <c r="P929" i="2"/>
  <c r="Q233" i="2"/>
  <c r="Q776" i="2"/>
  <c r="Q698" i="2"/>
  <c r="Q226" i="2"/>
  <c r="Q859" i="2"/>
  <c r="Q778" i="2"/>
  <c r="Q41" i="2"/>
  <c r="Q443" i="2"/>
  <c r="P799" i="2"/>
  <c r="Q280" i="2"/>
  <c r="P1073" i="2"/>
  <c r="Q902" i="2"/>
  <c r="Q427" i="2"/>
  <c r="P270" i="2"/>
  <c r="P508" i="2"/>
  <c r="Q214" i="2"/>
  <c r="Q909" i="2"/>
  <c r="Q265" i="2"/>
  <c r="P1135" i="2"/>
  <c r="P1023" i="2"/>
  <c r="Q780" i="2"/>
  <c r="P346" i="2"/>
  <c r="P7" i="2"/>
  <c r="P982" i="2"/>
  <c r="Q863" i="2"/>
  <c r="Q671" i="2"/>
  <c r="P1000" i="2"/>
  <c r="Q577" i="2"/>
  <c r="Q935" i="2"/>
  <c r="Q113" i="2"/>
  <c r="P50" i="2"/>
  <c r="P124" i="2"/>
  <c r="P2" i="2"/>
  <c r="B3" i="5" s="1"/>
  <c r="P367" i="2"/>
  <c r="P918" i="2"/>
  <c r="P78" i="2"/>
  <c r="P212" i="2"/>
  <c r="P266" i="2"/>
  <c r="P784" i="2"/>
  <c r="Q596" i="2"/>
  <c r="Q621" i="2"/>
  <c r="Q542" i="2"/>
  <c r="Q623" i="2"/>
  <c r="Q846" i="2"/>
  <c r="Q985" i="2"/>
  <c r="Q564" i="2"/>
  <c r="Q812" i="2"/>
  <c r="P183" i="2"/>
  <c r="P196" i="2"/>
  <c r="P624" i="2"/>
  <c r="P490" i="2"/>
  <c r="P252" i="2"/>
  <c r="P846" i="2"/>
  <c r="Q1016" i="2"/>
  <c r="Q52" i="2"/>
  <c r="Q398" i="2"/>
  <c r="Q248" i="2"/>
  <c r="Q55" i="2"/>
  <c r="Q205" i="2"/>
  <c r="Q857" i="2"/>
  <c r="P919" i="2"/>
  <c r="P1072" i="2"/>
  <c r="Q1087" i="2"/>
  <c r="Q35" i="2"/>
  <c r="P328" i="2"/>
  <c r="P562" i="2"/>
  <c r="Q735" i="2"/>
  <c r="P790" i="2"/>
  <c r="P997" i="2"/>
  <c r="P1040" i="2"/>
  <c r="Q816" i="2"/>
  <c r="Q798" i="2"/>
  <c r="Q750" i="2"/>
  <c r="P1084" i="2"/>
  <c r="Q2" i="2"/>
  <c r="B4" i="5" s="1"/>
  <c r="Q436" i="2"/>
  <c r="Q668" i="2"/>
  <c r="Q210" i="2"/>
  <c r="P1038" i="2"/>
  <c r="Q177" i="2"/>
  <c r="Q1134" i="2"/>
  <c r="Q187" i="2"/>
  <c r="Q629" i="2"/>
  <c r="Q1138" i="2"/>
  <c r="Q414" i="2"/>
  <c r="Q658" i="2"/>
  <c r="Q328" i="2"/>
  <c r="Q33" i="2"/>
  <c r="P855" i="2"/>
  <c r="Q161" i="2"/>
  <c r="P1129" i="2"/>
  <c r="Q371" i="2"/>
  <c r="P785" i="2"/>
  <c r="P437" i="2"/>
  <c r="P129" i="2"/>
  <c r="Q260" i="2"/>
  <c r="Q353" i="2"/>
  <c r="P878" i="2"/>
  <c r="P822" i="2"/>
  <c r="P634" i="2"/>
  <c r="Q941" i="2"/>
  <c r="P37" i="2"/>
  <c r="P535" i="2"/>
  <c r="P677" i="2"/>
  <c r="Q649" i="2"/>
  <c r="Q167" i="2"/>
  <c r="Q932" i="2"/>
  <c r="Q1047" i="2"/>
  <c r="P130" i="2"/>
  <c r="Q448" i="2"/>
  <c r="P849" i="2"/>
  <c r="P291" i="2"/>
  <c r="P352" i="2"/>
  <c r="P306" i="2"/>
  <c r="P551" i="2"/>
  <c r="P245" i="2"/>
  <c r="P217" i="2"/>
  <c r="P474" i="2"/>
  <c r="P35" i="2"/>
  <c r="Q435" i="2"/>
  <c r="Q948" i="2"/>
  <c r="Q437" i="2"/>
  <c r="Q1078" i="2"/>
  <c r="Q473" i="2"/>
  <c r="Q439" i="2"/>
  <c r="Q916" i="2"/>
  <c r="Q845" i="2"/>
  <c r="P214" i="2"/>
  <c r="P396" i="2"/>
  <c r="P632" i="2"/>
  <c r="P455" i="2"/>
  <c r="P452" i="2"/>
  <c r="P1046" i="2"/>
  <c r="Q203" i="2"/>
  <c r="Q262" i="2"/>
  <c r="Q652" i="2"/>
  <c r="Q604" i="2"/>
  <c r="Q573" i="2"/>
  <c r="P840" i="2"/>
  <c r="Q740" i="2"/>
  <c r="P678" i="2"/>
  <c r="Q127" i="2"/>
  <c r="Q587" i="2"/>
  <c r="Q182" i="2"/>
  <c r="Q977" i="2"/>
  <c r="P993" i="2"/>
  <c r="P617" i="2"/>
  <c r="Q1044" i="2"/>
  <c r="Q876" i="2"/>
  <c r="P472" i="2"/>
  <c r="P1125" i="2"/>
  <c r="P642" i="2"/>
  <c r="P60" i="2"/>
  <c r="P89" i="2"/>
  <c r="Q47" i="2"/>
  <c r="Q111" i="2"/>
  <c r="Q718" i="2"/>
  <c r="P202" i="2"/>
  <c r="P622" i="2"/>
  <c r="Q442" i="2"/>
  <c r="Q134" i="2"/>
  <c r="Q1046" i="2"/>
  <c r="Q90" i="2"/>
  <c r="Q332" i="2"/>
  <c r="Q171" i="2"/>
  <c r="Q1113" i="2"/>
  <c r="Q323" i="2"/>
  <c r="Q1075" i="2"/>
  <c r="Q10" i="2"/>
  <c r="Q514" i="2"/>
  <c r="Q538" i="2"/>
  <c r="Q227" i="2"/>
  <c r="Q105" i="2"/>
  <c r="P984" i="2"/>
  <c r="Q1079" i="2"/>
  <c r="P801" i="2"/>
  <c r="P903" i="2"/>
  <c r="Q140" i="2"/>
  <c r="P438" i="2"/>
  <c r="P694" i="2"/>
  <c r="Q530" i="2"/>
  <c r="Q408" i="2"/>
  <c r="P991" i="2"/>
  <c r="P1014" i="2"/>
  <c r="P559" i="2"/>
  <c r="P260" i="2"/>
  <c r="P152" i="2"/>
  <c r="Q749" i="2"/>
  <c r="P633" i="2"/>
  <c r="P1006" i="2"/>
  <c r="Q237" i="2"/>
  <c r="Q959" i="2"/>
  <c r="Q145" i="2"/>
  <c r="P299" i="2"/>
  <c r="P695" i="2"/>
  <c r="Q964" i="2"/>
  <c r="P375" i="2"/>
  <c r="P614" i="2"/>
  <c r="P91" i="2"/>
  <c r="Q633" i="2"/>
  <c r="P676" i="2"/>
  <c r="P987" i="2"/>
  <c r="P503" i="2"/>
  <c r="P199" i="2"/>
  <c r="Q97" i="2"/>
  <c r="Q974" i="2"/>
  <c r="Q340" i="2"/>
  <c r="Q1070" i="2"/>
  <c r="P660" i="2"/>
  <c r="Q366" i="2"/>
  <c r="Q57" i="2"/>
  <c r="Q895" i="2"/>
  <c r="P350" i="2"/>
  <c r="P340" i="2"/>
  <c r="P1101" i="2"/>
  <c r="P458" i="2"/>
  <c r="P336" i="2"/>
  <c r="Q411" i="2"/>
  <c r="P928" i="2"/>
  <c r="P662" i="2"/>
  <c r="P681" i="2"/>
  <c r="Q173" i="2"/>
  <c r="Q288" i="2"/>
  <c r="P517" i="2"/>
  <c r="P193" i="2"/>
  <c r="Q998" i="2"/>
  <c r="P1033" i="2"/>
  <c r="Q721" i="2"/>
  <c r="Q648" i="2"/>
  <c r="Q468" i="2"/>
  <c r="Q400" i="2"/>
  <c r="P814" i="2"/>
  <c r="Q742" i="2"/>
  <c r="Q300" i="2"/>
  <c r="Q463" i="2"/>
  <c r="Q1103" i="2"/>
  <c r="Q667" i="2"/>
  <c r="Q212" i="2"/>
  <c r="Q276" i="2"/>
  <c r="Q458" i="2"/>
  <c r="Q963" i="2"/>
  <c r="Q359" i="2"/>
  <c r="Q1136" i="2"/>
  <c r="Q211" i="2"/>
  <c r="Q734" i="2"/>
  <c r="Q43" i="2"/>
  <c r="Q943" i="2"/>
  <c r="Q600" i="2"/>
  <c r="Q299" i="2"/>
  <c r="P967" i="2"/>
  <c r="Q258" i="2"/>
  <c r="Q892" i="2"/>
  <c r="Q821" i="2"/>
  <c r="P640" i="2"/>
  <c r="Q659" i="2"/>
  <c r="P775" i="2"/>
  <c r="P1047" i="2"/>
  <c r="P702" i="2"/>
  <c r="P80" i="2"/>
  <c r="P460" i="2"/>
  <c r="P445" i="2"/>
  <c r="P136" i="2"/>
  <c r="P751" i="2"/>
  <c r="P1064" i="2"/>
  <c r="Q76" i="2"/>
  <c r="Q425" i="2"/>
  <c r="Q89" i="2"/>
  <c r="P298" i="2"/>
  <c r="P392" i="2"/>
  <c r="P285" i="2"/>
  <c r="P137" i="2"/>
  <c r="Q772" i="2"/>
  <c r="Q208" i="2"/>
  <c r="P72" i="2"/>
  <c r="Q249" i="2"/>
  <c r="P283" i="2"/>
  <c r="P583" i="2"/>
  <c r="P17" i="2"/>
  <c r="P1039" i="2"/>
  <c r="Q345" i="2"/>
  <c r="Q1061" i="2"/>
  <c r="Q1049" i="2"/>
  <c r="Q663" i="2"/>
  <c r="P1025" i="2"/>
  <c r="Q301" i="2"/>
  <c r="Q823" i="2"/>
  <c r="P322" i="2"/>
  <c r="Q96" i="2"/>
  <c r="Q566" i="2"/>
  <c r="Q457" i="2"/>
  <c r="P1113" i="2"/>
  <c r="Q716" i="2"/>
  <c r="P985" i="2"/>
  <c r="Q775" i="2"/>
  <c r="P816" i="2"/>
  <c r="P16" i="2"/>
  <c r="P334" i="2"/>
  <c r="P710" i="2"/>
  <c r="P1118" i="2"/>
  <c r="P168" i="2"/>
  <c r="P636" i="2"/>
  <c r="P410" i="2"/>
  <c r="Q942" i="2"/>
  <c r="P803" i="2"/>
  <c r="P709" i="2"/>
  <c r="P331" i="2"/>
  <c r="P1116" i="2"/>
  <c r="P1107" i="2"/>
  <c r="Q374" i="2"/>
  <c r="P30" i="2"/>
  <c r="P383" i="2"/>
  <c r="P158" i="2"/>
  <c r="P943" i="2"/>
  <c r="P315" i="2"/>
  <c r="P1090" i="2"/>
  <c r="P842" i="2"/>
  <c r="P281" i="2"/>
  <c r="Q114" i="2"/>
  <c r="P874" i="2"/>
  <c r="P619" i="2"/>
  <c r="P1108" i="2"/>
  <c r="Q747" i="2"/>
  <c r="P469" i="2"/>
  <c r="Q372" i="2"/>
  <c r="P310" i="2"/>
  <c r="P325" i="2"/>
  <c r="P867" i="2"/>
  <c r="P746" i="2"/>
  <c r="P665" i="2"/>
  <c r="Q819" i="2"/>
  <c r="P836" i="2"/>
  <c r="P289" i="2"/>
  <c r="P265" i="2"/>
  <c r="P733" i="2"/>
  <c r="P527" i="2"/>
  <c r="P330" i="2"/>
  <c r="Q83" i="2"/>
  <c r="Q548" i="2"/>
  <c r="Q1069" i="2"/>
  <c r="P965" i="2"/>
  <c r="P442" i="2"/>
  <c r="P342" i="2"/>
  <c r="P435" i="2"/>
  <c r="P101" i="2"/>
  <c r="P321" i="2"/>
  <c r="P115" i="2"/>
  <c r="P464" i="2"/>
  <c r="P225" i="2"/>
  <c r="P141" i="2"/>
  <c r="P648" i="2"/>
  <c r="Q128" i="2"/>
  <c r="P478" i="2"/>
  <c r="P92" i="2"/>
  <c r="P45" i="2"/>
  <c r="P220" i="2"/>
  <c r="P309" i="2"/>
  <c r="P806" i="2"/>
  <c r="P956" i="2"/>
  <c r="P433" i="2"/>
  <c r="P771" i="2"/>
  <c r="Q172" i="2"/>
  <c r="P719" i="2"/>
  <c r="P783" i="2"/>
  <c r="Q878" i="2"/>
  <c r="P176" i="2"/>
  <c r="P981" i="2"/>
  <c r="P38" i="2"/>
  <c r="P476" i="2"/>
  <c r="Q488" i="2"/>
  <c r="Q829" i="2"/>
  <c r="P689" i="2"/>
  <c r="Q495" i="2"/>
  <c r="Q467" i="2"/>
  <c r="Q316" i="2"/>
  <c r="P588" i="2"/>
  <c r="P881" i="2"/>
  <c r="P127" i="2"/>
  <c r="P365" i="2"/>
  <c r="P10" i="2"/>
  <c r="P1022" i="2"/>
  <c r="Q433" i="2"/>
  <c r="P1083" i="2"/>
  <c r="P257" i="2"/>
  <c r="P541" i="2"/>
  <c r="P405" i="2"/>
  <c r="P153" i="2"/>
  <c r="P566" i="2"/>
  <c r="P466" i="2"/>
  <c r="Q680" i="2"/>
  <c r="P75" i="2"/>
  <c r="P486" i="2"/>
  <c r="P519" i="2"/>
  <c r="P106" i="2"/>
  <c r="P558" i="2"/>
  <c r="P424" i="2"/>
  <c r="P701" i="2"/>
  <c r="P1139" i="2"/>
  <c r="P1123" i="2"/>
  <c r="Q1040" i="2"/>
  <c r="P851" i="2"/>
  <c r="P858" i="2"/>
  <c r="P11" i="2"/>
  <c r="Q206" i="2"/>
  <c r="P940" i="2"/>
  <c r="Q525" i="2"/>
  <c r="P637" i="2"/>
  <c r="P39" i="2"/>
  <c r="P345" i="2"/>
  <c r="P723" i="2"/>
  <c r="P494" i="2"/>
  <c r="Q308" i="2"/>
  <c r="P643" i="2"/>
  <c r="Q815" i="2"/>
  <c r="P868" i="2"/>
  <c r="P1132" i="2"/>
  <c r="P147" i="2"/>
  <c r="P359" i="2"/>
  <c r="Q517" i="2"/>
  <c r="Q657" i="2"/>
  <c r="P99" i="2"/>
  <c r="Q625" i="2"/>
  <c r="P46" i="2"/>
  <c r="P565" i="2"/>
  <c r="P59" i="2"/>
  <c r="P20" i="2"/>
  <c r="P187" i="2"/>
  <c r="P284" i="2"/>
  <c r="P408" i="2"/>
  <c r="P914" i="2"/>
  <c r="P679" i="2"/>
  <c r="P714" i="2"/>
  <c r="Q149" i="2"/>
  <c r="P591" i="2"/>
  <c r="P228" i="2"/>
  <c r="P181" i="2"/>
  <c r="P79" i="2"/>
  <c r="P459" i="2"/>
  <c r="P387" i="2"/>
  <c r="P684" i="2"/>
  <c r="P1109" i="2"/>
  <c r="P73" i="2"/>
  <c r="Q904" i="2"/>
  <c r="Q429" i="2"/>
  <c r="Q644" i="2"/>
  <c r="Q358" i="2"/>
  <c r="P515" i="2"/>
  <c r="Q202" i="2"/>
  <c r="P672" i="2"/>
  <c r="Q868" i="2"/>
  <c r="P96" i="2"/>
  <c r="P501" i="2"/>
  <c r="P164" i="2"/>
  <c r="P526" i="2"/>
  <c r="P4" i="2"/>
  <c r="P879" i="2"/>
  <c r="P123" i="2"/>
  <c r="P344" i="2"/>
  <c r="P370" i="2"/>
  <c r="P1027" i="2"/>
  <c r="P779" i="2"/>
  <c r="P834" i="2"/>
  <c r="Q626" i="2"/>
  <c r="P95" i="2"/>
  <c r="P244" i="2"/>
  <c r="P203" i="2"/>
  <c r="P27" i="2"/>
  <c r="P149" i="2"/>
  <c r="P607" i="2"/>
  <c r="P844" i="2"/>
  <c r="P685" i="2"/>
  <c r="P143" i="2"/>
  <c r="Q834" i="2"/>
  <c r="P1012" i="2"/>
  <c r="P112" i="2"/>
  <c r="P532" i="2"/>
  <c r="Q335" i="2"/>
  <c r="P570" i="2"/>
  <c r="Q890" i="2"/>
  <c r="Q497" i="2"/>
  <c r="P845" i="2"/>
  <c r="P545" i="2"/>
  <c r="P186" i="2"/>
  <c r="P475" i="2"/>
  <c r="Q723" i="2"/>
  <c r="P832" i="2"/>
  <c r="Q1133" i="2"/>
  <c r="P980" i="2"/>
  <c r="P329" i="2"/>
  <c r="P715" i="2"/>
  <c r="P890" i="2"/>
  <c r="Q549" i="2"/>
  <c r="P998" i="2"/>
  <c r="P354" i="2"/>
  <c r="P1030" i="2"/>
  <c r="P553" i="2"/>
  <c r="P422" i="2"/>
  <c r="P3" i="2"/>
  <c r="P156" i="2"/>
  <c r="P573" i="2"/>
  <c r="P178" i="2"/>
  <c r="P314" i="2"/>
  <c r="P630" i="2"/>
  <c r="P483" i="2"/>
  <c r="P448" i="2"/>
  <c r="Q581" i="2"/>
  <c r="P52" i="2"/>
  <c r="P471" i="2"/>
  <c r="P104" i="2"/>
  <c r="P182" i="2"/>
  <c r="P603" i="2"/>
  <c r="P77" i="2"/>
  <c r="P829" i="2"/>
  <c r="P666" i="2"/>
  <c r="P317" i="2"/>
  <c r="Q560" i="2"/>
  <c r="P267" i="2"/>
  <c r="P598" i="2"/>
  <c r="P823" i="2"/>
  <c r="P812" i="2"/>
  <c r="P740" i="2"/>
  <c r="P933" i="2"/>
  <c r="P861" i="2"/>
  <c r="P489" i="2"/>
  <c r="Q969" i="2"/>
  <c r="P692" i="2"/>
  <c r="Q832" i="2"/>
  <c r="Q268" i="2"/>
  <c r="P974" i="2"/>
  <c r="Q861" i="2"/>
  <c r="P889" i="2"/>
  <c r="Q1056" i="2"/>
  <c r="P921" i="2"/>
  <c r="Q958" i="2"/>
  <c r="P172" i="2"/>
  <c r="P399" i="2"/>
  <c r="P969" i="2"/>
  <c r="P162" i="2"/>
  <c r="P173" i="2"/>
  <c r="P12" i="2"/>
  <c r="P238" i="2"/>
  <c r="P663" i="2"/>
  <c r="P271" i="2"/>
  <c r="P393" i="2"/>
  <c r="P1068" i="2"/>
  <c r="P1052" i="2"/>
  <c r="Q34" i="2"/>
  <c r="P1034" i="2"/>
  <c r="P964" i="2"/>
  <c r="P440" i="2"/>
  <c r="Q879" i="2"/>
  <c r="P839" i="2"/>
  <c r="P781" i="2"/>
  <c r="P1026" i="2"/>
  <c r="P279" i="2"/>
  <c r="P246" i="2"/>
  <c r="Q232" i="2"/>
  <c r="P732" i="2"/>
  <c r="P380" i="2"/>
  <c r="P707" i="2"/>
  <c r="Q827" i="2"/>
  <c r="P44" i="2"/>
  <c r="Q285" i="2"/>
  <c r="Q1062" i="2"/>
  <c r="P989" i="2"/>
  <c r="P866" i="2"/>
  <c r="P638" i="2"/>
  <c r="P369" i="2"/>
  <c r="Q534" i="2"/>
  <c r="P200" i="2"/>
  <c r="P93" i="2"/>
  <c r="P699" i="2"/>
  <c r="P125" i="2"/>
  <c r="P1138" i="2"/>
  <c r="P1044" i="2"/>
  <c r="Q1017" i="2"/>
  <c r="P992" i="2"/>
  <c r="P513" i="2"/>
  <c r="P540" i="2"/>
  <c r="P457" i="2"/>
  <c r="P394" i="2"/>
  <c r="P174" i="2"/>
  <c r="P509" i="2"/>
  <c r="P436" i="2"/>
  <c r="P105" i="2"/>
  <c r="P339" i="2"/>
  <c r="P241" i="2"/>
  <c r="P612" i="2"/>
  <c r="P292" i="2"/>
  <c r="Q936" i="2"/>
  <c r="P487" i="2"/>
  <c r="P126" i="2"/>
  <c r="P589" i="2"/>
  <c r="Q416" i="2"/>
  <c r="Q622" i="2"/>
  <c r="P1133" i="2"/>
  <c r="P892" i="2"/>
  <c r="P686" i="2"/>
  <c r="P308" i="2"/>
  <c r="Q85" i="2"/>
  <c r="P351" i="2"/>
  <c r="P222" i="2"/>
  <c r="P431" i="2"/>
  <c r="P145" i="2"/>
  <c r="P852" i="2"/>
  <c r="P658" i="2"/>
  <c r="P1060" i="2"/>
  <c r="P1028" i="2"/>
  <c r="P195" i="2"/>
  <c r="Q164" i="2"/>
  <c r="P808" i="2"/>
  <c r="Q714" i="2"/>
  <c r="Q392" i="2"/>
  <c r="Q917" i="2"/>
  <c r="Q1105" i="2"/>
  <c r="Q877" i="2"/>
  <c r="Q893" i="2"/>
  <c r="P233" i="2"/>
  <c r="P1098" i="2"/>
  <c r="P546" i="2"/>
  <c r="P133" i="2"/>
  <c r="P261" i="2"/>
  <c r="P319" i="2"/>
  <c r="P492" i="2"/>
  <c r="P1096" i="2"/>
  <c r="P374" i="2"/>
  <c r="P893" i="2"/>
  <c r="P409" i="2"/>
  <c r="P230" i="2"/>
  <c r="Q283" i="2"/>
  <c r="P854" i="2"/>
  <c r="P831" i="2"/>
  <c r="P763" i="2"/>
  <c r="Q1063" i="2"/>
  <c r="P539" i="2"/>
  <c r="P995" i="2"/>
  <c r="P675" i="2"/>
  <c r="P347" i="2"/>
  <c r="P629" i="2"/>
  <c r="Q803" i="2"/>
  <c r="P786" i="2"/>
  <c r="P955" i="2"/>
  <c r="P1066" i="2"/>
  <c r="Q746" i="2"/>
  <c r="P530" i="2"/>
  <c r="Q382" i="2"/>
  <c r="P68" i="2"/>
  <c r="P620" i="2"/>
  <c r="P100" i="2"/>
  <c r="P1075" i="2"/>
  <c r="P1077" i="2"/>
  <c r="Q387" i="2"/>
  <c r="P154" i="2"/>
  <c r="P206" i="2"/>
  <c r="P938" i="2"/>
  <c r="P116" i="2"/>
  <c r="P794" i="2"/>
  <c r="Q1057" i="2"/>
  <c r="Q175" i="2"/>
  <c r="Q1029" i="2"/>
  <c r="P639" i="2"/>
  <c r="P134" i="2"/>
  <c r="Q807" i="2"/>
  <c r="P62" i="2"/>
  <c r="P194" i="2"/>
  <c r="P372" i="2"/>
  <c r="P826" i="2"/>
  <c r="Q307" i="2"/>
  <c r="P971" i="2"/>
  <c r="P877" i="2"/>
  <c r="P360" i="2"/>
  <c r="P275" i="2"/>
  <c r="Q6" i="2"/>
  <c r="P1079" i="2"/>
  <c r="P721" i="2"/>
  <c r="P544" i="2"/>
  <c r="Q24" i="2"/>
  <c r="P1041" i="2"/>
  <c r="P1002" i="2"/>
  <c r="P473" i="2"/>
  <c r="P376" i="2"/>
  <c r="P1053" i="2"/>
  <c r="P250" i="2"/>
  <c r="Q11" i="2"/>
  <c r="Q767" i="2"/>
  <c r="P705" i="2"/>
  <c r="P670" i="2"/>
  <c r="Q839" i="2"/>
  <c r="Q319" i="2"/>
  <c r="Q222" i="2"/>
  <c r="Q185" i="2"/>
  <c r="P913" i="2"/>
  <c r="Q505" i="2"/>
  <c r="P493" i="2"/>
  <c r="P615" i="2"/>
  <c r="Q520" i="2"/>
  <c r="P604" i="2"/>
  <c r="P303" i="2"/>
  <c r="P268" i="2"/>
  <c r="P523" i="2"/>
  <c r="P963" i="2"/>
  <c r="P366" i="2"/>
  <c r="P333" i="2"/>
  <c r="Q108" i="2"/>
  <c r="P520" i="2"/>
  <c r="P960" i="2"/>
  <c r="P419" i="2"/>
  <c r="P29" i="2"/>
  <c r="P768" i="2"/>
  <c r="P979" i="2"/>
  <c r="P787" i="2"/>
  <c r="P201" i="2"/>
  <c r="P1003" i="2"/>
  <c r="Q817" i="2"/>
  <c r="P389" i="2"/>
  <c r="P674" i="2"/>
  <c r="P972" i="2"/>
  <c r="Q563" i="2"/>
  <c r="P770" i="2"/>
  <c r="Q906" i="2"/>
  <c r="P293" i="2"/>
  <c r="P875" i="2"/>
  <c r="P83" i="2"/>
  <c r="P731" i="2"/>
  <c r="Q744" i="2"/>
  <c r="P280" i="2"/>
  <c r="P251" i="2"/>
  <c r="P575" i="2"/>
  <c r="P49" i="2"/>
  <c r="P341" i="2"/>
  <c r="P646" i="2"/>
  <c r="Q314" i="2"/>
  <c r="Q38" i="2"/>
  <c r="Q886" i="2"/>
  <c r="P263" i="2"/>
  <c r="P421" i="2"/>
  <c r="P1078" i="2"/>
  <c r="P1024" i="2"/>
  <c r="Q643" i="2"/>
  <c r="P900" i="2"/>
  <c r="P703" i="2"/>
  <c r="Q972" i="2"/>
  <c r="P939" i="2"/>
  <c r="P754" i="2"/>
  <c r="P543" i="2"/>
  <c r="P192" i="2"/>
  <c r="Q5" i="2"/>
  <c r="P175" i="2"/>
  <c r="Q836" i="2"/>
  <c r="P641" i="2"/>
  <c r="P894" i="2"/>
  <c r="Q631" i="2"/>
  <c r="P1069" i="2"/>
  <c r="P788" i="2"/>
  <c r="P353" i="2"/>
  <c r="P947" i="2"/>
  <c r="Q322" i="2"/>
  <c r="Q1036" i="2"/>
  <c r="P211" i="2"/>
  <c r="P237" i="2"/>
  <c r="P537" i="2"/>
  <c r="P491" i="2"/>
  <c r="P602" i="2"/>
  <c r="P601" i="2"/>
  <c r="P1005" i="2"/>
  <c r="Q259" i="2"/>
  <c r="Q678" i="2"/>
  <c r="P978" i="2"/>
  <c r="Q589" i="2"/>
  <c r="Q617" i="2"/>
  <c r="P1017" i="2"/>
  <c r="Q709" i="2"/>
  <c r="P668" i="2"/>
  <c r="P1080" i="2"/>
  <c r="Q550" i="2"/>
  <c r="P704" i="2"/>
  <c r="Q1028" i="2"/>
  <c r="P282" i="2"/>
  <c r="P288" i="2"/>
  <c r="P390" i="2"/>
  <c r="P235" i="2"/>
  <c r="P223" i="2"/>
  <c r="P22" i="2"/>
  <c r="P169" i="2"/>
  <c r="P924" i="2"/>
  <c r="P621" i="2"/>
  <c r="P361" i="2"/>
  <c r="P531" i="2"/>
  <c r="Q515" i="2"/>
  <c r="P208" i="2"/>
  <c r="P239" i="2"/>
  <c r="P140" i="2"/>
  <c r="P142" i="2"/>
  <c r="P290" i="2"/>
  <c r="P748" i="2"/>
  <c r="P364" i="2"/>
  <c r="P586" i="2"/>
  <c r="P1042" i="2"/>
  <c r="Q476" i="2"/>
  <c r="P338" i="2"/>
  <c r="P444" i="2"/>
  <c r="Q184" i="2"/>
  <c r="P1018" i="2"/>
  <c r="P512" i="2"/>
  <c r="Q407" i="2"/>
  <c r="P63" i="2"/>
  <c r="P1050" i="2"/>
  <c r="P316" i="2"/>
  <c r="P524" i="2"/>
  <c r="Q147" i="2"/>
  <c r="P420" i="2"/>
  <c r="P102" i="2"/>
  <c r="P687" i="2"/>
  <c r="P465" i="2"/>
  <c r="P97" i="2"/>
  <c r="P1074" i="2"/>
  <c r="Q1025" i="2"/>
  <c r="Q532" i="2"/>
  <c r="Q598" i="2"/>
  <c r="P25" i="2"/>
  <c r="P307" i="2"/>
  <c r="P456" i="2"/>
  <c r="P262" i="2"/>
  <c r="Q813" i="2"/>
  <c r="P958" i="2"/>
  <c r="P887" i="2"/>
  <c r="Q597" i="2"/>
  <c r="P580" i="2"/>
  <c r="P757" i="2"/>
  <c r="P778" i="2"/>
  <c r="P876" i="2"/>
  <c r="Q219" i="2"/>
  <c r="P462" i="2"/>
  <c r="P413" i="2"/>
  <c r="P138" i="2"/>
  <c r="P204" i="2"/>
  <c r="P518" i="2"/>
  <c r="P377" i="2"/>
  <c r="P296" i="2"/>
  <c r="P1093" i="2"/>
  <c r="P584" i="2"/>
  <c r="Q327" i="2"/>
  <c r="Q1126" i="2"/>
  <c r="P574" i="2"/>
  <c r="P348" i="2"/>
  <c r="P819" i="2"/>
  <c r="P747" i="2"/>
  <c r="P724" i="2"/>
  <c r="P789" i="2"/>
  <c r="P722" i="2"/>
  <c r="Q882" i="2"/>
  <c r="P742" i="2"/>
  <c r="Q190" i="2"/>
  <c r="Q828" i="2"/>
  <c r="Q154" i="2"/>
  <c r="P798" i="2"/>
  <c r="Q1085" i="2"/>
  <c r="P737" i="2"/>
  <c r="P825" i="2"/>
  <c r="P1016" i="2"/>
  <c r="P495" i="2"/>
  <c r="P221" i="2"/>
  <c r="P482" i="2"/>
  <c r="P525" i="2"/>
  <c r="P84" i="2"/>
  <c r="P108" i="2"/>
  <c r="P776" i="2"/>
  <c r="P430" i="2"/>
  <c r="P305" i="2"/>
  <c r="P1036" i="2"/>
  <c r="P780" i="2"/>
  <c r="P725" i="2"/>
  <c r="P932" i="2"/>
  <c r="Q19" i="2"/>
  <c r="P406" i="2"/>
  <c r="P439" i="2"/>
  <c r="P109" i="2"/>
  <c r="P86" i="2"/>
  <c r="P226" i="2"/>
  <c r="P901" i="2"/>
  <c r="P479" i="2"/>
  <c r="P411" i="2"/>
  <c r="Q738" i="2"/>
  <c r="P516" i="2"/>
  <c r="P828" i="2"/>
  <c r="P941" i="2"/>
  <c r="Q960" i="2"/>
  <c r="P738" i="2"/>
  <c r="Q163" i="2"/>
  <c r="Q867" i="2"/>
  <c r="P32" i="2"/>
  <c r="P698" i="2"/>
  <c r="P962" i="2"/>
  <c r="P1011" i="2"/>
  <c r="Q1096" i="2"/>
  <c r="P19" i="2"/>
  <c r="P415" i="2"/>
  <c r="P23" i="2"/>
  <c r="P930" i="2"/>
  <c r="P481" i="2"/>
  <c r="P730" i="2"/>
  <c r="Q763" i="2"/>
  <c r="Q869" i="2"/>
  <c r="P977" i="2"/>
  <c r="P269" i="2"/>
  <c r="P498" i="2"/>
  <c r="P144" i="2"/>
  <c r="P549" i="2"/>
  <c r="P388" i="2"/>
  <c r="P1071" i="2"/>
  <c r="P171" i="2"/>
  <c r="P6" i="2"/>
  <c r="P762" i="2"/>
  <c r="P463" i="2"/>
  <c r="P618" i="2"/>
  <c r="P1115" i="2"/>
  <c r="Q628" i="2"/>
  <c r="P468" i="2"/>
  <c r="P14" i="2"/>
  <c r="P909" i="2"/>
  <c r="P148" i="2"/>
  <c r="P449" i="2"/>
  <c r="P837" i="2"/>
  <c r="P54" i="2"/>
  <c r="P659" i="2"/>
  <c r="Q103" i="2"/>
  <c r="P74" i="2"/>
  <c r="P1110" i="2"/>
  <c r="Q653" i="2"/>
  <c r="P61" i="2"/>
  <c r="P860" i="2"/>
  <c r="P249" i="2"/>
  <c r="Q142" i="2"/>
  <c r="Q318" i="2"/>
  <c r="Q484" i="2"/>
  <c r="Q451" i="2"/>
  <c r="Q186" i="2"/>
  <c r="Q753" i="2"/>
  <c r="Q535" i="2"/>
  <c r="Q1122" i="2"/>
  <c r="Q446" i="2"/>
  <c r="P827" i="2"/>
  <c r="P1067" i="2"/>
  <c r="P898" i="2"/>
  <c r="P1082" i="2"/>
  <c r="P693" i="2"/>
  <c r="P908" i="2"/>
  <c r="Q787" i="2"/>
  <c r="Q399" i="2"/>
  <c r="P756" i="2"/>
  <c r="P996" i="2"/>
  <c r="P835" i="2"/>
  <c r="P1019" i="2"/>
  <c r="P401" i="2"/>
  <c r="Q420" i="2"/>
  <c r="Q386" i="2"/>
  <c r="P1043" i="2"/>
  <c r="P407" i="2"/>
  <c r="P656" i="2"/>
  <c r="Q251" i="2"/>
  <c r="Q37" i="2"/>
  <c r="P1099" i="2"/>
  <c r="P569" i="2"/>
  <c r="P708" i="2"/>
  <c r="P923" i="2"/>
  <c r="P917" i="2"/>
  <c r="P264" i="2"/>
  <c r="P135" i="2"/>
  <c r="P41" i="2"/>
  <c r="P190" i="2"/>
  <c r="P188" i="2"/>
  <c r="Q760" i="2"/>
  <c r="P118" i="2"/>
  <c r="P119" i="2"/>
  <c r="P1130" i="2"/>
  <c r="M445" i="2"/>
  <c r="M91" i="2"/>
  <c r="M796" i="2"/>
  <c r="M487" i="2"/>
  <c r="M506" i="2"/>
  <c r="M55" i="2"/>
  <c r="M131" i="2"/>
  <c r="M283" i="2"/>
  <c r="M298" i="2"/>
  <c r="M639" i="2"/>
  <c r="M346" i="2"/>
  <c r="M776" i="2"/>
  <c r="M688" i="2"/>
  <c r="M408" i="2"/>
  <c r="M159" i="2"/>
  <c r="M851" i="2"/>
  <c r="M354" i="2"/>
  <c r="M112" i="2"/>
  <c r="M160" i="2"/>
  <c r="M46" i="2"/>
  <c r="M643" i="2"/>
  <c r="M37" i="2"/>
  <c r="M294" i="2"/>
  <c r="M808" i="2"/>
  <c r="M164" i="2"/>
  <c r="M694" i="2"/>
  <c r="M665" i="2"/>
  <c r="M566" i="2"/>
  <c r="M649" i="2"/>
  <c r="M872" i="2"/>
  <c r="M172" i="2"/>
  <c r="M646" i="2"/>
  <c r="M662" i="2"/>
  <c r="M469" i="2"/>
  <c r="M207" i="2"/>
  <c r="M915" i="2"/>
  <c r="M318" i="2"/>
  <c r="M589" i="2"/>
  <c r="M19" i="2"/>
  <c r="M719" i="2"/>
  <c r="M906" i="2"/>
  <c r="M264" i="2"/>
  <c r="M224" i="2"/>
  <c r="M771" i="2"/>
  <c r="M295" i="2"/>
  <c r="M676" i="2"/>
  <c r="M724" i="2"/>
  <c r="M890" i="2"/>
  <c r="M44" i="2"/>
  <c r="M778" i="2"/>
  <c r="M748" i="2"/>
  <c r="M722" i="2"/>
  <c r="M870" i="2"/>
  <c r="M385" i="2"/>
  <c r="M104" i="2"/>
  <c r="M585" i="2"/>
  <c r="M108" i="2"/>
  <c r="M309" i="2"/>
  <c r="M437" i="2"/>
  <c r="M442" i="2"/>
  <c r="M2" i="2"/>
  <c r="M627" i="2"/>
  <c r="M634" i="2"/>
  <c r="M32" i="2"/>
  <c r="M153" i="2"/>
  <c r="M912" i="2"/>
  <c r="M486" i="2"/>
  <c r="M680" i="2"/>
  <c r="M173" i="2"/>
  <c r="M296" i="2"/>
  <c r="M233" i="2"/>
  <c r="M152" i="2"/>
  <c r="M472" i="2"/>
  <c r="M348" i="2"/>
  <c r="M302" i="2"/>
  <c r="M456" i="2"/>
  <c r="M701" i="2"/>
  <c r="M18" i="2"/>
  <c r="M71" i="2"/>
  <c r="M669" i="2"/>
  <c r="M898" i="2"/>
  <c r="M792" i="2"/>
  <c r="M758" i="2"/>
  <c r="M799" i="2"/>
  <c r="M6" i="2"/>
  <c r="M610" i="2"/>
  <c r="M65" i="2"/>
  <c r="M823" i="2"/>
  <c r="M558" i="2"/>
  <c r="M623" i="2"/>
  <c r="M599" i="2"/>
  <c r="M611" i="2"/>
  <c r="M3" i="2"/>
  <c r="M892" i="2"/>
  <c r="M755" i="2"/>
  <c r="M94" i="2"/>
  <c r="M237" i="2"/>
  <c r="M807" i="2"/>
  <c r="M917" i="2"/>
  <c r="M815" i="2"/>
  <c r="M801" i="2"/>
  <c r="M550" i="2"/>
  <c r="M507" i="2"/>
  <c r="M211" i="2"/>
  <c r="M60" i="2"/>
  <c r="M753" i="2"/>
  <c r="M860" i="2"/>
  <c r="M245" i="2"/>
  <c r="M366" i="2"/>
  <c r="M201" i="2"/>
  <c r="M306" i="2"/>
  <c r="M149" i="2"/>
  <c r="M122" i="2"/>
  <c r="M645" i="2"/>
  <c r="M831" i="2"/>
  <c r="M206" i="2"/>
  <c r="M156" i="2"/>
  <c r="Q508" i="2"/>
  <c r="Q44" i="2"/>
  <c r="Q50" i="2"/>
  <c r="Q858" i="2"/>
  <c r="Q873" i="2"/>
  <c r="Q120" i="2"/>
  <c r="Q899" i="2"/>
  <c r="Q1089" i="2"/>
  <c r="Q70" i="2"/>
  <c r="P529" i="2"/>
  <c r="P113" i="2"/>
  <c r="P552" i="2"/>
  <c r="P797" i="2"/>
  <c r="P691" i="2"/>
  <c r="P994" i="2"/>
  <c r="Q395" i="2"/>
  <c r="Q432" i="2"/>
  <c r="P645" i="2"/>
  <c r="P954" i="2"/>
  <c r="P521" i="2"/>
  <c r="P273" i="2"/>
  <c r="P611" i="2"/>
  <c r="Q454" i="2"/>
  <c r="Q1100" i="2"/>
  <c r="P664" i="2"/>
  <c r="P655" i="2"/>
  <c r="P497" i="2"/>
  <c r="Q397" i="2"/>
  <c r="Q818" i="2"/>
  <c r="P741" i="2"/>
  <c r="P884" i="2"/>
  <c r="P870" i="2"/>
  <c r="P811" i="2"/>
  <c r="P883" i="2"/>
  <c r="P830" i="2"/>
  <c r="P511" i="2"/>
  <c r="P197" i="2"/>
  <c r="P522" i="2"/>
  <c r="P496" i="2"/>
  <c r="Q450" i="2"/>
  <c r="P450" i="2"/>
  <c r="Q313" i="2"/>
  <c r="R2" i="2" l="1"/>
  <c r="K4" i="5" s="1"/>
  <c r="B10" i="5"/>
  <c r="B12" i="5"/>
  <c r="B14" i="5"/>
  <c r="Q453" i="2"/>
  <c r="Q224" i="2"/>
  <c r="Q39" i="2"/>
  <c r="Q23" i="2"/>
  <c r="Q546" i="2"/>
  <c r="Q21" i="2"/>
  <c r="Q835" i="2"/>
  <c r="Q810" i="2"/>
  <c r="Q304" i="2"/>
  <c r="Q1115" i="2"/>
  <c r="U2" i="2"/>
  <c r="V260" i="2" s="1"/>
  <c r="Q438" i="2"/>
  <c r="Q962" i="2"/>
  <c r="O4" i="5"/>
  <c r="V610" i="2"/>
  <c r="V59" i="2"/>
  <c r="V488" i="2"/>
  <c r="E9" i="5"/>
  <c r="S658" i="2"/>
  <c r="T658" i="2" s="1"/>
  <c r="S236" i="2"/>
  <c r="T236" i="2" s="1"/>
  <c r="S219" i="2"/>
  <c r="T219" i="2" s="1"/>
  <c r="S934" i="2"/>
  <c r="T934" i="2" s="1"/>
  <c r="S535" i="2"/>
  <c r="T535" i="2" s="1"/>
  <c r="S33" i="2"/>
  <c r="T33" i="2" s="1"/>
  <c r="S206" i="2"/>
  <c r="T206" i="2" s="1"/>
  <c r="S133" i="2"/>
  <c r="T133" i="2" s="1"/>
  <c r="S402" i="2"/>
  <c r="T402" i="2" s="1"/>
  <c r="S364" i="2"/>
  <c r="T364" i="2" s="1"/>
  <c r="S972" i="2"/>
  <c r="T972" i="2" s="1"/>
  <c r="S634" i="2"/>
  <c r="T634" i="2" s="1"/>
  <c r="S30" i="2"/>
  <c r="T30" i="2" s="1"/>
  <c r="S711" i="2"/>
  <c r="T711" i="2" s="1"/>
  <c r="S213" i="2"/>
  <c r="T213" i="2" s="1"/>
  <c r="S283" i="2"/>
  <c r="T283" i="2" s="1"/>
  <c r="S953" i="2"/>
  <c r="T953" i="2" s="1"/>
  <c r="S745" i="2"/>
  <c r="T745" i="2" s="1"/>
  <c r="S442" i="2"/>
  <c r="T442" i="2" s="1"/>
  <c r="S556" i="2"/>
  <c r="T556" i="2" s="1"/>
  <c r="S489" i="2"/>
  <c r="T489" i="2" s="1"/>
  <c r="S501" i="2"/>
  <c r="T501" i="2" s="1"/>
  <c r="S144" i="2"/>
  <c r="T144" i="2" s="1"/>
  <c r="S995" i="2"/>
  <c r="T995" i="2" s="1"/>
  <c r="S1012" i="2"/>
  <c r="T1012" i="2" s="1"/>
  <c r="S693" i="2"/>
  <c r="T693" i="2" s="1"/>
  <c r="S876" i="2"/>
  <c r="T876" i="2" s="1"/>
  <c r="S945" i="2"/>
  <c r="T945" i="2" s="1"/>
  <c r="S1010" i="2"/>
  <c r="T1010" i="2" s="1"/>
  <c r="S540" i="2"/>
  <c r="T540" i="2" s="1"/>
  <c r="S415" i="2"/>
  <c r="T415" i="2" s="1"/>
  <c r="S865" i="2"/>
  <c r="T865" i="2" s="1"/>
  <c r="S906" i="2"/>
  <c r="T906" i="2" s="1"/>
  <c r="S209" i="2"/>
  <c r="T209" i="2" s="1"/>
  <c r="S247" i="2"/>
  <c r="T247" i="2" s="1"/>
  <c r="S56" i="2"/>
  <c r="T56" i="2" s="1"/>
  <c r="S502" i="2"/>
  <c r="T502" i="2" s="1"/>
  <c r="S643" i="2"/>
  <c r="T643" i="2" s="1"/>
  <c r="S976" i="2"/>
  <c r="T976" i="2" s="1"/>
  <c r="S608" i="2"/>
  <c r="T608" i="2" s="1"/>
  <c r="S554" i="2"/>
  <c r="T554" i="2" s="1"/>
  <c r="S949" i="2"/>
  <c r="T949" i="2" s="1"/>
  <c r="S481" i="2"/>
  <c r="T481" i="2" s="1"/>
  <c r="S253" i="2"/>
  <c r="T253" i="2" s="1"/>
  <c r="S894" i="2"/>
  <c r="T894" i="2" s="1"/>
  <c r="S120" i="2"/>
  <c r="T120" i="2" s="1"/>
  <c r="S446" i="2"/>
  <c r="T446" i="2" s="1"/>
  <c r="S699" i="2"/>
  <c r="T699" i="2" s="1"/>
  <c r="S115" i="2"/>
  <c r="T115" i="2" s="1"/>
  <c r="S152" i="2"/>
  <c r="T152" i="2" s="1"/>
  <c r="S484" i="2"/>
  <c r="T484" i="2" s="1"/>
  <c r="S701" i="2"/>
  <c r="T701" i="2" s="1"/>
  <c r="S915" i="2"/>
  <c r="T915" i="2" s="1"/>
  <c r="S404" i="2"/>
  <c r="T404" i="2" s="1"/>
  <c r="S155" i="2"/>
  <c r="T155" i="2" s="1"/>
  <c r="S667" i="2"/>
  <c r="T667" i="2" s="1"/>
  <c r="S139" i="2"/>
  <c r="T139" i="2" s="1"/>
  <c r="S478" i="2"/>
  <c r="T478" i="2" s="1"/>
  <c r="S18" i="2"/>
  <c r="T18" i="2" s="1"/>
  <c r="S1027" i="2"/>
  <c r="T1027" i="2" s="1"/>
  <c r="S217" i="2"/>
  <c r="T217" i="2" s="1"/>
  <c r="S612" i="2"/>
  <c r="T612" i="2" s="1"/>
  <c r="S1082" i="2"/>
  <c r="T1082" i="2" s="1"/>
  <c r="S878" i="2"/>
  <c r="T878" i="2" s="1"/>
  <c r="S104" i="2"/>
  <c r="T104" i="2" s="1"/>
  <c r="S530" i="2"/>
  <c r="T530" i="2" s="1"/>
  <c r="S684" i="2"/>
  <c r="T684" i="2" s="1"/>
  <c r="S836" i="2"/>
  <c r="T836" i="2" s="1"/>
  <c r="S172" i="2"/>
  <c r="T172" i="2" s="1"/>
  <c r="S1098" i="2"/>
  <c r="T1098" i="2" s="1"/>
  <c r="S215" i="2"/>
  <c r="T215" i="2" s="1"/>
  <c r="S647" i="2"/>
  <c r="T647" i="2" s="1"/>
  <c r="S82" i="2"/>
  <c r="T82" i="2" s="1"/>
  <c r="S505" i="2"/>
  <c r="T505" i="2" s="1"/>
  <c r="S111" i="2"/>
  <c r="T111" i="2" s="1"/>
  <c r="S281" i="2"/>
  <c r="T281" i="2" s="1"/>
  <c r="S308" i="2"/>
  <c r="T308" i="2" s="1"/>
  <c r="S335" i="2"/>
  <c r="T335" i="2" s="1"/>
  <c r="S567" i="2"/>
  <c r="T567" i="2" s="1"/>
  <c r="S511" i="2"/>
  <c r="T511" i="2" s="1"/>
  <c r="S834" i="2"/>
  <c r="T834" i="2" s="1"/>
  <c r="S523" i="2"/>
  <c r="T523" i="2" s="1"/>
  <c r="S1011" i="2"/>
  <c r="T1011" i="2" s="1"/>
  <c r="S62" i="2"/>
  <c r="T62" i="2" s="1"/>
  <c r="S725" i="2"/>
  <c r="T725" i="2" s="1"/>
  <c r="S639" i="2"/>
  <c r="T639" i="2" s="1"/>
  <c r="S73" i="2"/>
  <c r="T73" i="2" s="1"/>
  <c r="S766" i="2"/>
  <c r="T766" i="2" s="1"/>
  <c r="S517" i="2"/>
  <c r="T517" i="2" s="1"/>
  <c r="S235" i="2"/>
  <c r="T235" i="2" s="1"/>
  <c r="S252" i="2"/>
  <c r="T252" i="2" s="1"/>
  <c r="S1120" i="2"/>
  <c r="T1120" i="2" s="1"/>
  <c r="S1072" i="2"/>
  <c r="T1072" i="2" s="1"/>
  <c r="S454" i="2"/>
  <c r="T454" i="2" s="1"/>
  <c r="S789" i="2"/>
  <c r="T789" i="2" s="1"/>
  <c r="S249" i="2"/>
  <c r="T249" i="2" s="1"/>
  <c r="S838" i="2"/>
  <c r="T838" i="2" s="1"/>
  <c r="S375" i="2"/>
  <c r="T375" i="2" s="1"/>
  <c r="S905" i="2"/>
  <c r="T905" i="2" s="1"/>
  <c r="S627" i="2"/>
  <c r="T627" i="2" s="1"/>
  <c r="S737" i="2"/>
  <c r="T737" i="2" s="1"/>
  <c r="S803" i="2"/>
  <c r="T803" i="2" s="1"/>
  <c r="S623" i="2"/>
  <c r="T623" i="2" s="1"/>
  <c r="S611" i="2"/>
  <c r="T611" i="2" s="1"/>
  <c r="S909" i="2"/>
  <c r="T909" i="2" s="1"/>
  <c r="S665" i="2"/>
  <c r="T665" i="2" s="1"/>
  <c r="S91" i="2"/>
  <c r="T91" i="2" s="1"/>
  <c r="S595" i="2"/>
  <c r="T595" i="2" s="1"/>
  <c r="S901" i="2"/>
  <c r="T901" i="2" s="1"/>
  <c r="S1139" i="2"/>
  <c r="T1139" i="2" s="1"/>
  <c r="S703" i="2"/>
  <c r="T703" i="2" s="1"/>
  <c r="S493" i="2"/>
  <c r="T493" i="2" s="1"/>
  <c r="S52" i="2"/>
  <c r="T52" i="2" s="1"/>
  <c r="S418" i="2"/>
  <c r="T418" i="2" s="1"/>
  <c r="S184" i="2"/>
  <c r="T184" i="2" s="1"/>
  <c r="S575" i="2"/>
  <c r="T575" i="2" s="1"/>
  <c r="S471" i="2"/>
  <c r="T471" i="2" s="1"/>
  <c r="S573" i="2"/>
  <c r="T573" i="2" s="1"/>
  <c r="S816" i="2"/>
  <c r="T816" i="2" s="1"/>
  <c r="S294" i="2"/>
  <c r="T294" i="2" s="1"/>
  <c r="S1083" i="2"/>
  <c r="T1083" i="2" s="1"/>
  <c r="S224" i="2"/>
  <c r="T224" i="2" s="1"/>
  <c r="S299" i="2"/>
  <c r="T299" i="2" s="1"/>
  <c r="S593" i="2"/>
  <c r="T593" i="2" s="1"/>
  <c r="S440" i="2"/>
  <c r="T440" i="2" s="1"/>
  <c r="S1091" i="2"/>
  <c r="T1091" i="2" s="1"/>
  <c r="S734" i="2"/>
  <c r="T734" i="2" s="1"/>
  <c r="S64" i="2"/>
  <c r="T64" i="2" s="1"/>
  <c r="S42" i="2"/>
  <c r="T42" i="2" s="1"/>
  <c r="S908" i="2"/>
  <c r="T908" i="2" s="1"/>
  <c r="S180" i="2"/>
  <c r="T180" i="2" s="1"/>
  <c r="S29" i="2"/>
  <c r="T29" i="2" s="1"/>
  <c r="S1056" i="2"/>
  <c r="T1056" i="2" s="1"/>
  <c r="S406" i="2"/>
  <c r="T406" i="2" s="1"/>
  <c r="S886" i="2"/>
  <c r="T886" i="2" s="1"/>
  <c r="S1052" i="2"/>
  <c r="T1052" i="2" s="1"/>
  <c r="S1043" i="2"/>
  <c r="T1043" i="2" s="1"/>
  <c r="S372" i="2"/>
  <c r="T372" i="2" s="1"/>
  <c r="S824" i="2"/>
  <c r="T824" i="2" s="1"/>
  <c r="S646" i="2"/>
  <c r="T646" i="2" s="1"/>
  <c r="S531" i="2"/>
  <c r="T531" i="2" s="1"/>
  <c r="S261" i="2"/>
  <c r="T261" i="2" s="1"/>
  <c r="S744" i="2"/>
  <c r="T744" i="2" s="1"/>
  <c r="S543" i="2"/>
  <c r="T543" i="2" s="1"/>
  <c r="S181" i="2"/>
  <c r="T181" i="2" s="1"/>
  <c r="S452" i="2"/>
  <c r="T452" i="2" s="1"/>
  <c r="S276" i="2"/>
  <c r="T276" i="2" s="1"/>
  <c r="S70" i="2"/>
  <c r="T70" i="2" s="1"/>
  <c r="S405" i="2"/>
  <c r="T405" i="2" s="1"/>
  <c r="S467" i="2"/>
  <c r="T467" i="2" s="1"/>
  <c r="S844" i="2"/>
  <c r="T844" i="2" s="1"/>
  <c r="S324" i="2"/>
  <c r="T324" i="2" s="1"/>
  <c r="S642" i="2"/>
  <c r="T642" i="2" s="1"/>
  <c r="S458" i="2"/>
  <c r="T458" i="2" s="1"/>
  <c r="S985" i="2"/>
  <c r="T985" i="2" s="1"/>
  <c r="S895" i="2"/>
  <c r="T895" i="2" s="1"/>
  <c r="S1078" i="2"/>
  <c r="T1078" i="2" s="1"/>
  <c r="S1073" i="2"/>
  <c r="T1073" i="2" s="1"/>
  <c r="S77" i="2"/>
  <c r="T77" i="2" s="1"/>
  <c r="S691" i="2"/>
  <c r="T691" i="2" s="1"/>
  <c r="S776" i="2"/>
  <c r="T776" i="2" s="1"/>
  <c r="S715" i="2"/>
  <c r="T715" i="2" s="1"/>
  <c r="S1070" i="2"/>
  <c r="T1070" i="2" s="1"/>
  <c r="S592" i="2"/>
  <c r="T592" i="2" s="1"/>
  <c r="S671" i="2"/>
  <c r="T671" i="2" s="1"/>
  <c r="S618" i="2"/>
  <c r="T618" i="2" s="1"/>
  <c r="S759" i="2"/>
  <c r="T759" i="2" s="1"/>
  <c r="S668" i="2"/>
  <c r="T668" i="2" s="1"/>
  <c r="S315" i="2"/>
  <c r="T315" i="2" s="1"/>
  <c r="S1029" i="2"/>
  <c r="T1029" i="2" s="1"/>
  <c r="S46" i="2"/>
  <c r="T46" i="2" s="1"/>
  <c r="S971" i="2"/>
  <c r="T971" i="2" s="1"/>
  <c r="S657" i="2"/>
  <c r="T657" i="2" s="1"/>
  <c r="S682" i="2"/>
  <c r="T682" i="2" s="1"/>
  <c r="S379" i="2"/>
  <c r="T379" i="2" s="1"/>
  <c r="S490" i="2"/>
  <c r="T490" i="2" s="1"/>
  <c r="S65" i="2"/>
  <c r="T65" i="2" s="1"/>
  <c r="S1086" i="2"/>
  <c r="T1086" i="2" s="1"/>
  <c r="S218" i="2"/>
  <c r="T218" i="2" s="1"/>
  <c r="S900" i="2"/>
  <c r="T900" i="2" s="1"/>
  <c r="S806" i="2"/>
  <c r="T806" i="2" s="1"/>
  <c r="S211" i="2"/>
  <c r="T211" i="2" s="1"/>
  <c r="S613" i="2"/>
  <c r="T613" i="2" s="1"/>
  <c r="S498" i="2"/>
  <c r="T498" i="2" s="1"/>
  <c r="S621" i="2"/>
  <c r="T621" i="2" s="1"/>
  <c r="S597" i="2"/>
  <c r="T597" i="2" s="1"/>
  <c r="S282" i="2"/>
  <c r="T282" i="2" s="1"/>
  <c r="S410" i="2"/>
  <c r="T410" i="2" s="1"/>
  <c r="S412" i="2"/>
  <c r="T412" i="2" s="1"/>
  <c r="S50" i="2"/>
  <c r="T50" i="2" s="1"/>
  <c r="S716" i="2"/>
  <c r="T716" i="2" s="1"/>
  <c r="S571" i="2"/>
  <c r="T571" i="2" s="1"/>
  <c r="S327" i="2"/>
  <c r="T327" i="2" s="1"/>
  <c r="S371" i="2"/>
  <c r="T371" i="2" s="1"/>
  <c r="S856" i="2"/>
  <c r="T856" i="2" s="1"/>
  <c r="S376" i="2"/>
  <c r="T376" i="2" s="1"/>
  <c r="S377" i="2"/>
  <c r="T377" i="2" s="1"/>
  <c r="S984" i="2"/>
  <c r="T984" i="2" s="1"/>
  <c r="S462" i="2"/>
  <c r="T462" i="2" s="1"/>
  <c r="S584" i="2"/>
  <c r="T584" i="2" s="1"/>
  <c r="S486" i="2"/>
  <c r="T486" i="2" s="1"/>
  <c r="S791" i="2"/>
  <c r="T791" i="2" s="1"/>
  <c r="S930" i="2"/>
  <c r="T930" i="2" s="1"/>
  <c r="S340" i="2"/>
  <c r="T340" i="2" s="1"/>
  <c r="S1109" i="2"/>
  <c r="T1109" i="2" s="1"/>
  <c r="S430" i="2"/>
  <c r="T430" i="2" s="1"/>
  <c r="S285" i="2"/>
  <c r="T285" i="2" s="1"/>
  <c r="S524" i="2"/>
  <c r="T524" i="2" s="1"/>
  <c r="S728" i="2"/>
  <c r="T728" i="2" s="1"/>
  <c r="S130" i="2"/>
  <c r="T130" i="2" s="1"/>
  <c r="S160" i="2"/>
  <c r="T160" i="2" s="1"/>
  <c r="S687" i="2"/>
  <c r="T687" i="2" s="1"/>
  <c r="S60" i="2"/>
  <c r="T60" i="2" s="1"/>
  <c r="S1133" i="2"/>
  <c r="T1133" i="2" s="1"/>
  <c r="S733" i="2"/>
  <c r="T733" i="2" s="1"/>
  <c r="S268" i="2"/>
  <c r="T268" i="2" s="1"/>
  <c r="S239" i="2"/>
  <c r="T239" i="2" s="1"/>
  <c r="S635" i="2"/>
  <c r="T635" i="2" s="1"/>
  <c r="S1126" i="2"/>
  <c r="T1126" i="2" s="1"/>
  <c r="S883" i="2"/>
  <c r="T883" i="2" s="1"/>
  <c r="S910" i="2"/>
  <c r="T910" i="2" s="1"/>
  <c r="S80" i="2"/>
  <c r="T80" i="2" s="1"/>
  <c r="S798" i="2"/>
  <c r="T798" i="2" s="1"/>
  <c r="S17" i="2"/>
  <c r="T17" i="2" s="1"/>
  <c r="S858" i="2"/>
  <c r="T858" i="2" s="1"/>
  <c r="S638" i="2"/>
  <c r="T638" i="2" s="1"/>
  <c r="S455" i="2"/>
  <c r="T455" i="2" s="1"/>
  <c r="S141" i="2"/>
  <c r="T141" i="2" s="1"/>
  <c r="S126" i="2"/>
  <c r="T126" i="2" s="1"/>
  <c r="S792" i="2"/>
  <c r="T792" i="2" s="1"/>
  <c r="S150" i="2"/>
  <c r="T150" i="2" s="1"/>
  <c r="S569" i="2"/>
  <c r="T569" i="2" s="1"/>
  <c r="S330" i="2"/>
  <c r="T330" i="2" s="1"/>
  <c r="S922" i="2"/>
  <c r="T922" i="2" s="1"/>
  <c r="S9" i="2"/>
  <c r="T9" i="2" s="1"/>
  <c r="S414" i="2"/>
  <c r="T414" i="2" s="1"/>
  <c r="S799" i="2"/>
  <c r="T799" i="2" s="1"/>
  <c r="S459" i="2"/>
  <c r="T459" i="2" s="1"/>
  <c r="S852" i="2"/>
  <c r="T852" i="2" s="1"/>
  <c r="S977" i="2"/>
  <c r="T977" i="2" s="1"/>
  <c r="S1014" i="2"/>
  <c r="T1014" i="2" s="1"/>
  <c r="S201" i="2"/>
  <c r="T201" i="2" s="1"/>
  <c r="S79" i="2"/>
  <c r="T79" i="2" s="1"/>
  <c r="S96" i="2"/>
  <c r="T96" i="2" s="1"/>
  <c r="S648" i="2"/>
  <c r="T648" i="2" s="1"/>
  <c r="S653" i="2"/>
  <c r="T653" i="2" s="1"/>
  <c r="S210" i="2"/>
  <c r="T210" i="2" s="1"/>
  <c r="S365" i="2"/>
  <c r="T365" i="2" s="1"/>
  <c r="S182" i="2"/>
  <c r="T182" i="2" s="1"/>
  <c r="S582" i="2"/>
  <c r="T582" i="2" s="1"/>
  <c r="S603" i="2"/>
  <c r="T603" i="2" s="1"/>
  <c r="S472" i="2"/>
  <c r="T472" i="2" s="1"/>
  <c r="S672" i="2"/>
  <c r="T672" i="2" s="1"/>
  <c r="S1000" i="2"/>
  <c r="T1000" i="2" s="1"/>
  <c r="S380" i="2"/>
  <c r="T380" i="2" s="1"/>
  <c r="S813" i="2"/>
  <c r="T813" i="2" s="1"/>
  <c r="S1128" i="2"/>
  <c r="T1128" i="2" s="1"/>
  <c r="S669" i="2"/>
  <c r="T669" i="2" s="1"/>
  <c r="S361" i="2"/>
  <c r="T361" i="2" s="1"/>
  <c r="S419" i="2"/>
  <c r="T419" i="2" s="1"/>
  <c r="S1066" i="2"/>
  <c r="T1066" i="2" s="1"/>
  <c r="S532" i="2"/>
  <c r="T532" i="2" s="1"/>
  <c r="S845" i="2"/>
  <c r="T845" i="2" s="1"/>
  <c r="S319" i="2"/>
  <c r="T319" i="2" s="1"/>
  <c r="S676" i="2"/>
  <c r="T676" i="2" s="1"/>
  <c r="S992" i="2"/>
  <c r="T992" i="2" s="1"/>
  <c r="S6" i="2"/>
  <c r="T6" i="2" s="1"/>
  <c r="S368" i="2"/>
  <c r="T368" i="2" s="1"/>
  <c r="S240" i="2"/>
  <c r="T240" i="2" s="1"/>
  <c r="S622" i="2"/>
  <c r="T622" i="2" s="1"/>
  <c r="S681" i="2"/>
  <c r="T681" i="2" s="1"/>
  <c r="S264" i="2"/>
  <c r="T264" i="2" s="1"/>
  <c r="S948" i="2"/>
  <c r="T948" i="2" s="1"/>
  <c r="S1116" i="2"/>
  <c r="T1116" i="2" s="1"/>
  <c r="S1042" i="2"/>
  <c r="T1042" i="2" s="1"/>
  <c r="S234" i="2"/>
  <c r="T234" i="2" s="1"/>
  <c r="S59" i="2"/>
  <c r="T59" i="2" s="1"/>
  <c r="S349" i="2"/>
  <c r="T349" i="2" s="1"/>
  <c r="S356" i="2"/>
  <c r="T356" i="2" s="1"/>
  <c r="S840" i="2"/>
  <c r="T840" i="2" s="1"/>
  <c r="S800" i="2"/>
  <c r="T800" i="2" s="1"/>
  <c r="S1093" i="2"/>
  <c r="T1093" i="2" s="1"/>
  <c r="S707" i="2"/>
  <c r="T707" i="2" s="1"/>
  <c r="S870" i="2"/>
  <c r="T870" i="2" s="1"/>
  <c r="S169" i="2"/>
  <c r="T169" i="2" s="1"/>
  <c r="S969" i="2"/>
  <c r="T969" i="2" s="1"/>
  <c r="S1071" i="2"/>
  <c r="T1071" i="2" s="1"/>
  <c r="S767" i="2"/>
  <c r="T767" i="2" s="1"/>
  <c r="S714" i="2"/>
  <c r="T714" i="2" s="1"/>
  <c r="S795" i="2"/>
  <c r="T795" i="2" s="1"/>
  <c r="S512" i="2"/>
  <c r="T512" i="2" s="1"/>
  <c r="S823" i="2"/>
  <c r="T823" i="2" s="1"/>
  <c r="S614" i="2"/>
  <c r="T614" i="2" s="1"/>
  <c r="S84" i="2"/>
  <c r="T84" i="2" s="1"/>
  <c r="S151" i="2"/>
  <c r="T151" i="2" s="1"/>
  <c r="S944" i="2"/>
  <c r="T944" i="2" s="1"/>
  <c r="S112" i="2"/>
  <c r="T112" i="2" s="1"/>
  <c r="S265" i="2"/>
  <c r="T265" i="2" s="1"/>
  <c r="S859" i="2"/>
  <c r="T859" i="2" s="1"/>
  <c r="S71" i="2"/>
  <c r="T71" i="2" s="1"/>
  <c r="S72" i="2"/>
  <c r="T72" i="2" s="1"/>
  <c r="S101" i="2"/>
  <c r="T101" i="2" s="1"/>
  <c r="S727" i="2"/>
  <c r="T727" i="2" s="1"/>
  <c r="S939" i="2"/>
  <c r="T939" i="2" s="1"/>
  <c r="S527" i="2"/>
  <c r="T527" i="2" s="1"/>
  <c r="S271" i="2"/>
  <c r="T271" i="2" s="1"/>
  <c r="S952" i="2"/>
  <c r="T952" i="2" s="1"/>
  <c r="S1090" i="2"/>
  <c r="T1090" i="2" s="1"/>
  <c r="S1085" i="2"/>
  <c r="T1085" i="2" s="1"/>
  <c r="S918" i="2"/>
  <c r="T918" i="2" s="1"/>
  <c r="S747" i="2"/>
  <c r="T747" i="2" s="1"/>
  <c r="S677" i="2"/>
  <c r="T677" i="2" s="1"/>
  <c r="S118" i="2"/>
  <c r="T118" i="2" s="1"/>
  <c r="S898" i="2"/>
  <c r="T898" i="2" s="1"/>
  <c r="S936" i="2"/>
  <c r="T936" i="2" s="1"/>
  <c r="S587" i="2"/>
  <c r="T587" i="2" s="1"/>
  <c r="S999" i="2"/>
  <c r="T999" i="2" s="1"/>
  <c r="S555" i="2"/>
  <c r="T555" i="2" s="1"/>
  <c r="S938" i="2"/>
  <c r="T938" i="2" s="1"/>
  <c r="S604" i="2"/>
  <c r="T604" i="2" s="1"/>
  <c r="S986" i="2"/>
  <c r="T986" i="2" s="1"/>
  <c r="S384" i="2"/>
  <c r="T384" i="2" s="1"/>
  <c r="S38" i="2"/>
  <c r="T38" i="2" s="1"/>
  <c r="S788" i="2"/>
  <c r="T788" i="2" s="1"/>
  <c r="S819" i="2"/>
  <c r="T819" i="2" s="1"/>
  <c r="S156" i="2"/>
  <c r="T156" i="2" s="1"/>
  <c r="S226" i="2"/>
  <c r="T226" i="2" s="1"/>
  <c r="S270" i="2"/>
  <c r="T270" i="2" s="1"/>
  <c r="S537" i="2"/>
  <c r="T537" i="2" s="1"/>
  <c r="S729" i="2"/>
  <c r="T729" i="2" s="1"/>
  <c r="S1022" i="2"/>
  <c r="T1022" i="2" s="1"/>
  <c r="S203" i="2"/>
  <c r="T203" i="2" s="1"/>
  <c r="S75" i="2"/>
  <c r="T75" i="2" s="1"/>
  <c r="S808" i="2"/>
  <c r="T808" i="2" s="1"/>
  <c r="S314" i="2"/>
  <c r="T314" i="2" s="1"/>
  <c r="S998" i="2"/>
  <c r="T998" i="2" s="1"/>
  <c r="S1025" i="2"/>
  <c r="T1025" i="2" s="1"/>
  <c r="S820" i="2"/>
  <c r="T820" i="2" s="1"/>
  <c r="S260" i="2"/>
  <c r="T260" i="2" s="1"/>
  <c r="S262" i="2"/>
  <c r="T262" i="2" s="1"/>
  <c r="S1005" i="2"/>
  <c r="T1005" i="2" s="1"/>
  <c r="S475" i="2"/>
  <c r="T475" i="2" s="1"/>
  <c r="S1062" i="2"/>
  <c r="T1062" i="2" s="1"/>
  <c r="S363" i="2"/>
  <c r="T363" i="2" s="1"/>
  <c r="S541" i="2"/>
  <c r="T541" i="2" s="1"/>
  <c r="S828" i="2"/>
  <c r="T828" i="2" s="1"/>
  <c r="S350" i="2"/>
  <c r="T350" i="2" s="1"/>
  <c r="S43" i="2"/>
  <c r="T43" i="2" s="1"/>
  <c r="S943" i="2"/>
  <c r="T943" i="2" s="1"/>
  <c r="S559" i="2"/>
  <c r="T559" i="2" s="1"/>
  <c r="S63" i="2"/>
  <c r="T63" i="2" s="1"/>
  <c r="S280" i="2"/>
  <c r="T280" i="2" s="1"/>
  <c r="S526" i="2"/>
  <c r="T526" i="2" s="1"/>
  <c r="S495" i="2"/>
  <c r="T495" i="2" s="1"/>
  <c r="S302" i="2"/>
  <c r="T302" i="2" s="1"/>
  <c r="S382" i="2"/>
  <c r="T382" i="2" s="1"/>
  <c r="S762" i="2"/>
  <c r="T762" i="2" s="1"/>
  <c r="S183" i="2"/>
  <c r="T183" i="2" s="1"/>
  <c r="S724" i="2"/>
  <c r="T724" i="2" s="1"/>
  <c r="S394" i="2"/>
  <c r="T394" i="2" s="1"/>
  <c r="S506" i="2"/>
  <c r="T506" i="2" s="1"/>
  <c r="S1058" i="2"/>
  <c r="T1058" i="2" s="1"/>
  <c r="S163" i="2"/>
  <c r="T163" i="2" s="1"/>
  <c r="S1031" i="2"/>
  <c r="T1031" i="2" s="1"/>
  <c r="S306" i="2"/>
  <c r="T306" i="2" s="1"/>
  <c r="S1047" i="2"/>
  <c r="T1047" i="2" s="1"/>
  <c r="S140" i="2"/>
  <c r="T140" i="2" s="1"/>
  <c r="S787" i="2"/>
  <c r="T787" i="2" s="1"/>
  <c r="S570" i="2"/>
  <c r="T570" i="2" s="1"/>
  <c r="S586" i="2"/>
  <c r="T586" i="2" s="1"/>
  <c r="S351" i="2"/>
  <c r="T351" i="2" s="1"/>
  <c r="S5" i="2"/>
  <c r="T5" i="2" s="1"/>
  <c r="S1007" i="2"/>
  <c r="T1007" i="2" s="1"/>
  <c r="S11" i="2"/>
  <c r="T11" i="2" s="1"/>
  <c r="S346" i="2"/>
  <c r="T346" i="2" s="1"/>
  <c r="S607" i="2"/>
  <c r="T607" i="2" s="1"/>
  <c r="S872" i="2"/>
  <c r="T872" i="2" s="1"/>
  <c r="S177" i="2"/>
  <c r="T177" i="2" s="1"/>
  <c r="S4" i="2"/>
  <c r="T4" i="2" s="1"/>
  <c r="S245" i="2"/>
  <c r="T245" i="2" s="1"/>
  <c r="S334" i="2"/>
  <c r="T334" i="2" s="1"/>
  <c r="S200" i="2"/>
  <c r="T200" i="2" s="1"/>
  <c r="S1050" i="2"/>
  <c r="T1050" i="2" s="1"/>
  <c r="S336" i="2"/>
  <c r="T336" i="2" s="1"/>
  <c r="S829" i="2"/>
  <c r="T829" i="2" s="1"/>
  <c r="S605" i="2"/>
  <c r="T605" i="2" s="1"/>
  <c r="S233" i="2"/>
  <c r="T233" i="2" s="1"/>
  <c r="S411" i="2"/>
  <c r="T411" i="2" s="1"/>
  <c r="S697" i="2"/>
  <c r="T697" i="2" s="1"/>
  <c r="S710" i="2"/>
  <c r="T710" i="2" s="1"/>
  <c r="S153" i="2"/>
  <c r="T153" i="2" s="1"/>
  <c r="S292" i="2"/>
  <c r="T292" i="2" s="1"/>
  <c r="S174" i="2"/>
  <c r="T174" i="2" s="1"/>
  <c r="S854" i="2"/>
  <c r="T854" i="2" s="1"/>
  <c r="S719" i="2"/>
  <c r="T719" i="2" s="1"/>
  <c r="S274" i="2"/>
  <c r="T274" i="2" s="1"/>
  <c r="S640" i="2"/>
  <c r="T640" i="2" s="1"/>
  <c r="S688" i="2"/>
  <c r="T688" i="2" s="1"/>
  <c r="S636" i="2"/>
  <c r="T636" i="2" s="1"/>
  <c r="S154" i="2"/>
  <c r="T154" i="2" s="1"/>
  <c r="S663" i="2"/>
  <c r="T663" i="2" s="1"/>
  <c r="S661" i="2"/>
  <c r="T661" i="2" s="1"/>
  <c r="S1032" i="2"/>
  <c r="T1032" i="2" s="1"/>
  <c r="S54" i="2"/>
  <c r="T54" i="2" s="1"/>
  <c r="S447" i="2"/>
  <c r="T447" i="2" s="1"/>
  <c r="S572" i="2"/>
  <c r="T572" i="2" s="1"/>
  <c r="S717" i="2"/>
  <c r="T717" i="2" s="1"/>
  <c r="S954" i="2"/>
  <c r="T954" i="2" s="1"/>
  <c r="S301" i="2"/>
  <c r="T301" i="2" s="1"/>
  <c r="S600" i="2"/>
  <c r="T600" i="2" s="1"/>
  <c r="S581" i="2"/>
  <c r="T581" i="2" s="1"/>
  <c r="S695" i="2"/>
  <c r="T695" i="2" s="1"/>
  <c r="S456" i="2"/>
  <c r="T456" i="2" s="1"/>
  <c r="S86" i="2"/>
  <c r="T86" i="2" s="1"/>
  <c r="S884" i="2"/>
  <c r="T884" i="2" s="1"/>
  <c r="S1068" i="2"/>
  <c r="T1068" i="2" s="1"/>
  <c r="S24" i="2"/>
  <c r="T24" i="2" s="1"/>
  <c r="S291" i="2"/>
  <c r="T291" i="2" s="1"/>
  <c r="S892" i="2"/>
  <c r="T892" i="2" s="1"/>
  <c r="S825" i="2"/>
  <c r="T825" i="2" s="1"/>
  <c r="S317" i="2"/>
  <c r="T317" i="2" s="1"/>
  <c r="S176" i="2"/>
  <c r="T176" i="2" s="1"/>
  <c r="S633" i="2"/>
  <c r="T633" i="2" s="1"/>
  <c r="S67" i="2"/>
  <c r="T67" i="2" s="1"/>
  <c r="S731" i="2"/>
  <c r="T731" i="2" s="1"/>
  <c r="S700" i="2"/>
  <c r="T700" i="2" s="1"/>
  <c r="S1101" i="2"/>
  <c r="T1101" i="2" s="1"/>
  <c r="S1024" i="2"/>
  <c r="T1024" i="2" s="1"/>
  <c r="S387" i="2"/>
  <c r="T387" i="2" s="1"/>
  <c r="S504" i="2"/>
  <c r="T504" i="2" s="1"/>
  <c r="S1097" i="2"/>
  <c r="T1097" i="2" s="1"/>
  <c r="S263" i="2"/>
  <c r="T263" i="2" s="1"/>
  <c r="S577" i="2"/>
  <c r="T577" i="2" s="1"/>
  <c r="S248" i="2"/>
  <c r="T248" i="2" s="1"/>
  <c r="S436" i="2"/>
  <c r="T436" i="2" s="1"/>
  <c r="S385" i="2"/>
  <c r="T385" i="2" s="1"/>
  <c r="S444" i="2"/>
  <c r="T444" i="2" s="1"/>
  <c r="S106" i="2"/>
  <c r="T106" i="2" s="1"/>
  <c r="S149" i="2"/>
  <c r="T149" i="2" s="1"/>
  <c r="S500" i="2"/>
  <c r="T500" i="2" s="1"/>
  <c r="S867" i="2"/>
  <c r="T867" i="2" s="1"/>
  <c r="S228" i="2"/>
  <c r="T228" i="2" s="1"/>
  <c r="S413" i="2"/>
  <c r="T413" i="2" s="1"/>
  <c r="S694" i="2"/>
  <c r="T694" i="2" s="1"/>
  <c r="S793" i="2"/>
  <c r="T793" i="2" s="1"/>
  <c r="S34" i="2"/>
  <c r="T34" i="2" s="1"/>
  <c r="S891" i="2"/>
  <c r="T891" i="2" s="1"/>
  <c r="S981" i="2"/>
  <c r="T981" i="2" s="1"/>
  <c r="S116" i="2"/>
  <c r="T116" i="2" s="1"/>
  <c r="S860" i="2"/>
  <c r="T860" i="2" s="1"/>
  <c r="S868" i="2"/>
  <c r="T868" i="2" s="1"/>
  <c r="S191" i="2"/>
  <c r="T191" i="2" s="1"/>
  <c r="S741" i="2"/>
  <c r="T741" i="2" s="1"/>
  <c r="S513" i="2"/>
  <c r="T513" i="2" s="1"/>
  <c r="S652" i="2"/>
  <c r="T652" i="2" s="1"/>
  <c r="S284" i="2"/>
  <c r="T284" i="2" s="1"/>
  <c r="S713" i="2"/>
  <c r="T713" i="2" s="1"/>
  <c r="S92" i="2"/>
  <c r="T92" i="2" s="1"/>
  <c r="S1054" i="2"/>
  <c r="T1054" i="2" s="1"/>
  <c r="S25" i="2"/>
  <c r="T25" i="2" s="1"/>
  <c r="S1039" i="2"/>
  <c r="T1039" i="2" s="1"/>
  <c r="S1026" i="2"/>
  <c r="T1026" i="2" s="1"/>
  <c r="S85" i="2"/>
  <c r="T85" i="2" s="1"/>
  <c r="S522" i="2"/>
  <c r="T522" i="2" s="1"/>
  <c r="S746" i="2"/>
  <c r="T746" i="2" s="1"/>
  <c r="S348" i="2"/>
  <c r="T348" i="2" s="1"/>
  <c r="S882" i="2"/>
  <c r="T882" i="2" s="1"/>
  <c r="S1048" i="2"/>
  <c r="T1048" i="2" s="1"/>
  <c r="S345" i="2"/>
  <c r="T345" i="2" s="1"/>
  <c r="S3" i="2"/>
  <c r="T3" i="2" s="1"/>
  <c r="S525" i="2"/>
  <c r="T525" i="2" s="1"/>
  <c r="S1084" i="2"/>
  <c r="T1084" i="2" s="1"/>
  <c r="S1123" i="2"/>
  <c r="T1123" i="2" s="1"/>
  <c r="S994" i="2"/>
  <c r="T994" i="2" s="1"/>
  <c r="S23" i="2"/>
  <c r="T23" i="2" s="1"/>
  <c r="S19" i="2"/>
  <c r="T19" i="2" s="1"/>
  <c r="S598" i="2"/>
  <c r="T598" i="2" s="1"/>
  <c r="S1023" i="2"/>
  <c r="T1023" i="2" s="1"/>
  <c r="S492" i="2"/>
  <c r="T492" i="2" s="1"/>
  <c r="S801" i="2"/>
  <c r="T801" i="2" s="1"/>
  <c r="S1021" i="2"/>
  <c r="T1021" i="2" s="1"/>
  <c r="S114" i="2"/>
  <c r="T114" i="2" s="1"/>
  <c r="S516" i="2"/>
  <c r="T516" i="2" s="1"/>
  <c r="S194" i="2"/>
  <c r="T194" i="2" s="1"/>
  <c r="S1064" i="2"/>
  <c r="T1064" i="2" s="1"/>
  <c r="S1076" i="2"/>
  <c r="T1076" i="2" s="1"/>
  <c r="S874" i="2"/>
  <c r="T874" i="2" s="1"/>
  <c r="S539" i="2"/>
  <c r="T539" i="2" s="1"/>
  <c r="S403" i="2"/>
  <c r="T403" i="2" s="1"/>
  <c r="S273" i="2"/>
  <c r="T273" i="2" s="1"/>
  <c r="S391" i="2"/>
  <c r="T391" i="2" s="1"/>
  <c r="S880" i="2"/>
  <c r="T880" i="2" s="1"/>
  <c r="S310" i="2"/>
  <c r="T310" i="2" s="1"/>
  <c r="S664" i="2"/>
  <c r="T664" i="2" s="1"/>
  <c r="S1020" i="2"/>
  <c r="T1020" i="2" s="1"/>
  <c r="S195" i="2"/>
  <c r="T195" i="2" s="1"/>
  <c r="S95" i="2"/>
  <c r="T95" i="2" s="1"/>
  <c r="S216" i="2"/>
  <c r="T216" i="2" s="1"/>
  <c r="S122" i="2"/>
  <c r="T122" i="2" s="1"/>
  <c r="S220" i="2"/>
  <c r="T220" i="2" s="1"/>
  <c r="S357" i="2"/>
  <c r="T357" i="2" s="1"/>
  <c r="S1028" i="2"/>
  <c r="T1028" i="2" s="1"/>
  <c r="S321" i="2"/>
  <c r="T321" i="2" s="1"/>
  <c r="S620" i="2"/>
  <c r="T620" i="2" s="1"/>
  <c r="S594" i="2"/>
  <c r="T594" i="2" s="1"/>
  <c r="S395" i="2"/>
  <c r="T395" i="2" s="1"/>
  <c r="S942" i="2"/>
  <c r="T942" i="2" s="1"/>
  <c r="S37" i="2"/>
  <c r="T37" i="2" s="1"/>
  <c r="S742" i="2"/>
  <c r="T742" i="2" s="1"/>
  <c r="S1106" i="2"/>
  <c r="T1106" i="2" s="1"/>
  <c r="S246" i="2"/>
  <c r="T246" i="2" s="1"/>
  <c r="S548" i="2"/>
  <c r="T548" i="2" s="1"/>
  <c r="S666" i="2"/>
  <c r="T666" i="2" s="1"/>
  <c r="S393" i="2"/>
  <c r="T393" i="2" s="1"/>
  <c r="S20" i="2"/>
  <c r="T20" i="2" s="1"/>
  <c r="S2" i="2"/>
  <c r="T2" i="2" s="1"/>
  <c r="S708" i="2"/>
  <c r="T708" i="2" s="1"/>
  <c r="S401" i="2"/>
  <c r="T401" i="2" s="1"/>
  <c r="S164" i="2"/>
  <c r="T164" i="2" s="1"/>
  <c r="S1016" i="2"/>
  <c r="T1016" i="2" s="1"/>
  <c r="S221" i="2"/>
  <c r="T221" i="2" s="1"/>
  <c r="S887" i="2"/>
  <c r="T887" i="2" s="1"/>
  <c r="S861" i="2"/>
  <c r="T861" i="2" s="1"/>
  <c r="S1041" i="2"/>
  <c r="T1041" i="2" s="1"/>
  <c r="S583" i="2"/>
  <c r="T583" i="2" s="1"/>
  <c r="S318" i="2"/>
  <c r="T318" i="2" s="1"/>
  <c r="S464" i="2"/>
  <c r="T464" i="2" s="1"/>
  <c r="S333" i="2"/>
  <c r="T333" i="2" s="1"/>
  <c r="S871" i="2"/>
  <c r="T871" i="2" s="1"/>
  <c r="S1045" i="2"/>
  <c r="T1045" i="2" s="1"/>
  <c r="S13" i="2"/>
  <c r="T13" i="2" s="1"/>
  <c r="S670" i="2"/>
  <c r="T670" i="2" s="1"/>
  <c r="S343" i="2"/>
  <c r="T343" i="2" s="1"/>
  <c r="S227" i="2"/>
  <c r="T227" i="2" s="1"/>
  <c r="S761" i="2"/>
  <c r="T761" i="2" s="1"/>
  <c r="S123" i="2"/>
  <c r="T123" i="2" s="1"/>
  <c r="S932" i="2"/>
  <c r="T932" i="2" s="1"/>
  <c r="S735" i="2"/>
  <c r="T735" i="2" s="1"/>
  <c r="S250" i="2"/>
  <c r="T250" i="2" s="1"/>
  <c r="S743" i="2"/>
  <c r="T743" i="2" s="1"/>
  <c r="S576" i="2"/>
  <c r="T576" i="2" s="1"/>
  <c r="S432" i="2"/>
  <c r="T432" i="2" s="1"/>
  <c r="S632" i="2"/>
  <c r="T632" i="2" s="1"/>
  <c r="S1036" i="2"/>
  <c r="T1036" i="2" s="1"/>
  <c r="S578" i="2"/>
  <c r="T578" i="2" s="1"/>
  <c r="S322" i="2"/>
  <c r="T322" i="2" s="1"/>
  <c r="S1134" i="2"/>
  <c r="T1134" i="2" s="1"/>
  <c r="S386" i="2"/>
  <c r="T386" i="2" s="1"/>
  <c r="S775" i="2"/>
  <c r="T775" i="2" s="1"/>
  <c r="S204" i="2"/>
  <c r="T204" i="2" s="1"/>
  <c r="S7" i="2"/>
  <c r="T7" i="2" s="1"/>
  <c r="S740" i="2"/>
  <c r="T740" i="2" s="1"/>
  <c r="S568" i="2"/>
  <c r="T568" i="2" s="1"/>
  <c r="S360" i="2"/>
  <c r="T360" i="2" s="1"/>
  <c r="S354" i="2"/>
  <c r="T354" i="2" s="1"/>
  <c r="S78" i="2"/>
  <c r="T78" i="2" s="1"/>
  <c r="S847" i="2"/>
  <c r="T847" i="2" s="1"/>
  <c r="S1075" i="2"/>
  <c r="T1075" i="2" s="1"/>
  <c r="S518" i="2"/>
  <c r="T518" i="2" s="1"/>
  <c r="S609" i="2"/>
  <c r="T609" i="2" s="1"/>
  <c r="S342" i="2"/>
  <c r="T342" i="2" s="1"/>
  <c r="S53" i="2"/>
  <c r="T53" i="2" s="1"/>
  <c r="S1087" i="2"/>
  <c r="T1087" i="2" s="1"/>
  <c r="S8" i="2"/>
  <c r="T8" i="2" s="1"/>
  <c r="S320" i="2"/>
  <c r="T320" i="2" s="1"/>
  <c r="S736" i="2"/>
  <c r="T736" i="2" s="1"/>
  <c r="S1035" i="2"/>
  <c r="T1035" i="2" s="1"/>
  <c r="S830" i="2"/>
  <c r="T830" i="2" s="1"/>
  <c r="S760" i="2"/>
  <c r="T760" i="2" s="1"/>
  <c r="S326" i="2"/>
  <c r="T326" i="2" s="1"/>
  <c r="S232" i="2"/>
  <c r="T232" i="2" s="1"/>
  <c r="S763" i="2"/>
  <c r="T763" i="2" s="1"/>
  <c r="S145" i="2"/>
  <c r="T145" i="2" s="1"/>
  <c r="S229" i="2"/>
  <c r="T229" i="2" s="1"/>
  <c r="S805" i="2"/>
  <c r="T805" i="2" s="1"/>
  <c r="S185" i="2"/>
  <c r="T185" i="2" s="1"/>
  <c r="S967" i="2"/>
  <c r="T967" i="2" s="1"/>
  <c r="S650" i="2"/>
  <c r="T650" i="2" s="1"/>
  <c r="S732" i="2"/>
  <c r="T732" i="2" s="1"/>
  <c r="S136" i="2"/>
  <c r="T136" i="2" s="1"/>
  <c r="S68" i="2"/>
  <c r="T68" i="2" s="1"/>
  <c r="S175" i="2"/>
  <c r="T175" i="2" s="1"/>
  <c r="S15" i="2"/>
  <c r="T15" i="2" s="1"/>
  <c r="S645" i="2"/>
  <c r="T645" i="2" s="1"/>
  <c r="S35" i="2"/>
  <c r="T35" i="2" s="1"/>
  <c r="S353" i="2"/>
  <c r="T353" i="2" s="1"/>
  <c r="S461" i="2"/>
  <c r="T461" i="2" s="1"/>
  <c r="S589" i="2"/>
  <c r="T589" i="2" s="1"/>
  <c r="S1006" i="2"/>
  <c r="T1006" i="2" s="1"/>
  <c r="S137" i="2"/>
  <c r="T137" i="2" s="1"/>
  <c r="S602" i="2"/>
  <c r="T602" i="2" s="1"/>
  <c r="S779" i="2"/>
  <c r="T779" i="2" s="1"/>
  <c r="S40" i="2"/>
  <c r="T40" i="2" s="1"/>
  <c r="S1004" i="2"/>
  <c r="T1004" i="2" s="1"/>
  <c r="S279" i="2"/>
  <c r="T279" i="2" s="1"/>
  <c r="S290" i="2"/>
  <c r="T290" i="2" s="1"/>
  <c r="S26" i="2"/>
  <c r="T26" i="2" s="1"/>
  <c r="S202" i="2"/>
  <c r="T202" i="2" s="1"/>
  <c r="S544" i="2"/>
  <c r="T544" i="2" s="1"/>
  <c r="S988" i="2"/>
  <c r="T988" i="2" s="1"/>
  <c r="S904" i="2"/>
  <c r="T904" i="2" s="1"/>
  <c r="S931" i="2"/>
  <c r="T931" i="2" s="1"/>
  <c r="S519" i="2"/>
  <c r="T519" i="2" s="1"/>
  <c r="S465" i="2"/>
  <c r="T465" i="2" s="1"/>
  <c r="S90" i="2"/>
  <c r="T90" i="2" s="1"/>
  <c r="S692" i="2"/>
  <c r="T692" i="2" s="1"/>
  <c r="S474" i="2"/>
  <c r="T474" i="2" s="1"/>
  <c r="S499" i="2"/>
  <c r="T499" i="2" s="1"/>
  <c r="S1103" i="2"/>
  <c r="T1103" i="2" s="1"/>
  <c r="S1110" i="2"/>
  <c r="T1110" i="2" s="1"/>
  <c r="S508" i="2"/>
  <c r="T508" i="2" s="1"/>
  <c r="S1033" i="2"/>
  <c r="T1033" i="2" s="1"/>
  <c r="S561" i="2"/>
  <c r="T561" i="2" s="1"/>
  <c r="S818" i="2"/>
  <c r="T818" i="2" s="1"/>
  <c r="S1018" i="2"/>
  <c r="T1018" i="2" s="1"/>
  <c r="S307" i="2"/>
  <c r="T307" i="2" s="1"/>
  <c r="S339" i="2"/>
  <c r="T339" i="2" s="1"/>
  <c r="S538" i="2"/>
  <c r="T538" i="2" s="1"/>
  <c r="S309" i="2"/>
  <c r="T309" i="2" s="1"/>
  <c r="S396" i="2"/>
  <c r="T396" i="2" s="1"/>
  <c r="S1067" i="2"/>
  <c r="T1067" i="2" s="1"/>
  <c r="S674" i="2"/>
  <c r="T674" i="2" s="1"/>
  <c r="S383" i="2"/>
  <c r="T383" i="2" s="1"/>
  <c r="S769" i="2"/>
  <c r="T769" i="2" s="1"/>
  <c r="S166" i="2"/>
  <c r="T166" i="2" s="1"/>
  <c r="S774" i="2"/>
  <c r="T774" i="2" s="1"/>
  <c r="S1077" i="2"/>
  <c r="T1077" i="2" s="1"/>
  <c r="S355" i="2"/>
  <c r="T355" i="2" s="1"/>
  <c r="S964" i="2"/>
  <c r="T964" i="2" s="1"/>
  <c r="S457" i="2"/>
  <c r="T457" i="2" s="1"/>
  <c r="S980" i="2"/>
  <c r="T980" i="2" s="1"/>
  <c r="S885" i="2"/>
  <c r="T885" i="2" s="1"/>
  <c r="S1046" i="2"/>
  <c r="T1046" i="2" s="1"/>
  <c r="S88" i="2"/>
  <c r="T88" i="2" s="1"/>
  <c r="S1034" i="2"/>
  <c r="T1034" i="2" s="1"/>
  <c r="S296" i="2"/>
  <c r="T296" i="2" s="1"/>
  <c r="S739" i="2"/>
  <c r="T739" i="2" s="1"/>
  <c r="S1088" i="2"/>
  <c r="T1088" i="2" s="1"/>
  <c r="S927" i="2"/>
  <c r="T927" i="2" s="1"/>
  <c r="S889" i="2"/>
  <c r="T889" i="2" s="1"/>
  <c r="S94" i="2"/>
  <c r="T94" i="2" s="1"/>
  <c r="S451" i="2"/>
  <c r="T451" i="2" s="1"/>
  <c r="S1129" i="2"/>
  <c r="T1129" i="2" s="1"/>
  <c r="S809" i="2"/>
  <c r="T809" i="2" s="1"/>
  <c r="S22" i="2"/>
  <c r="T22" i="2" s="1"/>
  <c r="S903" i="2"/>
  <c r="T903" i="2" s="1"/>
  <c r="S996" i="2"/>
  <c r="T996" i="2" s="1"/>
  <c r="S563" i="2"/>
  <c r="T563" i="2" s="1"/>
  <c r="S428" i="2"/>
  <c r="T428" i="2" s="1"/>
  <c r="S323" i="2"/>
  <c r="T323" i="2" s="1"/>
  <c r="S855" i="2"/>
  <c r="T855" i="2" s="1"/>
  <c r="S480" i="2"/>
  <c r="T480" i="2" s="1"/>
  <c r="S198" i="2"/>
  <c r="T198" i="2" s="1"/>
  <c r="S28" i="2"/>
  <c r="T28" i="2" s="1"/>
  <c r="S158" i="2"/>
  <c r="T158" i="2" s="1"/>
  <c r="S751" i="2"/>
  <c r="T751" i="2" s="1"/>
  <c r="S644" i="2"/>
  <c r="T644" i="2" s="1"/>
  <c r="S69" i="2"/>
  <c r="T69" i="2" s="1"/>
  <c r="S637" i="2"/>
  <c r="T637" i="2" s="1"/>
  <c r="S950" i="2"/>
  <c r="T950" i="2" s="1"/>
  <c r="S685" i="2"/>
  <c r="T685" i="2" s="1"/>
  <c r="S662" i="2"/>
  <c r="T662" i="2" s="1"/>
  <c r="S98" i="2"/>
  <c r="T98" i="2" s="1"/>
  <c r="S441" i="2"/>
  <c r="T441" i="2" s="1"/>
  <c r="S630" i="2"/>
  <c r="T630" i="2" s="1"/>
  <c r="S121" i="2"/>
  <c r="T121" i="2" s="1"/>
  <c r="S659" i="2"/>
  <c r="T659" i="2" s="1"/>
  <c r="S709" i="2"/>
  <c r="T709" i="2" s="1"/>
  <c r="S165" i="2"/>
  <c r="T165" i="2" s="1"/>
  <c r="S925" i="2"/>
  <c r="T925" i="2" s="1"/>
  <c r="S1057" i="2"/>
  <c r="T1057" i="2" s="1"/>
  <c r="S148" i="2"/>
  <c r="T148" i="2" s="1"/>
  <c r="S628" i="2"/>
  <c r="T628" i="2" s="1"/>
  <c r="S286" i="2"/>
  <c r="T286" i="2" s="1"/>
  <c r="S1108" i="2"/>
  <c r="T1108" i="2" s="1"/>
  <c r="S832" i="2"/>
  <c r="T832" i="2" s="1"/>
  <c r="S278" i="2"/>
  <c r="T278" i="2" s="1"/>
  <c r="S534" i="2"/>
  <c r="T534" i="2" s="1"/>
  <c r="S129" i="2"/>
  <c r="T129" i="2" s="1"/>
  <c r="S580" i="2"/>
  <c r="T580" i="2" s="1"/>
  <c r="S105" i="2"/>
  <c r="T105" i="2" s="1"/>
  <c r="S754" i="2"/>
  <c r="T754" i="2" s="1"/>
  <c r="S542" i="2"/>
  <c r="T542" i="2" s="1"/>
  <c r="S1081" i="2"/>
  <c r="T1081" i="2" s="1"/>
  <c r="S503" i="2"/>
  <c r="T503" i="2" s="1"/>
  <c r="S833" i="2"/>
  <c r="T833" i="2" s="1"/>
  <c r="S389" i="2"/>
  <c r="T389" i="2" s="1"/>
  <c r="S913" i="2"/>
  <c r="T913" i="2" s="1"/>
  <c r="S890" i="2"/>
  <c r="T890" i="2" s="1"/>
  <c r="S749" i="2"/>
  <c r="T749" i="2" s="1"/>
  <c r="S367" i="2"/>
  <c r="T367" i="2" s="1"/>
  <c r="S1037" i="2"/>
  <c r="T1037" i="2" s="1"/>
  <c r="S624" i="2"/>
  <c r="T624" i="2" s="1"/>
  <c r="S347" i="2"/>
  <c r="T347" i="2" s="1"/>
  <c r="S777" i="2"/>
  <c r="T777" i="2" s="1"/>
  <c r="S529" i="2"/>
  <c r="T529" i="2" s="1"/>
  <c r="S704" i="2"/>
  <c r="T704" i="2" s="1"/>
  <c r="S965" i="2"/>
  <c r="T965" i="2" s="1"/>
  <c r="S1121" i="2"/>
  <c r="T1121" i="2" s="1"/>
  <c r="S782" i="2"/>
  <c r="T782" i="2" s="1"/>
  <c r="S390" i="2"/>
  <c r="T390" i="2" s="1"/>
  <c r="S997" i="2"/>
  <c r="T997" i="2" s="1"/>
  <c r="S987" i="2"/>
  <c r="T987" i="2" s="1"/>
  <c r="S1096" i="2"/>
  <c r="T1096" i="2" s="1"/>
  <c r="S850" i="2"/>
  <c r="T850" i="2" s="1"/>
  <c r="S963" i="2"/>
  <c r="T963" i="2" s="1"/>
  <c r="S109" i="2"/>
  <c r="T109" i="2" s="1"/>
  <c r="S76" i="2"/>
  <c r="T76" i="2" s="1"/>
  <c r="S686" i="2"/>
  <c r="T686" i="2" s="1"/>
  <c r="S826" i="2"/>
  <c r="T826" i="2" s="1"/>
  <c r="S841" i="2"/>
  <c r="T841" i="2" s="1"/>
  <c r="S935" i="2"/>
  <c r="T935" i="2" s="1"/>
  <c r="S588" i="2"/>
  <c r="T588" i="2" s="1"/>
  <c r="S438" i="2"/>
  <c r="T438" i="2" s="1"/>
  <c r="S408" i="2"/>
  <c r="T408" i="2" s="1"/>
  <c r="S205" i="2"/>
  <c r="T205" i="2" s="1"/>
  <c r="S108" i="2"/>
  <c r="T108" i="2" s="1"/>
  <c r="S159" i="2"/>
  <c r="T159" i="2" s="1"/>
  <c r="S381" i="2"/>
  <c r="T381" i="2" s="1"/>
  <c r="S926" i="2"/>
  <c r="T926" i="2" s="1"/>
  <c r="S429" i="2"/>
  <c r="T429" i="2" s="1"/>
  <c r="S207" i="2"/>
  <c r="T207" i="2" s="1"/>
  <c r="S928" i="2"/>
  <c r="T928" i="2" s="1"/>
  <c r="S641" i="2"/>
  <c r="T641" i="2" s="1"/>
  <c r="S764" i="2"/>
  <c r="T764" i="2" s="1"/>
  <c r="S804" i="2"/>
  <c r="T804" i="2" s="1"/>
  <c r="S1074" i="2"/>
  <c r="T1074" i="2" s="1"/>
  <c r="S1089" i="2"/>
  <c r="T1089" i="2" s="1"/>
  <c r="S973" i="2"/>
  <c r="T973" i="2" s="1"/>
  <c r="S1055" i="2"/>
  <c r="T1055" i="2" s="1"/>
  <c r="S1104" i="2"/>
  <c r="T1104" i="2" s="1"/>
  <c r="S257" i="2"/>
  <c r="T257" i="2" s="1"/>
  <c r="S960" i="2"/>
  <c r="T960" i="2" s="1"/>
  <c r="S911" i="2"/>
  <c r="T911" i="2" s="1"/>
  <c r="S230" i="2"/>
  <c r="T230" i="2" s="1"/>
  <c r="S1053" i="2"/>
  <c r="T1053" i="2" s="1"/>
  <c r="S521" i="2"/>
  <c r="T521" i="2" s="1"/>
  <c r="S590" i="2"/>
  <c r="T590" i="2" s="1"/>
  <c r="S417" i="2"/>
  <c r="T417" i="2" s="1"/>
  <c r="S242" i="2"/>
  <c r="T242" i="2" s="1"/>
  <c r="S921" i="2"/>
  <c r="T921" i="2" s="1"/>
  <c r="S959" i="2"/>
  <c r="T959" i="2" s="1"/>
  <c r="S16" i="2"/>
  <c r="T16" i="2" s="1"/>
  <c r="S186" i="2"/>
  <c r="T186" i="2" s="1"/>
  <c r="S831" i="2"/>
  <c r="T831" i="2" s="1"/>
  <c r="S815" i="2"/>
  <c r="T815" i="2" s="1"/>
  <c r="S259" i="2"/>
  <c r="T259" i="2" s="1"/>
  <c r="S373" i="2"/>
  <c r="T373" i="2" s="1"/>
  <c r="S304" i="2"/>
  <c r="T304" i="2" s="1"/>
  <c r="S1102" i="2"/>
  <c r="T1102" i="2" s="1"/>
  <c r="S951" i="2"/>
  <c r="T951" i="2" s="1"/>
  <c r="S1112" i="2"/>
  <c r="T1112" i="2" s="1"/>
  <c r="S718" i="2"/>
  <c r="T718" i="2" s="1"/>
  <c r="S851" i="2"/>
  <c r="T851" i="2" s="1"/>
  <c r="S896" i="2"/>
  <c r="T896" i="2" s="1"/>
  <c r="S875" i="2"/>
  <c r="T875" i="2" s="1"/>
  <c r="S1015" i="2"/>
  <c r="T1015" i="2" s="1"/>
  <c r="S914" i="2"/>
  <c r="T914" i="2" s="1"/>
  <c r="S331" i="2"/>
  <c r="T331" i="2" s="1"/>
  <c r="S869" i="2"/>
  <c r="T869" i="2" s="1"/>
  <c r="S683" i="2"/>
  <c r="T683" i="2" s="1"/>
  <c r="S536" i="2"/>
  <c r="T536" i="2" s="1"/>
  <c r="S468" i="2"/>
  <c r="T468" i="2" s="1"/>
  <c r="S881" i="2"/>
  <c r="T881" i="2" s="1"/>
  <c r="S369" i="2"/>
  <c r="T369" i="2" s="1"/>
  <c r="S979" i="2"/>
  <c r="T979" i="2" s="1"/>
  <c r="S1125" i="2"/>
  <c r="T1125" i="2" s="1"/>
  <c r="S888" i="2"/>
  <c r="T888" i="2" s="1"/>
  <c r="S1009" i="2"/>
  <c r="T1009" i="2" s="1"/>
  <c r="S97" i="2"/>
  <c r="T97" i="2" s="1"/>
  <c r="S629" i="2"/>
  <c r="T629" i="2" s="1"/>
  <c r="S574" i="2"/>
  <c r="T574" i="2" s="1"/>
  <c r="S300" i="2"/>
  <c r="T300" i="2" s="1"/>
  <c r="S469" i="2"/>
  <c r="T469" i="2" s="1"/>
  <c r="S752" i="2"/>
  <c r="T752" i="2" s="1"/>
  <c r="S117" i="2"/>
  <c r="T117" i="2" s="1"/>
  <c r="S187" i="2"/>
  <c r="T187" i="2" s="1"/>
  <c r="S702" i="2"/>
  <c r="T702" i="2" s="1"/>
  <c r="S197" i="2"/>
  <c r="T197" i="2" s="1"/>
  <c r="S726" i="2"/>
  <c r="T726" i="2" s="1"/>
  <c r="S36" i="2"/>
  <c r="T36" i="2" s="1"/>
  <c r="S244" i="2"/>
  <c r="T244" i="2" s="1"/>
  <c r="S827" i="2"/>
  <c r="T827" i="2" s="1"/>
  <c r="S755" i="2"/>
  <c r="T755" i="2" s="1"/>
  <c r="S45" i="2"/>
  <c r="T45" i="2" s="1"/>
  <c r="S902" i="2"/>
  <c r="T902" i="2" s="1"/>
  <c r="S756" i="2"/>
  <c r="T756" i="2" s="1"/>
  <c r="S288" i="2"/>
  <c r="T288" i="2" s="1"/>
  <c r="S57" i="2"/>
  <c r="T57" i="2" s="1"/>
  <c r="S487" i="2"/>
  <c r="T487" i="2" s="1"/>
  <c r="S758" i="2"/>
  <c r="T758" i="2" s="1"/>
  <c r="S479" i="2"/>
  <c r="T479" i="2" s="1"/>
  <c r="S1013" i="2"/>
  <c r="T1013" i="2" s="1"/>
  <c r="S765" i="2"/>
  <c r="T765" i="2" s="1"/>
  <c r="S941" i="2"/>
  <c r="T941" i="2" s="1"/>
  <c r="S58" i="2"/>
  <c r="T58" i="2" s="1"/>
  <c r="S162" i="2"/>
  <c r="T162" i="2" s="1"/>
  <c r="S128" i="2"/>
  <c r="T128" i="2" s="1"/>
  <c r="S477" i="2"/>
  <c r="T477" i="2" s="1"/>
  <c r="S1060" i="2"/>
  <c r="T1060" i="2" s="1"/>
  <c r="S929" i="2"/>
  <c r="T929" i="2" s="1"/>
  <c r="S1065" i="2"/>
  <c r="T1065" i="2" s="1"/>
  <c r="S866" i="2"/>
  <c r="T866" i="2" s="1"/>
  <c r="S673" i="2"/>
  <c r="T673" i="2" s="1"/>
  <c r="S420" i="2"/>
  <c r="T420" i="2" s="1"/>
  <c r="S168" i="2"/>
  <c r="T168" i="2" s="1"/>
  <c r="S251" i="2"/>
  <c r="T251" i="2" s="1"/>
  <c r="S192" i="2"/>
  <c r="T192" i="2" s="1"/>
  <c r="S27" i="2"/>
  <c r="T27" i="2" s="1"/>
  <c r="S55" i="2"/>
  <c r="T55" i="2" s="1"/>
  <c r="S124" i="2"/>
  <c r="T124" i="2" s="1"/>
  <c r="S466" i="2"/>
  <c r="T466" i="2" s="1"/>
  <c r="S470" i="2"/>
  <c r="T470" i="2" s="1"/>
  <c r="S619" i="2"/>
  <c r="T619" i="2" s="1"/>
  <c r="S706" i="2"/>
  <c r="T706" i="2" s="1"/>
  <c r="S562" i="2"/>
  <c r="T562" i="2" s="1"/>
  <c r="S1051" i="2"/>
  <c r="T1051" i="2" s="1"/>
  <c r="S225" i="2"/>
  <c r="T225" i="2" s="1"/>
  <c r="S783" i="2"/>
  <c r="T783" i="2" s="1"/>
  <c r="S212" i="2"/>
  <c r="T212" i="2" s="1"/>
  <c r="S409" i="2"/>
  <c r="T409" i="2" s="1"/>
  <c r="S933" i="2"/>
  <c r="T933" i="2" s="1"/>
  <c r="S768" i="2"/>
  <c r="T768" i="2" s="1"/>
  <c r="S625" i="2"/>
  <c r="T625" i="2" s="1"/>
  <c r="S507" i="2"/>
  <c r="T507" i="2" s="1"/>
  <c r="S188" i="2"/>
  <c r="T188" i="2" s="1"/>
  <c r="S448" i="2"/>
  <c r="T448" i="2" s="1"/>
  <c r="S849" i="2"/>
  <c r="T849" i="2" s="1"/>
  <c r="S374" i="2"/>
  <c r="T374" i="2" s="1"/>
  <c r="S269" i="2"/>
  <c r="T269" i="2" s="1"/>
  <c r="S549" i="2"/>
  <c r="T549" i="2" s="1"/>
  <c r="S781" i="2"/>
  <c r="T781" i="2" s="1"/>
  <c r="S970" i="2"/>
  <c r="T970" i="2" s="1"/>
  <c r="S923" i="2"/>
  <c r="T923" i="2" s="1"/>
  <c r="S421" i="2"/>
  <c r="T421" i="2" s="1"/>
  <c r="S341" i="2"/>
  <c r="T341" i="2" s="1"/>
  <c r="S817" i="2"/>
  <c r="T817" i="2" s="1"/>
  <c r="S616" i="2"/>
  <c r="T616" i="2" s="1"/>
  <c r="S439" i="2"/>
  <c r="T439" i="2" s="1"/>
  <c r="S1044" i="2"/>
  <c r="T1044" i="2" s="1"/>
  <c r="S565" i="2"/>
  <c r="T565" i="2" s="1"/>
  <c r="S132" i="2"/>
  <c r="T132" i="2" s="1"/>
  <c r="S157" i="2"/>
  <c r="T157" i="2" s="1"/>
  <c r="S190" i="2"/>
  <c r="T190" i="2" s="1"/>
  <c r="S293" i="2"/>
  <c r="T293" i="2" s="1"/>
  <c r="S358" i="2"/>
  <c r="T358" i="2" s="1"/>
  <c r="S311" i="2"/>
  <c r="T311" i="2" s="1"/>
  <c r="S924" i="2"/>
  <c r="T924" i="2" s="1"/>
  <c r="S366" i="2"/>
  <c r="T366" i="2" s="1"/>
  <c r="S1138" i="2"/>
  <c r="T1138" i="2" s="1"/>
  <c r="S705" i="2"/>
  <c r="T705" i="2" s="1"/>
  <c r="S897" i="2"/>
  <c r="T897" i="2" s="1"/>
  <c r="S811" i="2"/>
  <c r="T811" i="2" s="1"/>
  <c r="S993" i="2"/>
  <c r="T993" i="2" s="1"/>
  <c r="S546" i="2"/>
  <c r="T546" i="2" s="1"/>
  <c r="S651" i="2"/>
  <c r="T651" i="2" s="1"/>
  <c r="S423" i="2"/>
  <c r="T423" i="2" s="1"/>
  <c r="S1115" i="2"/>
  <c r="T1115" i="2" s="1"/>
  <c r="S690" i="2"/>
  <c r="T690" i="2" s="1"/>
  <c r="S966" i="2"/>
  <c r="T966" i="2" s="1"/>
  <c r="S491" i="2"/>
  <c r="T491" i="2" s="1"/>
  <c r="S528" i="2"/>
  <c r="T528" i="2" s="1"/>
  <c r="S424" i="2"/>
  <c r="T424" i="2" s="1"/>
  <c r="S1061" i="2"/>
  <c r="T1061" i="2" s="1"/>
  <c r="S916" i="2"/>
  <c r="T916" i="2" s="1"/>
  <c r="S1113" i="2"/>
  <c r="T1113" i="2" s="1"/>
  <c r="S585" i="2"/>
  <c r="T585" i="2" s="1"/>
  <c r="S772" i="2"/>
  <c r="T772" i="2" s="1"/>
  <c r="S675" i="2"/>
  <c r="T675" i="2" s="1"/>
  <c r="S238" i="2"/>
  <c r="T238" i="2" s="1"/>
  <c r="S842" i="2"/>
  <c r="T842" i="2" s="1"/>
  <c r="S1019" i="2"/>
  <c r="T1019" i="2" s="1"/>
  <c r="S566" i="2"/>
  <c r="T566" i="2" s="1"/>
  <c r="S553" i="2"/>
  <c r="T553" i="2" s="1"/>
  <c r="S21" i="2"/>
  <c r="T21" i="2" s="1"/>
  <c r="S427" i="2"/>
  <c r="T427" i="2" s="1"/>
  <c r="S134" i="2"/>
  <c r="T134" i="2" s="1"/>
  <c r="S332" i="2"/>
  <c r="T332" i="2" s="1"/>
  <c r="S974" i="2"/>
  <c r="T974" i="2" s="1"/>
  <c r="S103" i="2"/>
  <c r="T103" i="2" s="1"/>
  <c r="S696" i="2"/>
  <c r="T696" i="2" s="1"/>
  <c r="S83" i="2"/>
  <c r="T83" i="2" s="1"/>
  <c r="S399" i="2"/>
  <c r="T399" i="2" s="1"/>
  <c r="S864" i="2"/>
  <c r="T864" i="2" s="1"/>
  <c r="S142" i="2"/>
  <c r="T142" i="2" s="1"/>
  <c r="S678" i="2"/>
  <c r="T678" i="2" s="1"/>
  <c r="S44" i="2"/>
  <c r="T44" i="2" s="1"/>
  <c r="S138" i="2"/>
  <c r="T138" i="2" s="1"/>
  <c r="S961" i="2"/>
  <c r="T961" i="2" s="1"/>
  <c r="S49" i="2"/>
  <c r="T49" i="2" s="1"/>
  <c r="S305" i="2"/>
  <c r="T305" i="2" s="1"/>
  <c r="S89" i="2"/>
  <c r="T89" i="2" s="1"/>
  <c r="S551" i="2"/>
  <c r="T551" i="2" s="1"/>
  <c r="S199" i="2"/>
  <c r="T199" i="2" s="1"/>
  <c r="S255" i="2"/>
  <c r="T255" i="2" s="1"/>
  <c r="S119" i="2"/>
  <c r="T119" i="2" s="1"/>
  <c r="S267" i="2"/>
  <c r="T267" i="2" s="1"/>
  <c r="S463" i="2"/>
  <c r="T463" i="2" s="1"/>
  <c r="S982" i="2"/>
  <c r="T982" i="2" s="1"/>
  <c r="S957" i="2"/>
  <c r="T957" i="2" s="1"/>
  <c r="S231" i="2"/>
  <c r="T231" i="2" s="1"/>
  <c r="S237" i="2"/>
  <c r="T237" i="2" s="1"/>
  <c r="S266" i="2"/>
  <c r="T266" i="2" s="1"/>
  <c r="S680" i="2"/>
  <c r="T680" i="2" s="1"/>
  <c r="S1092" i="2"/>
  <c r="T1092" i="2" s="1"/>
  <c r="S1114" i="2"/>
  <c r="T1114" i="2" s="1"/>
  <c r="S917" i="2"/>
  <c r="T917" i="2" s="1"/>
  <c r="S433" i="2"/>
  <c r="T433" i="2" s="1"/>
  <c r="S196" i="2"/>
  <c r="T196" i="2" s="1"/>
  <c r="S1127" i="2"/>
  <c r="T1127" i="2" s="1"/>
  <c r="S32" i="2"/>
  <c r="T32" i="2" s="1"/>
  <c r="S443" i="2"/>
  <c r="T443" i="2" s="1"/>
  <c r="S450" i="2"/>
  <c r="T450" i="2" s="1"/>
  <c r="S794" i="2"/>
  <c r="T794" i="2" s="1"/>
  <c r="S189" i="2"/>
  <c r="T189" i="2" s="1"/>
  <c r="S821" i="2"/>
  <c r="T821" i="2" s="1"/>
  <c r="S431" i="2"/>
  <c r="T431" i="2" s="1"/>
  <c r="S147" i="2"/>
  <c r="T147" i="2" s="1"/>
  <c r="S1100" i="2"/>
  <c r="T1100" i="2" s="1"/>
  <c r="S757" i="2"/>
  <c r="T757" i="2" s="1"/>
  <c r="S87" i="2"/>
  <c r="T87" i="2" s="1"/>
  <c r="S1095" i="2"/>
  <c r="T1095" i="2" s="1"/>
  <c r="S1003" i="2"/>
  <c r="T1003" i="2" s="1"/>
  <c r="S1030" i="2"/>
  <c r="T1030" i="2" s="1"/>
  <c r="S873" i="2"/>
  <c r="T873" i="2" s="1"/>
  <c r="S771" i="2"/>
  <c r="T771" i="2" s="1"/>
  <c r="S601" i="2"/>
  <c r="T601" i="2" s="1"/>
  <c r="S1040" i="2"/>
  <c r="T1040" i="2" s="1"/>
  <c r="S496" i="2"/>
  <c r="T496" i="2" s="1"/>
  <c r="S1136" i="2"/>
  <c r="T1136" i="2" s="1"/>
  <c r="S631" i="2"/>
  <c r="T631" i="2" s="1"/>
  <c r="S146" i="2"/>
  <c r="T146" i="2" s="1"/>
  <c r="S835" i="2"/>
  <c r="T835" i="2" s="1"/>
  <c r="S131" i="2"/>
  <c r="T131" i="2" s="1"/>
  <c r="S656" i="2"/>
  <c r="T656" i="2" s="1"/>
  <c r="S990" i="2"/>
  <c r="T990" i="2" s="1"/>
  <c r="S956" i="2"/>
  <c r="T956" i="2" s="1"/>
  <c r="S978" i="2"/>
  <c r="T978" i="2" s="1"/>
  <c r="S61" i="2"/>
  <c r="T61" i="2" s="1"/>
  <c r="S564" i="2"/>
  <c r="T564" i="2" s="1"/>
  <c r="S397" i="2"/>
  <c r="T397" i="2" s="1"/>
  <c r="S66" i="2"/>
  <c r="T66" i="2" s="1"/>
  <c r="S178" i="2"/>
  <c r="T178" i="2" s="1"/>
  <c r="S545" i="2"/>
  <c r="T545" i="2" s="1"/>
  <c r="S275" i="2"/>
  <c r="T275" i="2" s="1"/>
  <c r="S723" i="2"/>
  <c r="T723" i="2" s="1"/>
  <c r="S135" i="2"/>
  <c r="T135" i="2" s="1"/>
  <c r="S99" i="2"/>
  <c r="T99" i="2" s="1"/>
  <c r="S388" i="2"/>
  <c r="T388" i="2" s="1"/>
  <c r="S610" i="2"/>
  <c r="T610" i="2" s="1"/>
  <c r="S100" i="2"/>
  <c r="T100" i="2" s="1"/>
  <c r="S679" i="2"/>
  <c r="T679" i="2" s="1"/>
  <c r="S853" i="2"/>
  <c r="T853" i="2" s="1"/>
  <c r="S14" i="2"/>
  <c r="T14" i="2" s="1"/>
  <c r="S303" i="2"/>
  <c r="T303" i="2" s="1"/>
  <c r="S392" i="2"/>
  <c r="T392" i="2" s="1"/>
  <c r="S74" i="2"/>
  <c r="T74" i="2" s="1"/>
  <c r="S313" i="2"/>
  <c r="T313" i="2" s="1"/>
  <c r="S316" i="2"/>
  <c r="T316" i="2" s="1"/>
  <c r="S560" i="2"/>
  <c r="T560" i="2" s="1"/>
  <c r="S254" i="2"/>
  <c r="T254" i="2" s="1"/>
  <c r="S837" i="2"/>
  <c r="T837" i="2" s="1"/>
  <c r="S256" i="2"/>
  <c r="T256" i="2" s="1"/>
  <c r="S991" i="2"/>
  <c r="T991" i="2" s="1"/>
  <c r="S649" i="2"/>
  <c r="T649" i="2" s="1"/>
  <c r="S1132" i="2"/>
  <c r="T1132" i="2" s="1"/>
  <c r="S968" i="2"/>
  <c r="T968" i="2" s="1"/>
  <c r="S848" i="2"/>
  <c r="T848" i="2" s="1"/>
  <c r="S784" i="2"/>
  <c r="T784" i="2" s="1"/>
  <c r="S378" i="2"/>
  <c r="T378" i="2" s="1"/>
  <c r="S846" i="2"/>
  <c r="T846" i="2" s="1"/>
  <c r="S426" i="2"/>
  <c r="T426" i="2" s="1"/>
  <c r="S39" i="2"/>
  <c r="T39" i="2" s="1"/>
  <c r="S1131" i="2"/>
  <c r="T1131" i="2" s="1"/>
  <c r="S810" i="2"/>
  <c r="T810" i="2" s="1"/>
  <c r="S445" i="2"/>
  <c r="T445" i="2" s="1"/>
  <c r="S1099" i="2"/>
  <c r="T1099" i="2" s="1"/>
  <c r="S312" i="2"/>
  <c r="T312" i="2" s="1"/>
  <c r="S167" i="2"/>
  <c r="T167" i="2" s="1"/>
  <c r="S338" i="2"/>
  <c r="T338" i="2" s="1"/>
  <c r="S359" i="2"/>
  <c r="T359" i="2" s="1"/>
  <c r="S958" i="2"/>
  <c r="T958" i="2" s="1"/>
  <c r="S790" i="2"/>
  <c r="T790" i="2" s="1"/>
  <c r="S730" i="2"/>
  <c r="T730" i="2" s="1"/>
  <c r="S547" i="2"/>
  <c r="T547" i="2" s="1"/>
  <c r="S485" i="2"/>
  <c r="T485" i="2" s="1"/>
  <c r="S1118" i="2"/>
  <c r="T1118" i="2" s="1"/>
  <c r="S272" i="2"/>
  <c r="T272" i="2" s="1"/>
  <c r="S329" i="2"/>
  <c r="T329" i="2" s="1"/>
  <c r="S814" i="2"/>
  <c r="T814" i="2" s="1"/>
  <c r="S1117" i="2"/>
  <c r="T1117" i="2" s="1"/>
  <c r="S47" i="2"/>
  <c r="T47" i="2" s="1"/>
  <c r="S712" i="2"/>
  <c r="T712" i="2" s="1"/>
  <c r="S797" i="2"/>
  <c r="T797" i="2" s="1"/>
  <c r="S297" i="2"/>
  <c r="T297" i="2" s="1"/>
  <c r="S10" i="2"/>
  <c r="T10" i="2" s="1"/>
  <c r="S494" i="2"/>
  <c r="T494" i="2" s="1"/>
  <c r="S509" i="2"/>
  <c r="T509" i="2" s="1"/>
  <c r="S857" i="2"/>
  <c r="T857" i="2" s="1"/>
  <c r="S416" i="2"/>
  <c r="T416" i="2" s="1"/>
  <c r="S550" i="2"/>
  <c r="T550" i="2" s="1"/>
  <c r="S1135" i="2"/>
  <c r="T1135" i="2" s="1"/>
  <c r="S515" i="2"/>
  <c r="T515" i="2" s="1"/>
  <c r="S1080" i="2"/>
  <c r="T1080" i="2" s="1"/>
  <c r="S223" i="2"/>
  <c r="T223" i="2" s="1"/>
  <c r="S222" i="2"/>
  <c r="T222" i="2" s="1"/>
  <c r="S1002" i="2"/>
  <c r="T1002" i="2" s="1"/>
  <c r="S552" i="2"/>
  <c r="T552" i="2" s="1"/>
  <c r="S877" i="2"/>
  <c r="T877" i="2" s="1"/>
  <c r="S328" i="2"/>
  <c r="T328" i="2" s="1"/>
  <c r="S1063" i="2"/>
  <c r="T1063" i="2" s="1"/>
  <c r="S617" i="2"/>
  <c r="T617" i="2" s="1"/>
  <c r="S482" i="2"/>
  <c r="T482" i="2" s="1"/>
  <c r="S796" i="2"/>
  <c r="T796" i="2" s="1"/>
  <c r="S476" i="2"/>
  <c r="T476" i="2" s="1"/>
  <c r="S596" i="2"/>
  <c r="T596" i="2" s="1"/>
  <c r="S127" i="2"/>
  <c r="T127" i="2" s="1"/>
  <c r="S1137" i="2"/>
  <c r="T1137" i="2" s="1"/>
  <c r="S912" i="2"/>
  <c r="T912" i="2" s="1"/>
  <c r="S1008" i="2"/>
  <c r="T1008" i="2" s="1"/>
  <c r="S822" i="2"/>
  <c r="T822" i="2" s="1"/>
  <c r="S843" i="2"/>
  <c r="T843" i="2" s="1"/>
  <c r="S488" i="2"/>
  <c r="T488" i="2" s="1"/>
  <c r="S557" i="2"/>
  <c r="T557" i="2" s="1"/>
  <c r="S362" i="2"/>
  <c r="T362" i="2" s="1"/>
  <c r="S298" i="2"/>
  <c r="T298" i="2" s="1"/>
  <c r="S863" i="2"/>
  <c r="T863" i="2" s="1"/>
  <c r="S955" i="2"/>
  <c r="T955" i="2" s="1"/>
  <c r="S473" i="2"/>
  <c r="T473" i="2" s="1"/>
  <c r="S989" i="2"/>
  <c r="T989" i="2" s="1"/>
  <c r="S753" i="2"/>
  <c r="T753" i="2" s="1"/>
  <c r="S778" i="2"/>
  <c r="T778" i="2" s="1"/>
  <c r="S786" i="2"/>
  <c r="T786" i="2" s="1"/>
  <c r="S780" i="2"/>
  <c r="T780" i="2" s="1"/>
  <c r="S161" i="2"/>
  <c r="T161" i="2" s="1"/>
  <c r="S437" i="2"/>
  <c r="T437" i="2" s="1"/>
  <c r="S510" i="2"/>
  <c r="T510" i="2" s="1"/>
  <c r="S344" i="2"/>
  <c r="T344" i="2" s="1"/>
  <c r="S1059" i="2"/>
  <c r="T1059" i="2" s="1"/>
  <c r="S107" i="2"/>
  <c r="T107" i="2" s="1"/>
  <c r="S514" i="2"/>
  <c r="T514" i="2" s="1"/>
  <c r="S214" i="2"/>
  <c r="T214" i="2" s="1"/>
  <c r="S170" i="2"/>
  <c r="T170" i="2" s="1"/>
  <c r="S839" i="2"/>
  <c r="T839" i="2" s="1"/>
  <c r="S655" i="2"/>
  <c r="T655" i="2" s="1"/>
  <c r="S1094" i="2"/>
  <c r="T1094" i="2" s="1"/>
  <c r="S899" i="2"/>
  <c r="T899" i="2" s="1"/>
  <c r="S533" i="2"/>
  <c r="T533" i="2" s="1"/>
  <c r="S919" i="2"/>
  <c r="T919" i="2" s="1"/>
  <c r="S171" i="2"/>
  <c r="T171" i="2" s="1"/>
  <c r="S453" i="2"/>
  <c r="T453" i="2" s="1"/>
  <c r="S81" i="2"/>
  <c r="T81" i="2" s="1"/>
  <c r="S113" i="2"/>
  <c r="T113" i="2" s="1"/>
  <c r="S520" i="2"/>
  <c r="T520" i="2" s="1"/>
  <c r="S125" i="2"/>
  <c r="T125" i="2" s="1"/>
  <c r="S1079" i="2"/>
  <c r="T1079" i="2" s="1"/>
  <c r="S449" i="2"/>
  <c r="T449" i="2" s="1"/>
  <c r="S920" i="2"/>
  <c r="T920" i="2" s="1"/>
  <c r="S1119" i="2"/>
  <c r="T1119" i="2" s="1"/>
  <c r="S748" i="2"/>
  <c r="T748" i="2" s="1"/>
  <c r="S422" i="2"/>
  <c r="T422" i="2" s="1"/>
  <c r="S12" i="2"/>
  <c r="T12" i="2" s="1"/>
  <c r="S962" i="2"/>
  <c r="T962" i="2" s="1"/>
  <c r="S1130" i="2"/>
  <c r="T1130" i="2" s="1"/>
  <c r="S1124" i="2"/>
  <c r="T1124" i="2" s="1"/>
  <c r="S750" i="2"/>
  <c r="T750" i="2" s="1"/>
  <c r="S720" i="2"/>
  <c r="T720" i="2" s="1"/>
  <c r="S400" i="2"/>
  <c r="T400" i="2" s="1"/>
  <c r="S295" i="2"/>
  <c r="T295" i="2" s="1"/>
  <c r="S1038" i="2"/>
  <c r="T1038" i="2" s="1"/>
  <c r="S483" i="2"/>
  <c r="T483" i="2" s="1"/>
  <c r="S352" i="2"/>
  <c r="T352" i="2" s="1"/>
  <c r="S48" i="2"/>
  <c r="T48" i="2" s="1"/>
  <c r="S785" i="2"/>
  <c r="T785" i="2" s="1"/>
  <c r="S1122" i="2"/>
  <c r="T1122" i="2" s="1"/>
  <c r="S654" i="2"/>
  <c r="T654" i="2" s="1"/>
  <c r="S579" i="2"/>
  <c r="T579" i="2" s="1"/>
  <c r="S558" i="2"/>
  <c r="T558" i="2" s="1"/>
  <c r="S689" i="2"/>
  <c r="T689" i="2" s="1"/>
  <c r="S179" i="2"/>
  <c r="T179" i="2" s="1"/>
  <c r="S435" i="2"/>
  <c r="T435" i="2" s="1"/>
  <c r="S41" i="2"/>
  <c r="T41" i="2" s="1"/>
  <c r="S721" i="2"/>
  <c r="T721" i="2" s="1"/>
  <c r="S862" i="2"/>
  <c r="T862" i="2" s="1"/>
  <c r="S325" i="2"/>
  <c r="T325" i="2" s="1"/>
  <c r="S208" i="2"/>
  <c r="T208" i="2" s="1"/>
  <c r="S615" i="2"/>
  <c r="T615" i="2" s="1"/>
  <c r="S599" i="2"/>
  <c r="T599" i="2" s="1"/>
  <c r="S802" i="2"/>
  <c r="T802" i="2" s="1"/>
  <c r="S940" i="2"/>
  <c r="T940" i="2" s="1"/>
  <c r="S1069" i="2"/>
  <c r="T1069" i="2" s="1"/>
  <c r="S243" i="2"/>
  <c r="T243" i="2" s="1"/>
  <c r="S1105" i="2"/>
  <c r="T1105" i="2" s="1"/>
  <c r="S947" i="2"/>
  <c r="T947" i="2" s="1"/>
  <c r="S879" i="2"/>
  <c r="T879" i="2" s="1"/>
  <c r="S51" i="2"/>
  <c r="T51" i="2" s="1"/>
  <c r="S660" i="2"/>
  <c r="T660" i="2" s="1"/>
  <c r="S370" i="2"/>
  <c r="T370" i="2" s="1"/>
  <c r="S110" i="2"/>
  <c r="T110" i="2" s="1"/>
  <c r="S983" i="2"/>
  <c r="T983" i="2" s="1"/>
  <c r="S626" i="2"/>
  <c r="T626" i="2" s="1"/>
  <c r="S1001" i="2"/>
  <c r="T1001" i="2" s="1"/>
  <c r="S460" i="2"/>
  <c r="T460" i="2" s="1"/>
  <c r="S398" i="2"/>
  <c r="T398" i="2" s="1"/>
  <c r="S946" i="2"/>
  <c r="T946" i="2" s="1"/>
  <c r="S258" i="2"/>
  <c r="T258" i="2" s="1"/>
  <c r="S770" i="2"/>
  <c r="T770" i="2" s="1"/>
  <c r="S1049" i="2"/>
  <c r="T1049" i="2" s="1"/>
  <c r="S812" i="2"/>
  <c r="T812" i="2" s="1"/>
  <c r="S31" i="2"/>
  <c r="T31" i="2" s="1"/>
  <c r="S722" i="2"/>
  <c r="T722" i="2" s="1"/>
  <c r="S1111" i="2"/>
  <c r="T1111" i="2" s="1"/>
  <c r="S241" i="2"/>
  <c r="T241" i="2" s="1"/>
  <c r="S497" i="2"/>
  <c r="T497" i="2" s="1"/>
  <c r="S434" i="2"/>
  <c r="T434" i="2" s="1"/>
  <c r="S173" i="2"/>
  <c r="T173" i="2" s="1"/>
  <c r="S102" i="2"/>
  <c r="T102" i="2" s="1"/>
  <c r="S193" i="2"/>
  <c r="T193" i="2" s="1"/>
  <c r="S698" i="2"/>
  <c r="T698" i="2" s="1"/>
  <c r="S738" i="2"/>
  <c r="T738" i="2" s="1"/>
  <c r="S807" i="2"/>
  <c r="T807" i="2" s="1"/>
  <c r="S277" i="2"/>
  <c r="T277" i="2" s="1"/>
  <c r="S407" i="2"/>
  <c r="T407" i="2" s="1"/>
  <c r="S287" i="2"/>
  <c r="T287" i="2" s="1"/>
  <c r="S143" i="2"/>
  <c r="T143" i="2" s="1"/>
  <c r="S773" i="2"/>
  <c r="T773" i="2" s="1"/>
  <c r="S907" i="2"/>
  <c r="T907" i="2" s="1"/>
  <c r="S425" i="2"/>
  <c r="T425" i="2" s="1"/>
  <c r="S893" i="2"/>
  <c r="T893" i="2" s="1"/>
  <c r="S337" i="2"/>
  <c r="T337" i="2" s="1"/>
  <c r="S1107" i="2"/>
  <c r="T1107" i="2" s="1"/>
  <c r="S93" i="2"/>
  <c r="T93" i="2" s="1"/>
  <c r="S289" i="2"/>
  <c r="T289" i="2" s="1"/>
  <c r="S591" i="2"/>
  <c r="T591" i="2" s="1"/>
  <c r="S937" i="2"/>
  <c r="T937" i="2" s="1"/>
  <c r="S606" i="2"/>
  <c r="T606" i="2" s="1"/>
  <c r="S1017" i="2"/>
  <c r="T1017" i="2" s="1"/>
  <c r="S975" i="2"/>
  <c r="T975" i="2" s="1"/>
  <c r="V1060" i="2" l="1"/>
  <c r="V608" i="2"/>
  <c r="V74" i="2"/>
  <c r="V972" i="2"/>
  <c r="V50" i="2"/>
  <c r="V861" i="2"/>
  <c r="V263" i="2"/>
  <c r="V1122" i="2"/>
  <c r="V397" i="2"/>
  <c r="V354" i="2"/>
  <c r="B9" i="5"/>
  <c r="B15" i="5" s="1"/>
  <c r="B19" i="5" s="1"/>
  <c r="V615" i="2"/>
  <c r="V704" i="2"/>
  <c r="V311" i="2"/>
  <c r="V12" i="2"/>
  <c r="V8" i="2"/>
  <c r="V275" i="2"/>
  <c r="V1097" i="2"/>
  <c r="V998" i="2"/>
  <c r="V871" i="2"/>
  <c r="V717" i="2"/>
  <c r="V507" i="2"/>
  <c r="V994" i="2"/>
  <c r="V977" i="2"/>
  <c r="V1104" i="2"/>
  <c r="V307" i="2"/>
  <c r="V155" i="2"/>
  <c r="V202" i="2"/>
  <c r="V803" i="2"/>
  <c r="V766" i="2"/>
  <c r="V23" i="2"/>
  <c r="V141" i="2"/>
  <c r="V201" i="2"/>
  <c r="V1081" i="2"/>
  <c r="V979" i="2"/>
  <c r="V810" i="2"/>
  <c r="V681" i="2"/>
  <c r="V459" i="2"/>
  <c r="V986" i="2"/>
  <c r="V969" i="2"/>
  <c r="V1096" i="2"/>
  <c r="V287" i="2"/>
  <c r="V131" i="2"/>
  <c r="V123" i="2"/>
  <c r="V795" i="2"/>
  <c r="V742" i="2"/>
  <c r="V15" i="2"/>
  <c r="V133" i="2"/>
  <c r="V669" i="2"/>
  <c r="V439" i="2"/>
  <c r="V1126" i="2"/>
  <c r="V1044" i="2"/>
  <c r="V949" i="2"/>
  <c r="V807" i="2"/>
  <c r="V1114" i="2"/>
  <c r="V335" i="2"/>
  <c r="V290" i="2"/>
  <c r="V597" i="2"/>
  <c r="V595" i="2"/>
  <c r="V589" i="2"/>
  <c r="V10" i="2"/>
  <c r="V4" i="2"/>
  <c r="V1132" i="2"/>
  <c r="V1035" i="2"/>
  <c r="V935" i="2"/>
  <c r="V757" i="2"/>
  <c r="V521" i="2"/>
  <c r="V297" i="2"/>
  <c r="V1070" i="2"/>
  <c r="V837" i="2"/>
  <c r="V815" i="2"/>
  <c r="V976" i="2"/>
  <c r="V1055" i="2"/>
  <c r="V1069" i="2"/>
  <c r="V634" i="2"/>
  <c r="V623" i="2"/>
  <c r="V520" i="2"/>
  <c r="V406" i="2"/>
  <c r="V524" i="2"/>
  <c r="V389" i="2"/>
  <c r="V1116" i="2"/>
  <c r="V1019" i="2"/>
  <c r="V874" i="2"/>
  <c r="V728" i="2"/>
  <c r="V465" i="2"/>
  <c r="V233" i="2"/>
  <c r="V1054" i="2"/>
  <c r="V826" i="2"/>
  <c r="V804" i="2"/>
  <c r="V968" i="2"/>
  <c r="V1047" i="2"/>
  <c r="V1045" i="2"/>
  <c r="V624" i="2"/>
  <c r="V611" i="2"/>
  <c r="V509" i="2"/>
  <c r="V398" i="2"/>
  <c r="V516" i="2"/>
  <c r="V255" i="2"/>
  <c r="V987" i="2"/>
  <c r="V821" i="2"/>
  <c r="V621" i="2"/>
  <c r="V362" i="2"/>
  <c r="V1123" i="2"/>
  <c r="V1057" i="2"/>
  <c r="V743" i="2"/>
  <c r="V649" i="2"/>
  <c r="V617" i="2"/>
  <c r="V813" i="2"/>
  <c r="V876" i="2"/>
  <c r="V873" i="2"/>
  <c r="V378" i="2"/>
  <c r="V391" i="2"/>
  <c r="V184" i="2"/>
  <c r="V150" i="2"/>
  <c r="V268" i="2"/>
  <c r="V938" i="2"/>
  <c r="V796" i="2"/>
  <c r="V576" i="2"/>
  <c r="V315" i="2"/>
  <c r="V1107" i="2"/>
  <c r="V1041" i="2"/>
  <c r="V706" i="2"/>
  <c r="V635" i="2"/>
  <c r="V599" i="2"/>
  <c r="V802" i="2"/>
  <c r="V844" i="2"/>
  <c r="V863" i="2"/>
  <c r="V367" i="2"/>
  <c r="V352" i="2"/>
  <c r="V168" i="2"/>
  <c r="V142" i="2"/>
  <c r="V20" i="2"/>
  <c r="V84" i="2"/>
  <c r="V148" i="2"/>
  <c r="V212" i="2"/>
  <c r="V276" i="2"/>
  <c r="V340" i="2"/>
  <c r="V404" i="2"/>
  <c r="V468" i="2"/>
  <c r="V532" i="2"/>
  <c r="V596" i="2"/>
  <c r="V21" i="2"/>
  <c r="V85" i="2"/>
  <c r="V149" i="2"/>
  <c r="V213" i="2"/>
  <c r="V277" i="2"/>
  <c r="V341" i="2"/>
  <c r="V405" i="2"/>
  <c r="V469" i="2"/>
  <c r="V30" i="2"/>
  <c r="V94" i="2"/>
  <c r="V158" i="2"/>
  <c r="V222" i="2"/>
  <c r="V286" i="2"/>
  <c r="V350" i="2"/>
  <c r="V414" i="2"/>
  <c r="V478" i="2"/>
  <c r="V542" i="2"/>
  <c r="V606" i="2"/>
  <c r="V31" i="2"/>
  <c r="V95" i="2"/>
  <c r="V159" i="2"/>
  <c r="V223" i="2"/>
  <c r="V9" i="2"/>
  <c r="V73" i="2"/>
  <c r="V80" i="2"/>
  <c r="V216" i="2"/>
  <c r="V330" i="2"/>
  <c r="V433" i="2"/>
  <c r="V530" i="2"/>
  <c r="V616" i="2"/>
  <c r="V686" i="2"/>
  <c r="V750" i="2"/>
  <c r="V814" i="2"/>
  <c r="V878" i="2"/>
  <c r="V942" i="2"/>
  <c r="V129" i="2"/>
  <c r="V257" i="2"/>
  <c r="V363" i="2"/>
  <c r="V466" i="2"/>
  <c r="V559" i="2"/>
  <c r="V643" i="2"/>
  <c r="V707" i="2"/>
  <c r="V771" i="2"/>
  <c r="V835" i="2"/>
  <c r="V899" i="2"/>
  <c r="V32" i="2"/>
  <c r="V178" i="2"/>
  <c r="V303" i="2"/>
  <c r="V403" i="2"/>
  <c r="V506" i="2"/>
  <c r="V592" i="2"/>
  <c r="V668" i="2"/>
  <c r="V732" i="2"/>
  <c r="V153" i="2"/>
  <c r="V343" i="2"/>
  <c r="V504" i="2"/>
  <c r="V641" i="2"/>
  <c r="V744" i="2"/>
  <c r="V831" i="2"/>
  <c r="V916" i="2"/>
  <c r="V989" i="2"/>
  <c r="V1053" i="2"/>
  <c r="V1117" i="2"/>
  <c r="V179" i="2"/>
  <c r="V208" i="2"/>
  <c r="V386" i="2"/>
  <c r="V544" i="2"/>
  <c r="V671" i="2"/>
  <c r="V769" i="2"/>
  <c r="V855" i="2"/>
  <c r="V940" i="2"/>
  <c r="V1007" i="2"/>
  <c r="V1071" i="2"/>
  <c r="V1135" i="2"/>
  <c r="V211" i="2"/>
  <c r="V28" i="2"/>
  <c r="V92" i="2"/>
  <c r="V156" i="2"/>
  <c r="V220" i="2"/>
  <c r="V284" i="2"/>
  <c r="V348" i="2"/>
  <c r="V412" i="2"/>
  <c r="V476" i="2"/>
  <c r="V540" i="2"/>
  <c r="V604" i="2"/>
  <c r="V29" i="2"/>
  <c r="V93" i="2"/>
  <c r="V157" i="2"/>
  <c r="V221" i="2"/>
  <c r="V285" i="2"/>
  <c r="V349" i="2"/>
  <c r="V413" i="2"/>
  <c r="V477" i="2"/>
  <c r="V38" i="2"/>
  <c r="V102" i="2"/>
  <c r="V166" i="2"/>
  <c r="V230" i="2"/>
  <c r="V294" i="2"/>
  <c r="V358" i="2"/>
  <c r="V422" i="2"/>
  <c r="V486" i="2"/>
  <c r="V550" i="2"/>
  <c r="V614" i="2"/>
  <c r="V39" i="2"/>
  <c r="V103" i="2"/>
  <c r="V167" i="2"/>
  <c r="V231" i="2"/>
  <c r="V17" i="2"/>
  <c r="V81" i="2"/>
  <c r="V99" i="2"/>
  <c r="V232" i="2"/>
  <c r="V344" i="2"/>
  <c r="V447" i="2"/>
  <c r="V541" i="2"/>
  <c r="V626" i="2"/>
  <c r="V694" i="2"/>
  <c r="V758" i="2"/>
  <c r="V822" i="2"/>
  <c r="V886" i="2"/>
  <c r="V950" i="2"/>
  <c r="V145" i="2"/>
  <c r="V273" i="2"/>
  <c r="V377" i="2"/>
  <c r="V480" i="2"/>
  <c r="V569" i="2"/>
  <c r="V651" i="2"/>
  <c r="V715" i="2"/>
  <c r="V779" i="2"/>
  <c r="V843" i="2"/>
  <c r="V907" i="2"/>
  <c r="V51" i="2"/>
  <c r="V194" i="2"/>
  <c r="V314" i="2"/>
  <c r="V417" i="2"/>
  <c r="V517" i="2"/>
  <c r="V602" i="2"/>
  <c r="V676" i="2"/>
  <c r="V740" i="2"/>
  <c r="V176" i="2"/>
  <c r="V361" i="2"/>
  <c r="V522" i="2"/>
  <c r="V655" i="2"/>
  <c r="V756" i="2"/>
  <c r="V841" i="2"/>
  <c r="V927" i="2"/>
  <c r="V997" i="2"/>
  <c r="V1061" i="2"/>
  <c r="V1125" i="2"/>
  <c r="V203" i="2"/>
  <c r="V234" i="2"/>
  <c r="V409" i="2"/>
  <c r="V561" i="2"/>
  <c r="V682" i="2"/>
  <c r="V780" i="2"/>
  <c r="V865" i="2"/>
  <c r="V951" i="2"/>
  <c r="V1015" i="2"/>
  <c r="V1079" i="2"/>
  <c r="V2" i="2"/>
  <c r="B6" i="5" s="1"/>
  <c r="V235" i="2"/>
  <c r="V36" i="2"/>
  <c r="V100" i="2"/>
  <c r="V164" i="2"/>
  <c r="V228" i="2"/>
  <c r="V292" i="2"/>
  <c r="V356" i="2"/>
  <c r="V420" i="2"/>
  <c r="V484" i="2"/>
  <c r="V548" i="2"/>
  <c r="V612" i="2"/>
  <c r="V37" i="2"/>
  <c r="V101" i="2"/>
  <c r="V165" i="2"/>
  <c r="V229" i="2"/>
  <c r="V293" i="2"/>
  <c r="V357" i="2"/>
  <c r="V421" i="2"/>
  <c r="V485" i="2"/>
  <c r="V46" i="2"/>
  <c r="V110" i="2"/>
  <c r="V174" i="2"/>
  <c r="V238" i="2"/>
  <c r="V302" i="2"/>
  <c r="V366" i="2"/>
  <c r="V430" i="2"/>
  <c r="V494" i="2"/>
  <c r="V558" i="2"/>
  <c r="V622" i="2"/>
  <c r="V47" i="2"/>
  <c r="V111" i="2"/>
  <c r="V44" i="2"/>
  <c r="V108" i="2"/>
  <c r="V172" i="2"/>
  <c r="V236" i="2"/>
  <c r="V300" i="2"/>
  <c r="V364" i="2"/>
  <c r="V428" i="2"/>
  <c r="V492" i="2"/>
  <c r="V556" i="2"/>
  <c r="V620" i="2"/>
  <c r="V45" i="2"/>
  <c r="V109" i="2"/>
  <c r="V173" i="2"/>
  <c r="V237" i="2"/>
  <c r="V301" i="2"/>
  <c r="V365" i="2"/>
  <c r="V429" i="2"/>
  <c r="V493" i="2"/>
  <c r="V54" i="2"/>
  <c r="V118" i="2"/>
  <c r="V182" i="2"/>
  <c r="V246" i="2"/>
  <c r="V310" i="2"/>
  <c r="V374" i="2"/>
  <c r="V438" i="2"/>
  <c r="V502" i="2"/>
  <c r="V566" i="2"/>
  <c r="V630" i="2"/>
  <c r="V55" i="2"/>
  <c r="V119" i="2"/>
  <c r="V183" i="2"/>
  <c r="V247" i="2"/>
  <c r="V33" i="2"/>
  <c r="V97" i="2"/>
  <c r="V136" i="2"/>
  <c r="V264" i="2"/>
  <c r="V369" i="2"/>
  <c r="V472" i="2"/>
  <c r="V562" i="2"/>
  <c r="V646" i="2"/>
  <c r="V710" i="2"/>
  <c r="V774" i="2"/>
  <c r="V838" i="2"/>
  <c r="V902" i="2"/>
  <c r="V27" i="2"/>
  <c r="V52" i="2"/>
  <c r="V180" i="2"/>
  <c r="V308" i="2"/>
  <c r="V436" i="2"/>
  <c r="V564" i="2"/>
  <c r="V53" i="2"/>
  <c r="V181" i="2"/>
  <c r="V309" i="2"/>
  <c r="V437" i="2"/>
  <c r="V62" i="2"/>
  <c r="V190" i="2"/>
  <c r="V318" i="2"/>
  <c r="V446" i="2"/>
  <c r="V574" i="2"/>
  <c r="V63" i="2"/>
  <c r="V175" i="2"/>
  <c r="V271" i="2"/>
  <c r="V105" i="2"/>
  <c r="V200" i="2"/>
  <c r="V394" i="2"/>
  <c r="V552" i="2"/>
  <c r="V670" i="2"/>
  <c r="V782" i="2"/>
  <c r="V870" i="2"/>
  <c r="V72" i="2"/>
  <c r="V241" i="2"/>
  <c r="V402" i="2"/>
  <c r="V527" i="2"/>
  <c r="V633" i="2"/>
  <c r="V731" i="2"/>
  <c r="V811" i="2"/>
  <c r="V891" i="2"/>
  <c r="V96" i="2"/>
  <c r="V258" i="2"/>
  <c r="V392" i="2"/>
  <c r="V538" i="2"/>
  <c r="V644" i="2"/>
  <c r="V724" i="2"/>
  <c r="V227" i="2"/>
  <c r="V443" i="2"/>
  <c r="V625" i="2"/>
  <c r="V777" i="2"/>
  <c r="V884" i="2"/>
  <c r="V981" i="2"/>
  <c r="V1077" i="2"/>
  <c r="V104" i="2"/>
  <c r="V185" i="2"/>
  <c r="V449" i="2"/>
  <c r="V629" i="2"/>
  <c r="V759" i="2"/>
  <c r="V887" i="2"/>
  <c r="V983" i="2"/>
  <c r="V1063" i="2"/>
  <c r="V75" i="2"/>
  <c r="V329" i="2"/>
  <c r="V490" i="2"/>
  <c r="V631" i="2"/>
  <c r="V736" i="2"/>
  <c r="V824" i="2"/>
  <c r="V909" i="2"/>
  <c r="V984" i="2"/>
  <c r="V1048" i="2"/>
  <c r="V1112" i="2"/>
  <c r="V138" i="2"/>
  <c r="V331" i="2"/>
  <c r="V496" i="2"/>
  <c r="V632" i="2"/>
  <c r="V737" i="2"/>
  <c r="V825" i="2"/>
  <c r="V911" i="2"/>
  <c r="V985" i="2"/>
  <c r="V192" i="2"/>
  <c r="V375" i="2"/>
  <c r="V533" i="2"/>
  <c r="V663" i="2"/>
  <c r="V762" i="2"/>
  <c r="V848" i="2"/>
  <c r="V933" i="2"/>
  <c r="V1002" i="2"/>
  <c r="V1066" i="2"/>
  <c r="V1130" i="2"/>
  <c r="V503" i="2"/>
  <c r="V800" i="2"/>
  <c r="V1006" i="2"/>
  <c r="V1134" i="2"/>
  <c r="V554" i="2"/>
  <c r="V832" i="2"/>
  <c r="V1025" i="2"/>
  <c r="V19" i="2"/>
  <c r="V557" i="2"/>
  <c r="V839" i="2"/>
  <c r="V1027" i="2"/>
  <c r="V24" i="2"/>
  <c r="V568" i="2"/>
  <c r="V840" i="2"/>
  <c r="V1028" i="2"/>
  <c r="V170" i="2"/>
  <c r="V619" i="2"/>
  <c r="V872" i="2"/>
  <c r="V1046" i="2"/>
  <c r="V256" i="2"/>
  <c r="V664" i="2"/>
  <c r="V904" i="2"/>
  <c r="V1065" i="2"/>
  <c r="V322" i="2"/>
  <c r="V703" i="2"/>
  <c r="V936" i="2"/>
  <c r="V1083" i="2"/>
  <c r="V385" i="2"/>
  <c r="V741" i="2"/>
  <c r="V964" i="2"/>
  <c r="V1100" i="2"/>
  <c r="V60" i="2"/>
  <c r="V188" i="2"/>
  <c r="V316" i="2"/>
  <c r="V444" i="2"/>
  <c r="V572" i="2"/>
  <c r="V61" i="2"/>
  <c r="V189" i="2"/>
  <c r="V317" i="2"/>
  <c r="V445" i="2"/>
  <c r="V70" i="2"/>
  <c r="V198" i="2"/>
  <c r="V326" i="2"/>
  <c r="V454" i="2"/>
  <c r="V582" i="2"/>
  <c r="V71" i="2"/>
  <c r="V191" i="2"/>
  <c r="V279" i="2"/>
  <c r="V16" i="2"/>
  <c r="V248" i="2"/>
  <c r="V408" i="2"/>
  <c r="V573" i="2"/>
  <c r="V678" i="2"/>
  <c r="V790" i="2"/>
  <c r="V894" i="2"/>
  <c r="V91" i="2"/>
  <c r="V288" i="2"/>
  <c r="V416" i="2"/>
  <c r="V537" i="2"/>
  <c r="V659" i="2"/>
  <c r="V739" i="2"/>
  <c r="V819" i="2"/>
  <c r="V915" i="2"/>
  <c r="V114" i="2"/>
  <c r="V274" i="2"/>
  <c r="V431" i="2"/>
  <c r="V549" i="2"/>
  <c r="V652" i="2"/>
  <c r="V748" i="2"/>
  <c r="V251" i="2"/>
  <c r="V464" i="2"/>
  <c r="V666" i="2"/>
  <c r="V788" i="2"/>
  <c r="V895" i="2"/>
  <c r="V1005" i="2"/>
  <c r="V1085" i="2"/>
  <c r="V128" i="2"/>
  <c r="V259" i="2"/>
  <c r="V471" i="2"/>
  <c r="V645" i="2"/>
  <c r="V791" i="2"/>
  <c r="V897" i="2"/>
  <c r="V991" i="2"/>
  <c r="V1087" i="2"/>
  <c r="V107" i="2"/>
  <c r="V347" i="2"/>
  <c r="V512" i="2"/>
  <c r="V647" i="2"/>
  <c r="V749" i="2"/>
  <c r="V834" i="2"/>
  <c r="V920" i="2"/>
  <c r="V992" i="2"/>
  <c r="V1056" i="2"/>
  <c r="V1120" i="2"/>
  <c r="V163" i="2"/>
  <c r="V351" i="2"/>
  <c r="V513" i="2"/>
  <c r="V648" i="2"/>
  <c r="V751" i="2"/>
  <c r="V836" i="2"/>
  <c r="V921" i="2"/>
  <c r="V993" i="2"/>
  <c r="V218" i="2"/>
  <c r="V395" i="2"/>
  <c r="V551" i="2"/>
  <c r="V674" i="2"/>
  <c r="V773" i="2"/>
  <c r="V858" i="2"/>
  <c r="V944" i="2"/>
  <c r="V1010" i="2"/>
  <c r="V1074" i="2"/>
  <c r="V1138" i="2"/>
  <c r="V553" i="2"/>
  <c r="V829" i="2"/>
  <c r="V1022" i="2"/>
  <c r="V122" i="2"/>
  <c r="V68" i="2"/>
  <c r="V196" i="2"/>
  <c r="V324" i="2"/>
  <c r="V452" i="2"/>
  <c r="V580" i="2"/>
  <c r="V69" i="2"/>
  <c r="V197" i="2"/>
  <c r="V325" i="2"/>
  <c r="V453" i="2"/>
  <c r="V78" i="2"/>
  <c r="V206" i="2"/>
  <c r="V334" i="2"/>
  <c r="V462" i="2"/>
  <c r="V590" i="2"/>
  <c r="V79" i="2"/>
  <c r="V199" i="2"/>
  <c r="V25" i="2"/>
  <c r="V35" i="2"/>
  <c r="V280" i="2"/>
  <c r="V419" i="2"/>
  <c r="V584" i="2"/>
  <c r="V702" i="2"/>
  <c r="V798" i="2"/>
  <c r="V910" i="2"/>
  <c r="V113" i="2"/>
  <c r="V299" i="2"/>
  <c r="V427" i="2"/>
  <c r="V547" i="2"/>
  <c r="V667" i="2"/>
  <c r="V747" i="2"/>
  <c r="V827" i="2"/>
  <c r="V923" i="2"/>
  <c r="V130" i="2"/>
  <c r="V289" i="2"/>
  <c r="V442" i="2"/>
  <c r="V560" i="2"/>
  <c r="V660" i="2"/>
  <c r="V11" i="2"/>
  <c r="V281" i="2"/>
  <c r="V487" i="2"/>
  <c r="V680" i="2"/>
  <c r="V799" i="2"/>
  <c r="V905" i="2"/>
  <c r="V1013" i="2"/>
  <c r="V1093" i="2"/>
  <c r="V154" i="2"/>
  <c r="V283" i="2"/>
  <c r="V489" i="2"/>
  <c r="V657" i="2"/>
  <c r="V801" i="2"/>
  <c r="V908" i="2"/>
  <c r="V999" i="2"/>
  <c r="V1095" i="2"/>
  <c r="V137" i="2"/>
  <c r="V370" i="2"/>
  <c r="V529" i="2"/>
  <c r="V658" i="2"/>
  <c r="V760" i="2"/>
  <c r="V845" i="2"/>
  <c r="V930" i="2"/>
  <c r="V1000" i="2"/>
  <c r="V1064" i="2"/>
  <c r="V1128" i="2"/>
  <c r="V187" i="2"/>
  <c r="V371" i="2"/>
  <c r="V531" i="2"/>
  <c r="V661" i="2"/>
  <c r="V761" i="2"/>
  <c r="V847" i="2"/>
  <c r="V932" i="2"/>
  <c r="V18" i="2"/>
  <c r="V243" i="2"/>
  <c r="V415" i="2"/>
  <c r="V567" i="2"/>
  <c r="V688" i="2"/>
  <c r="V784" i="2"/>
  <c r="V869" i="2"/>
  <c r="V954" i="2"/>
  <c r="V1018" i="2"/>
  <c r="V1082" i="2"/>
  <c r="V121" i="2"/>
  <c r="V593" i="2"/>
  <c r="V860" i="2"/>
  <c r="V1038" i="2"/>
  <c r="V224" i="2"/>
  <c r="V76" i="2"/>
  <c r="V204" i="2"/>
  <c r="V332" i="2"/>
  <c r="V460" i="2"/>
  <c r="V588" i="2"/>
  <c r="V77" i="2"/>
  <c r="V205" i="2"/>
  <c r="V333" i="2"/>
  <c r="V461" i="2"/>
  <c r="V86" i="2"/>
  <c r="V214" i="2"/>
  <c r="V342" i="2"/>
  <c r="V470" i="2"/>
  <c r="V598" i="2"/>
  <c r="V87" i="2"/>
  <c r="V207" i="2"/>
  <c r="V41" i="2"/>
  <c r="V58" i="2"/>
  <c r="V291" i="2"/>
  <c r="V458" i="2"/>
  <c r="V594" i="2"/>
  <c r="V718" i="2"/>
  <c r="V806" i="2"/>
  <c r="V918" i="2"/>
  <c r="V161" i="2"/>
  <c r="V313" i="2"/>
  <c r="V441" i="2"/>
  <c r="V579" i="2"/>
  <c r="V675" i="2"/>
  <c r="V755" i="2"/>
  <c r="V851" i="2"/>
  <c r="V931" i="2"/>
  <c r="V146" i="2"/>
  <c r="V328" i="2"/>
  <c r="V456" i="2"/>
  <c r="V570" i="2"/>
  <c r="V684" i="2"/>
  <c r="V26" i="2"/>
  <c r="V298" i="2"/>
  <c r="V539" i="2"/>
  <c r="V693" i="2"/>
  <c r="V809" i="2"/>
  <c r="V937" i="2"/>
  <c r="V1021" i="2"/>
  <c r="V1101" i="2"/>
  <c r="V40" i="2"/>
  <c r="V306" i="2"/>
  <c r="V511" i="2"/>
  <c r="V696" i="2"/>
  <c r="V812" i="2"/>
  <c r="V919" i="2"/>
  <c r="V1023" i="2"/>
  <c r="V1103" i="2"/>
  <c r="V160" i="2"/>
  <c r="V387" i="2"/>
  <c r="V545" i="2"/>
  <c r="V672" i="2"/>
  <c r="V770" i="2"/>
  <c r="V856" i="2"/>
  <c r="V941" i="2"/>
  <c r="V1008" i="2"/>
  <c r="V1072" i="2"/>
  <c r="V1136" i="2"/>
  <c r="V217" i="2"/>
  <c r="V393" i="2"/>
  <c r="V546" i="2"/>
  <c r="V673" i="2"/>
  <c r="V772" i="2"/>
  <c r="V857" i="2"/>
  <c r="V943" i="2"/>
  <c r="V48" i="2"/>
  <c r="V267" i="2"/>
  <c r="V435" i="2"/>
  <c r="V585" i="2"/>
  <c r="V701" i="2"/>
  <c r="V794" i="2"/>
  <c r="V880" i="2"/>
  <c r="V962" i="2"/>
  <c r="V1026" i="2"/>
  <c r="V1090" i="2"/>
  <c r="V219" i="2"/>
  <c r="V1084" i="2"/>
  <c r="V913" i="2"/>
  <c r="V639" i="2"/>
  <c r="V90" i="2"/>
  <c r="V1003" i="2"/>
  <c r="V765" i="2"/>
  <c r="V379" i="2"/>
  <c r="V1049" i="2"/>
  <c r="V849" i="2"/>
  <c r="V535" i="2"/>
  <c r="V1110" i="2"/>
  <c r="V956" i="2"/>
  <c r="V690" i="2"/>
  <c r="V250" i="2"/>
  <c r="V1012" i="2"/>
  <c r="V785" i="2"/>
  <c r="V418" i="2"/>
  <c r="V1091" i="2"/>
  <c r="V924" i="2"/>
  <c r="V650" i="2"/>
  <c r="V144" i="2"/>
  <c r="V1009" i="2"/>
  <c r="V776" i="2"/>
  <c r="V400" i="2"/>
  <c r="V988" i="2"/>
  <c r="V677" i="2"/>
  <c r="V1106" i="2"/>
  <c r="V978" i="2"/>
  <c r="V816" i="2"/>
  <c r="V618" i="2"/>
  <c r="V312" i="2"/>
  <c r="V961" i="2"/>
  <c r="V793" i="2"/>
  <c r="V583" i="2"/>
  <c r="V266" i="2"/>
  <c r="V1088" i="2"/>
  <c r="V960" i="2"/>
  <c r="V792" i="2"/>
  <c r="V578" i="2"/>
  <c r="V265" i="2"/>
  <c r="V1039" i="2"/>
  <c r="V833" i="2"/>
  <c r="V577" i="2"/>
  <c r="V106" i="2"/>
  <c r="V1037" i="2"/>
  <c r="V852" i="2"/>
  <c r="V575" i="2"/>
  <c r="V98" i="2"/>
  <c r="V613" i="2"/>
  <c r="V353" i="2"/>
  <c r="V947" i="2"/>
  <c r="V787" i="2"/>
  <c r="V601" i="2"/>
  <c r="V338" i="2"/>
  <c r="V934" i="2"/>
  <c r="V734" i="2"/>
  <c r="V497" i="2"/>
  <c r="V152" i="2"/>
  <c r="V239" i="2"/>
  <c r="V7" i="2"/>
  <c r="V390" i="2"/>
  <c r="V134" i="2"/>
  <c r="V381" i="2"/>
  <c r="V125" i="2"/>
  <c r="V508" i="2"/>
  <c r="V252" i="2"/>
  <c r="V1068" i="2"/>
  <c r="V882" i="2"/>
  <c r="V587" i="2"/>
  <c r="V1131" i="2"/>
  <c r="V982" i="2"/>
  <c r="V733" i="2"/>
  <c r="V272" i="2"/>
  <c r="V1033" i="2"/>
  <c r="V818" i="2"/>
  <c r="V482" i="2"/>
  <c r="V1094" i="2"/>
  <c r="V928" i="2"/>
  <c r="V656" i="2"/>
  <c r="V56" i="2"/>
  <c r="V996" i="2"/>
  <c r="V754" i="2"/>
  <c r="V360" i="2"/>
  <c r="V1075" i="2"/>
  <c r="V893" i="2"/>
  <c r="V607" i="2"/>
  <c r="V1137" i="2"/>
  <c r="V990" i="2"/>
  <c r="V745" i="2"/>
  <c r="V345" i="2"/>
  <c r="V966" i="2"/>
  <c r="V640" i="2"/>
  <c r="V1098" i="2"/>
  <c r="V970" i="2"/>
  <c r="V805" i="2"/>
  <c r="V600" i="2"/>
  <c r="V295" i="2"/>
  <c r="V953" i="2"/>
  <c r="V783" i="2"/>
  <c r="V565" i="2"/>
  <c r="V240" i="2"/>
  <c r="V1080" i="2"/>
  <c r="V952" i="2"/>
  <c r="V781" i="2"/>
  <c r="V563" i="2"/>
  <c r="V186" i="2"/>
  <c r="V1031" i="2"/>
  <c r="V823" i="2"/>
  <c r="V525" i="2"/>
  <c r="V67" i="2"/>
  <c r="V1029" i="2"/>
  <c r="V820" i="2"/>
  <c r="V555" i="2"/>
  <c r="V64" i="2"/>
  <c r="V581" i="2"/>
  <c r="V339" i="2"/>
  <c r="V939" i="2"/>
  <c r="V763" i="2"/>
  <c r="V591" i="2"/>
  <c r="V327" i="2"/>
  <c r="V926" i="2"/>
  <c r="V726" i="2"/>
  <c r="V483" i="2"/>
  <c r="V120" i="2"/>
  <c r="V215" i="2"/>
  <c r="V638" i="2"/>
  <c r="V382" i="2"/>
  <c r="V126" i="2"/>
  <c r="V373" i="2"/>
  <c r="V117" i="2"/>
  <c r="V500" i="2"/>
  <c r="V244" i="2"/>
  <c r="V1052" i="2"/>
  <c r="V853" i="2"/>
  <c r="V543" i="2"/>
  <c r="V1115" i="2"/>
  <c r="V963" i="2"/>
  <c r="V665" i="2"/>
  <c r="V195" i="2"/>
  <c r="V1017" i="2"/>
  <c r="V789" i="2"/>
  <c r="V425" i="2"/>
  <c r="V1078" i="2"/>
  <c r="V903" i="2"/>
  <c r="V571" i="2"/>
  <c r="V1124" i="2"/>
  <c r="V974" i="2"/>
  <c r="V720" i="2"/>
  <c r="V304" i="2"/>
  <c r="V1059" i="2"/>
  <c r="V864" i="2"/>
  <c r="V519" i="2"/>
  <c r="V1121" i="2"/>
  <c r="V971" i="2"/>
  <c r="V714" i="2"/>
  <c r="V296" i="2"/>
  <c r="V945" i="2"/>
  <c r="V448" i="2"/>
  <c r="V1058" i="2"/>
  <c r="V922" i="2"/>
  <c r="V752" i="2"/>
  <c r="V514" i="2"/>
  <c r="V169" i="2"/>
  <c r="V900" i="2"/>
  <c r="V725" i="2"/>
  <c r="V474" i="2"/>
  <c r="V112" i="2"/>
  <c r="V1040" i="2"/>
  <c r="V898" i="2"/>
  <c r="V722" i="2"/>
  <c r="V473" i="2"/>
  <c r="V42" i="2"/>
  <c r="V975" i="2"/>
  <c r="V746" i="2"/>
  <c r="V426" i="2"/>
  <c r="V66" i="2"/>
  <c r="V973" i="2"/>
  <c r="V767" i="2"/>
  <c r="V424" i="2"/>
  <c r="V716" i="2"/>
  <c r="V528" i="2"/>
  <c r="V242" i="2"/>
  <c r="V883" i="2"/>
  <c r="V723" i="2"/>
  <c r="V515" i="2"/>
  <c r="V225" i="2"/>
  <c r="V862" i="2"/>
  <c r="V662" i="2"/>
  <c r="V383" i="2"/>
  <c r="V89" i="2"/>
  <c r="V151" i="2"/>
  <c r="V534" i="2"/>
  <c r="V278" i="2"/>
  <c r="V22" i="2"/>
  <c r="V269" i="2"/>
  <c r="V13" i="2"/>
  <c r="V396" i="2"/>
  <c r="V140" i="2"/>
  <c r="V1036" i="2"/>
  <c r="V828" i="2"/>
  <c r="V499" i="2"/>
  <c r="V1099" i="2"/>
  <c r="V906" i="2"/>
  <c r="V627" i="2"/>
  <c r="V88" i="2"/>
  <c r="V1001" i="2"/>
  <c r="V764" i="2"/>
  <c r="V376" i="2"/>
  <c r="V1062" i="2"/>
  <c r="V842" i="2"/>
  <c r="V523" i="2"/>
  <c r="V1108" i="2"/>
  <c r="V955" i="2"/>
  <c r="V689" i="2"/>
  <c r="V249" i="2"/>
  <c r="V1043" i="2"/>
  <c r="V808" i="2"/>
  <c r="V463" i="2"/>
  <c r="V1105" i="2"/>
  <c r="V946" i="2"/>
  <c r="V679" i="2"/>
  <c r="V1118" i="2"/>
  <c r="V914" i="2"/>
  <c r="V399" i="2"/>
  <c r="V1050" i="2"/>
  <c r="V912" i="2"/>
  <c r="V738" i="2"/>
  <c r="V498" i="2"/>
  <c r="V139" i="2"/>
  <c r="V889" i="2"/>
  <c r="V712" i="2"/>
  <c r="V451" i="2"/>
  <c r="V82" i="2"/>
  <c r="V1032" i="2"/>
  <c r="V888" i="2"/>
  <c r="V711" i="2"/>
  <c r="V450" i="2"/>
  <c r="V1127" i="2"/>
  <c r="V967" i="2"/>
  <c r="V735" i="2"/>
  <c r="V368" i="2"/>
  <c r="V34" i="2"/>
  <c r="V965" i="2"/>
  <c r="V730" i="2"/>
  <c r="V401" i="2"/>
  <c r="V708" i="2"/>
  <c r="V495" i="2"/>
  <c r="V226" i="2"/>
  <c r="V875" i="2"/>
  <c r="V699" i="2"/>
  <c r="V505" i="2"/>
  <c r="V209" i="2"/>
  <c r="V854" i="2"/>
  <c r="V654" i="2"/>
  <c r="V355" i="2"/>
  <c r="V65" i="2"/>
  <c r="V143" i="2"/>
  <c r="V526" i="2"/>
  <c r="V270" i="2"/>
  <c r="V14" i="2"/>
  <c r="V261" i="2"/>
  <c r="V5" i="2"/>
  <c r="V388" i="2"/>
  <c r="V132" i="2"/>
  <c r="E4" i="5"/>
  <c r="V1020" i="2"/>
  <c r="V797" i="2"/>
  <c r="V440" i="2"/>
  <c r="V1067" i="2"/>
  <c r="V881" i="2"/>
  <c r="V586" i="2"/>
  <c r="V1129" i="2"/>
  <c r="V980" i="2"/>
  <c r="V729" i="2"/>
  <c r="V320" i="2"/>
  <c r="V1030" i="2"/>
  <c r="V817" i="2"/>
  <c r="V479" i="2"/>
  <c r="V1092" i="2"/>
  <c r="V925" i="2"/>
  <c r="V653" i="2"/>
  <c r="V147" i="2"/>
  <c r="V1011" i="2"/>
  <c r="V778" i="2"/>
  <c r="V407" i="2"/>
  <c r="V1089" i="2"/>
  <c r="V917" i="2"/>
  <c r="V642" i="2"/>
  <c r="V1102" i="2"/>
  <c r="V885" i="2"/>
  <c r="V337" i="2"/>
  <c r="V1042" i="2"/>
  <c r="V901" i="2"/>
  <c r="V727" i="2"/>
  <c r="V475" i="2"/>
  <c r="V115" i="2"/>
  <c r="V879" i="2"/>
  <c r="V698" i="2"/>
  <c r="V434" i="2"/>
  <c r="V43" i="2"/>
  <c r="V1024" i="2"/>
  <c r="V877" i="2"/>
  <c r="V697" i="2"/>
  <c r="V432" i="2"/>
  <c r="V1119" i="2"/>
  <c r="V959" i="2"/>
  <c r="V721" i="2"/>
  <c r="V346" i="2"/>
  <c r="V1133" i="2"/>
  <c r="V957" i="2"/>
  <c r="V719" i="2"/>
  <c r="V384" i="2"/>
  <c r="V700" i="2"/>
  <c r="V481" i="2"/>
  <c r="V210" i="2"/>
  <c r="V867" i="2"/>
  <c r="V691" i="2"/>
  <c r="V491" i="2"/>
  <c r="V193" i="2"/>
  <c r="V846" i="2"/>
  <c r="V637" i="2"/>
  <c r="V319" i="2"/>
  <c r="V57" i="2"/>
  <c r="V135" i="2"/>
  <c r="V518" i="2"/>
  <c r="V262" i="2"/>
  <c r="V6" i="2"/>
  <c r="V253" i="2"/>
  <c r="V636" i="2"/>
  <c r="V380" i="2"/>
  <c r="V124" i="2"/>
  <c r="L4" i="5"/>
  <c r="V1004" i="2"/>
  <c r="V768" i="2"/>
  <c r="V336" i="2"/>
  <c r="V1051" i="2"/>
  <c r="V850" i="2"/>
  <c r="V536" i="2"/>
  <c r="V1113" i="2"/>
  <c r="V958" i="2"/>
  <c r="V695" i="2"/>
  <c r="V171" i="2"/>
  <c r="V1014" i="2"/>
  <c r="V786" i="2"/>
  <c r="V423" i="2"/>
  <c r="V1076" i="2"/>
  <c r="V896" i="2"/>
  <c r="V609" i="2"/>
  <c r="V1139" i="2"/>
  <c r="V995" i="2"/>
  <c r="V753" i="2"/>
  <c r="V359" i="2"/>
  <c r="V1073" i="2"/>
  <c r="V892" i="2"/>
  <c r="V603" i="2"/>
  <c r="V1086" i="2"/>
  <c r="V775" i="2"/>
  <c r="V282" i="2"/>
  <c r="V1034" i="2"/>
  <c r="V890" i="2"/>
  <c r="V713" i="2"/>
  <c r="V457" i="2"/>
  <c r="V83" i="2"/>
  <c r="V868" i="2"/>
  <c r="V687" i="2"/>
  <c r="V411" i="2"/>
  <c r="V3" i="2"/>
  <c r="V1016" i="2"/>
  <c r="V866" i="2"/>
  <c r="V685" i="2"/>
  <c r="V410" i="2"/>
  <c r="V1111" i="2"/>
  <c r="V929" i="2"/>
  <c r="V709" i="2"/>
  <c r="V323" i="2"/>
  <c r="V1109" i="2"/>
  <c r="V948" i="2"/>
  <c r="V705" i="2"/>
  <c r="V321" i="2"/>
  <c r="V692" i="2"/>
  <c r="V467" i="2"/>
  <c r="V162" i="2"/>
  <c r="V859" i="2"/>
  <c r="V683" i="2"/>
  <c r="V455" i="2"/>
  <c r="V177" i="2"/>
  <c r="V830" i="2"/>
  <c r="V605" i="2"/>
  <c r="V305" i="2"/>
  <c r="V49" i="2"/>
  <c r="V127" i="2"/>
  <c r="V510" i="2"/>
  <c r="V254" i="2"/>
  <c r="V501" i="2"/>
  <c r="V245" i="2"/>
  <c r="V628" i="2"/>
  <c r="V372" i="2"/>
  <c r="V116" i="2"/>
  <c r="B5" i="5"/>
  <c r="B20" i="5" s="1"/>
  <c r="R5" i="5"/>
  <c r="Q12" i="5"/>
  <c r="Q7" i="5"/>
  <c r="R8" i="5"/>
  <c r="Q11" i="5"/>
  <c r="R7" i="5"/>
  <c r="Q14" i="5"/>
  <c r="R13" i="5"/>
  <c r="R11" i="5"/>
  <c r="Q6" i="5"/>
  <c r="R6" i="5"/>
  <c r="R14" i="5"/>
  <c r="Q9" i="5"/>
  <c r="Q13" i="5"/>
  <c r="Q5" i="5"/>
  <c r="R9" i="5"/>
  <c r="Q8" i="5"/>
  <c r="R10" i="5"/>
  <c r="Q10" i="5"/>
  <c r="R12" i="5"/>
  <c r="E10" i="5"/>
  <c r="E11" i="5"/>
  <c r="B16" i="5" l="1"/>
  <c r="B18" i="5" s="1"/>
  <c r="B17" i="5"/>
  <c r="H6" i="5"/>
  <c r="G6" i="5"/>
  <c r="G13" i="5"/>
  <c r="G8" i="5"/>
  <c r="G7" i="5"/>
  <c r="G10" i="5"/>
  <c r="H10" i="5"/>
  <c r="H7" i="5"/>
  <c r="H11" i="5"/>
  <c r="G12" i="5"/>
  <c r="H13" i="5"/>
  <c r="G11" i="5"/>
  <c r="H14" i="5"/>
  <c r="H9" i="5"/>
  <c r="G9" i="5"/>
  <c r="G5" i="5"/>
  <c r="G14" i="5"/>
  <c r="H12" i="5"/>
  <c r="H5" i="5"/>
  <c r="H8" i="5"/>
</calcChain>
</file>

<file path=xl/sharedStrings.xml><?xml version="1.0" encoding="utf-8"?>
<sst xmlns="http://schemas.openxmlformats.org/spreadsheetml/2006/main" count="10328" uniqueCount="2507">
  <si>
    <t>Number</t>
  </si>
  <si>
    <t>Registration</t>
  </si>
  <si>
    <t>Details</t>
  </si>
  <si>
    <t>Product</t>
  </si>
  <si>
    <t>Count</t>
  </si>
  <si>
    <t>Distance</t>
  </si>
  <si>
    <t>Unit</t>
  </si>
  <si>
    <t>Litres</t>
  </si>
  <si>
    <t>MPG</t>
  </si>
  <si>
    <t>0012</t>
  </si>
  <si>
    <t>FL65FBA</t>
  </si>
  <si>
    <t>Vauxhall CORSA  CDTI Car</t>
  </si>
  <si>
    <t>Diesel</t>
  </si>
  <si>
    <t>Miles</t>
  </si>
  <si>
    <t>0013</t>
  </si>
  <si>
    <t>MJ16XMY</t>
  </si>
  <si>
    <t>Vauxhall Mokka 4x4 Utility Vehicle</t>
  </si>
  <si>
    <t>0016</t>
  </si>
  <si>
    <t>BP16MKK</t>
  </si>
  <si>
    <t>Nissan Note Car</t>
  </si>
  <si>
    <t>0017</t>
  </si>
  <si>
    <t>YD16NAL</t>
  </si>
  <si>
    <t>Peugeot car Car</t>
  </si>
  <si>
    <t>0020</t>
  </si>
  <si>
    <t>YH17VCF</t>
  </si>
  <si>
    <t>Peugeot Expert Combi 9 seat MPV</t>
  </si>
  <si>
    <t>0023</t>
  </si>
  <si>
    <t>YE19FLS</t>
  </si>
  <si>
    <t>Volkswagon Caddy Maxi Welfare</t>
  </si>
  <si>
    <t>0024</t>
  </si>
  <si>
    <t>YG69UKP</t>
  </si>
  <si>
    <t xml:space="preserve">  Caddy Maxi Life Wav</t>
  </si>
  <si>
    <t>0025</t>
  </si>
  <si>
    <t>YG69UKR</t>
  </si>
  <si>
    <t xml:space="preserve">  Caddy Maxi Life Van</t>
  </si>
  <si>
    <t>0026</t>
  </si>
  <si>
    <t>YH69ZYT</t>
  </si>
  <si>
    <t>Volkswagen  Caddy Maxi Life Van</t>
  </si>
  <si>
    <t>0027</t>
  </si>
  <si>
    <t>YL69KJN</t>
  </si>
  <si>
    <t xml:space="preserve">  VW Caddy</t>
  </si>
  <si>
    <t>0028</t>
  </si>
  <si>
    <t>YL69KJV</t>
  </si>
  <si>
    <t>0029</t>
  </si>
  <si>
    <t>YL69KJO</t>
  </si>
  <si>
    <t>0030</t>
  </si>
  <si>
    <t>YL69KJU</t>
  </si>
  <si>
    <t>0031</t>
  </si>
  <si>
    <t>YG20GRF</t>
  </si>
  <si>
    <t>Volkswagen Caddy 7 seater</t>
  </si>
  <si>
    <t>0032</t>
  </si>
  <si>
    <t>YG20AHU</t>
  </si>
  <si>
    <t>0033</t>
  </si>
  <si>
    <t>YG20GRU</t>
  </si>
  <si>
    <t>0034</t>
  </si>
  <si>
    <t>YG20GRK</t>
  </si>
  <si>
    <t>0035</t>
  </si>
  <si>
    <t>YG20YGZ</t>
  </si>
  <si>
    <t>Volkswagen Maxi Life Caddy</t>
  </si>
  <si>
    <t>0036</t>
  </si>
  <si>
    <t>YG20WFN</t>
  </si>
  <si>
    <t>0037</t>
  </si>
  <si>
    <t>YH20JYF</t>
  </si>
  <si>
    <t>0038</t>
  </si>
  <si>
    <t>YG20WFT</t>
  </si>
  <si>
    <t>0039</t>
  </si>
  <si>
    <t>YG20WFR</t>
  </si>
  <si>
    <t>0040</t>
  </si>
  <si>
    <t>YG20YHC</t>
  </si>
  <si>
    <t>0041</t>
  </si>
  <si>
    <t>YH20JYE</t>
  </si>
  <si>
    <t>0042</t>
  </si>
  <si>
    <t>YG20WFM</t>
  </si>
  <si>
    <t>0043</t>
  </si>
  <si>
    <t>YH20OBP</t>
  </si>
  <si>
    <t>0044</t>
  </si>
  <si>
    <t>YC20LKE</t>
  </si>
  <si>
    <t>Volkwagon Caddy Life MPV</t>
  </si>
  <si>
    <t>0045</t>
  </si>
  <si>
    <t>YH20OEN</t>
  </si>
  <si>
    <t>0046</t>
  </si>
  <si>
    <t>YC20BPZ</t>
  </si>
  <si>
    <t>Volkswagon Caddy MPV Van Small</t>
  </si>
  <si>
    <t>0047</t>
  </si>
  <si>
    <t>YH20MVY</t>
  </si>
  <si>
    <t xml:space="preserve">Volkswagen Caddy </t>
  </si>
  <si>
    <t>0048</t>
  </si>
  <si>
    <t>YC20LKL</t>
  </si>
  <si>
    <t>0049</t>
  </si>
  <si>
    <t>YC20LKG</t>
  </si>
  <si>
    <t>Volkswagon Caddy life MPV</t>
  </si>
  <si>
    <t>0050</t>
  </si>
  <si>
    <t>YH20UTZ</t>
  </si>
  <si>
    <t>Volkswagon Caddy WAV Van Small</t>
  </si>
  <si>
    <t>0051</t>
  </si>
  <si>
    <t>YC20LKJ</t>
  </si>
  <si>
    <t>0052</t>
  </si>
  <si>
    <t>YC20LKK</t>
  </si>
  <si>
    <t>Volkswagon Caddy Life MPV</t>
  </si>
  <si>
    <t>0053</t>
  </si>
  <si>
    <t>YC20LKF</t>
  </si>
  <si>
    <t>0058</t>
  </si>
  <si>
    <t>YH69KWL</t>
  </si>
  <si>
    <t>0071</t>
  </si>
  <si>
    <t>YJ20CZT</t>
  </si>
  <si>
    <t xml:space="preserve">  Custom WAV</t>
  </si>
  <si>
    <t>0086</t>
  </si>
  <si>
    <t>YP59ZSK</t>
  </si>
  <si>
    <t>Ford Mondeo car Car</t>
  </si>
  <si>
    <t>0090P</t>
  </si>
  <si>
    <t>YF59YFE</t>
  </si>
  <si>
    <t xml:space="preserve"> Focus Ford</t>
  </si>
  <si>
    <t>0107</t>
  </si>
  <si>
    <t>YB13YCG</t>
  </si>
  <si>
    <t>Ford Fiesta 1.4 TDi Van Car Derived Van</t>
  </si>
  <si>
    <t>0108</t>
  </si>
  <si>
    <t>FP15SRO</t>
  </si>
  <si>
    <t>Vauxhall Corsa Small Van</t>
  </si>
  <si>
    <t>0109</t>
  </si>
  <si>
    <t>FP15STZ</t>
  </si>
  <si>
    <t>0111</t>
  </si>
  <si>
    <t>FP15SMV</t>
  </si>
  <si>
    <t>Vauxhall  Corsa Small Van</t>
  </si>
  <si>
    <t>0112</t>
  </si>
  <si>
    <t>FP15SOA</t>
  </si>
  <si>
    <t>0113</t>
  </si>
  <si>
    <t>FP15RKK</t>
  </si>
  <si>
    <t>0116</t>
  </si>
  <si>
    <t>FP15PWF</t>
  </si>
  <si>
    <t>0118</t>
  </si>
  <si>
    <t>FP15SKE</t>
  </si>
  <si>
    <t>0119</t>
  </si>
  <si>
    <t>FP15SVA</t>
  </si>
  <si>
    <t>0120</t>
  </si>
  <si>
    <t>FP15PVA</t>
  </si>
  <si>
    <t>0121</t>
  </si>
  <si>
    <t>FP15SJX</t>
  </si>
  <si>
    <t>Kilometres</t>
  </si>
  <si>
    <t>0122</t>
  </si>
  <si>
    <t>FP15RSX</t>
  </si>
  <si>
    <t>Volkswagen CR50 Welfare Treka Welfare Bus</t>
  </si>
  <si>
    <t>0202</t>
  </si>
  <si>
    <t>YJ16CVA</t>
  </si>
  <si>
    <t>0203</t>
  </si>
  <si>
    <t>YJ16CVX</t>
  </si>
  <si>
    <t>0204</t>
  </si>
  <si>
    <t>YJ16CVR</t>
  </si>
  <si>
    <t>0205</t>
  </si>
  <si>
    <t>YJ16CVS</t>
  </si>
  <si>
    <t>0206</t>
  </si>
  <si>
    <t>YJ16CVT</t>
  </si>
  <si>
    <t>0207</t>
  </si>
  <si>
    <t>YJ16CRZ</t>
  </si>
  <si>
    <t>0208</t>
  </si>
  <si>
    <t>YJ16CRX</t>
  </si>
  <si>
    <t>0209</t>
  </si>
  <si>
    <t>YJ16 CRV</t>
  </si>
  <si>
    <t>0210</t>
  </si>
  <si>
    <t>YJ16CUO</t>
  </si>
  <si>
    <t>0211</t>
  </si>
  <si>
    <t>YJ16CUC</t>
  </si>
  <si>
    <t>0212</t>
  </si>
  <si>
    <t>YJ16CVF</t>
  </si>
  <si>
    <t>0213</t>
  </si>
  <si>
    <t>YJ16CPY</t>
  </si>
  <si>
    <t>0214</t>
  </si>
  <si>
    <t>YJ16CPX</t>
  </si>
  <si>
    <t>0215</t>
  </si>
  <si>
    <t>YJ16CPZ</t>
  </si>
  <si>
    <t>0216</t>
  </si>
  <si>
    <t>YJ16CPU</t>
  </si>
  <si>
    <t>0217</t>
  </si>
  <si>
    <t>YJ16CPN</t>
  </si>
  <si>
    <t>0218</t>
  </si>
  <si>
    <t>YJ16CSZ</t>
  </si>
  <si>
    <t>0219</t>
  </si>
  <si>
    <t>YJ16CRF</t>
  </si>
  <si>
    <t>0220</t>
  </si>
  <si>
    <t>YJ16CSY</t>
  </si>
  <si>
    <t>0222</t>
  </si>
  <si>
    <t>YJ16CTV</t>
  </si>
  <si>
    <t>0223</t>
  </si>
  <si>
    <t>YJ16CSU</t>
  </si>
  <si>
    <t>0224</t>
  </si>
  <si>
    <t>YJ16CSV</t>
  </si>
  <si>
    <t>0225</t>
  </si>
  <si>
    <t>YJ16CUV</t>
  </si>
  <si>
    <t>0226</t>
  </si>
  <si>
    <t>YJ16CSF</t>
  </si>
  <si>
    <t>0228</t>
  </si>
  <si>
    <t>YJ16CPO</t>
  </si>
  <si>
    <t>0229</t>
  </si>
  <si>
    <t>YJ16CRK</t>
  </si>
  <si>
    <t>0230</t>
  </si>
  <si>
    <t>YJ66EAF</t>
  </si>
  <si>
    <t>0231</t>
  </si>
  <si>
    <t>YJ66EAA</t>
  </si>
  <si>
    <t>0232</t>
  </si>
  <si>
    <t>YJ66EAE</t>
  </si>
  <si>
    <t>0233</t>
  </si>
  <si>
    <t>YJ66EAC</t>
  </si>
  <si>
    <t>0234</t>
  </si>
  <si>
    <t>YJ66EAG</t>
  </si>
  <si>
    <t>0235</t>
  </si>
  <si>
    <t>YJ66EAM</t>
  </si>
  <si>
    <t>0236</t>
  </si>
  <si>
    <t>YJ66EAO</t>
  </si>
  <si>
    <t>0237</t>
  </si>
  <si>
    <t>YJ66EAP</t>
  </si>
  <si>
    <t>0238</t>
  </si>
  <si>
    <t>YJ66EAK</t>
  </si>
  <si>
    <t>0239</t>
  </si>
  <si>
    <t>YJ66EBF</t>
  </si>
  <si>
    <t>0240</t>
  </si>
  <si>
    <t>YJ66EBL</t>
  </si>
  <si>
    <t>0241</t>
  </si>
  <si>
    <t>YJ66EBK</t>
  </si>
  <si>
    <t>0242</t>
  </si>
  <si>
    <t>YJ66EBG</t>
  </si>
  <si>
    <t>0243</t>
  </si>
  <si>
    <t>YJ19BYX</t>
  </si>
  <si>
    <t xml:space="preserve">  Welfare Bus</t>
  </si>
  <si>
    <t>0244</t>
  </si>
  <si>
    <t>YJ19BYY</t>
  </si>
  <si>
    <t>0245</t>
  </si>
  <si>
    <t>YJ19BYZ</t>
  </si>
  <si>
    <t>0246</t>
  </si>
  <si>
    <t>YJ19BZA</t>
  </si>
  <si>
    <t>Volkswagon Crafter Welfare</t>
  </si>
  <si>
    <t>0247</t>
  </si>
  <si>
    <t>YJ19BZB</t>
  </si>
  <si>
    <t>0248</t>
  </si>
  <si>
    <t>YJ19BZC</t>
  </si>
  <si>
    <t>0249</t>
  </si>
  <si>
    <t>YJ69 BYV</t>
  </si>
  <si>
    <t>Volkswagen Crafter Welfare</t>
  </si>
  <si>
    <t>0250</t>
  </si>
  <si>
    <t>YJ69BYX</t>
  </si>
  <si>
    <t>0251</t>
  </si>
  <si>
    <t>YJ69BYZ</t>
  </si>
  <si>
    <t>0252</t>
  </si>
  <si>
    <t>YJ69BYW</t>
  </si>
  <si>
    <t>0253</t>
  </si>
  <si>
    <t>YJ69BYY</t>
  </si>
  <si>
    <t>Volkswagen Crafter Welfare Bus</t>
  </si>
  <si>
    <t>0254</t>
  </si>
  <si>
    <t>YJ69BZA</t>
  </si>
  <si>
    <t>0255</t>
  </si>
  <si>
    <t>YJ69BZC</t>
  </si>
  <si>
    <t xml:space="preserve">  Minibus</t>
  </si>
  <si>
    <t>0256</t>
  </si>
  <si>
    <t>YJ69BZB</t>
  </si>
  <si>
    <t>0257</t>
  </si>
  <si>
    <t>YJ69BYS</t>
  </si>
  <si>
    <t>0258</t>
  </si>
  <si>
    <t>YJ69BYR</t>
  </si>
  <si>
    <t>0259</t>
  </si>
  <si>
    <t>YJ69BYP</t>
  </si>
  <si>
    <t>0260</t>
  </si>
  <si>
    <t>YJ69BYO</t>
  </si>
  <si>
    <t>0261</t>
  </si>
  <si>
    <t>YJ69BYN</t>
  </si>
  <si>
    <t>0262</t>
  </si>
  <si>
    <t>YJ69BYM</t>
  </si>
  <si>
    <t>0263</t>
  </si>
  <si>
    <t>YJ69BYL</t>
  </si>
  <si>
    <t>0264</t>
  </si>
  <si>
    <t>YJ69BYK</t>
  </si>
  <si>
    <t>0265</t>
  </si>
  <si>
    <t>YJ69BZE</t>
  </si>
  <si>
    <t>0266</t>
  </si>
  <si>
    <t>YJ69BZD</t>
  </si>
  <si>
    <t>0267</t>
  </si>
  <si>
    <t>YJ69BVT</t>
  </si>
  <si>
    <t>0268</t>
  </si>
  <si>
    <t>YJ69BVW</t>
  </si>
  <si>
    <t>0269</t>
  </si>
  <si>
    <t>YJ69BVX</t>
  </si>
  <si>
    <t>0270</t>
  </si>
  <si>
    <t>YJ69BYF</t>
  </si>
  <si>
    <t>0271</t>
  </si>
  <si>
    <t>YJ69BYG</t>
  </si>
  <si>
    <t>0272</t>
  </si>
  <si>
    <t>YJ69BYH</t>
  </si>
  <si>
    <t>0273</t>
  </si>
  <si>
    <t>YJ69BVO</t>
  </si>
  <si>
    <t>0274</t>
  </si>
  <si>
    <t>YJ69BVP</t>
  </si>
  <si>
    <t>0275</t>
  </si>
  <si>
    <t>YJ69BVR</t>
  </si>
  <si>
    <t>0276</t>
  </si>
  <si>
    <t>YJ69BVS</t>
  </si>
  <si>
    <t>0277</t>
  </si>
  <si>
    <t>YJ69BYC</t>
  </si>
  <si>
    <t>0278</t>
  </si>
  <si>
    <t>YJ69BYB</t>
  </si>
  <si>
    <t>0279</t>
  </si>
  <si>
    <t>YJ69BYU</t>
  </si>
  <si>
    <t>0280</t>
  </si>
  <si>
    <t>YJ69BXX</t>
  </si>
  <si>
    <t>0281</t>
  </si>
  <si>
    <t>YJ69BVU</t>
  </si>
  <si>
    <t>0282</t>
  </si>
  <si>
    <t>YJ69BVV</t>
  </si>
  <si>
    <t>0283</t>
  </si>
  <si>
    <t>YJ69BVY</t>
  </si>
  <si>
    <t>0284</t>
  </si>
  <si>
    <t>YJ69BWH</t>
  </si>
  <si>
    <t>0285</t>
  </si>
  <si>
    <t>YJ69BWK</t>
  </si>
  <si>
    <t>0286</t>
  </si>
  <si>
    <t>YJ69BYD</t>
  </si>
  <si>
    <t>0287</t>
  </si>
  <si>
    <t>YJ69BXZ</t>
  </si>
  <si>
    <t>0287P</t>
  </si>
  <si>
    <t>YG14LFZ</t>
  </si>
  <si>
    <t>Volkswagen CR50 Welfare Mellor Welfare Bus</t>
  </si>
  <si>
    <t>0294</t>
  </si>
  <si>
    <t>YJ66EBM</t>
  </si>
  <si>
    <t>0295</t>
  </si>
  <si>
    <t>YJ66DSV</t>
  </si>
  <si>
    <t>0296</t>
  </si>
  <si>
    <t>YJ66EAW</t>
  </si>
  <si>
    <t>0297</t>
  </si>
  <si>
    <t>YJ66DSU</t>
  </si>
  <si>
    <t>0298</t>
  </si>
  <si>
    <t>SJ23HZX</t>
  </si>
  <si>
    <t>0299</t>
  </si>
  <si>
    <t>SJ72HWF</t>
  </si>
  <si>
    <t>0301</t>
  </si>
  <si>
    <t>WX25VDM</t>
  </si>
  <si>
    <t>0302</t>
  </si>
  <si>
    <t>WX25VDN</t>
  </si>
  <si>
    <t>0303</t>
  </si>
  <si>
    <t>WX25VDO</t>
  </si>
  <si>
    <t>0304</t>
  </si>
  <si>
    <t>WX25VDP</t>
  </si>
  <si>
    <t>0368</t>
  </si>
  <si>
    <t>YG59GBV</t>
  </si>
  <si>
    <t>Ford Transit 17st Minibus Minibus to 17 Seats</t>
  </si>
  <si>
    <t>0369</t>
  </si>
  <si>
    <t>YB60HYK</t>
  </si>
  <si>
    <t>0378</t>
  </si>
  <si>
    <t>MW17UZU</t>
  </si>
  <si>
    <t>Vauxhall Movano Bus Minibus to 17 Seats</t>
  </si>
  <si>
    <t>0381</t>
  </si>
  <si>
    <t>WA69BYN</t>
  </si>
  <si>
    <t>0383</t>
  </si>
  <si>
    <t>HX20BXS</t>
  </si>
  <si>
    <t>Peugeot Boxer Welfare</t>
  </si>
  <si>
    <t>0401</t>
  </si>
  <si>
    <t>SF68LJL</t>
  </si>
  <si>
    <t>Fiat Ducato Welfare</t>
  </si>
  <si>
    <t>0402</t>
  </si>
  <si>
    <t>SF68LJK</t>
  </si>
  <si>
    <t>0403</t>
  </si>
  <si>
    <t>LX65AUM</t>
  </si>
  <si>
    <t>Mercedes Sprinter Coachbuilt Coachbuilt Bus</t>
  </si>
  <si>
    <t>0404</t>
  </si>
  <si>
    <t>SF68LJJ</t>
  </si>
  <si>
    <t>0405</t>
  </si>
  <si>
    <t>SF68LJC</t>
  </si>
  <si>
    <t>0406</t>
  </si>
  <si>
    <t>SF68LJE</t>
  </si>
  <si>
    <t>0407</t>
  </si>
  <si>
    <t>SF68LHZ</t>
  </si>
  <si>
    <t>Fiat  Ducato Welfare</t>
  </si>
  <si>
    <t>0408</t>
  </si>
  <si>
    <t>SF68LHX</t>
  </si>
  <si>
    <t>0409</t>
  </si>
  <si>
    <t>SF68LJA</t>
  </si>
  <si>
    <t>Fiat Ducato welfare</t>
  </si>
  <si>
    <t>0410</t>
  </si>
  <si>
    <t>LX65AUN</t>
  </si>
  <si>
    <t>0411</t>
  </si>
  <si>
    <t>LX65AUH</t>
  </si>
  <si>
    <t>0412</t>
  </si>
  <si>
    <t>LX65AUJ</t>
  </si>
  <si>
    <t>0413</t>
  </si>
  <si>
    <t>LX65AUL</t>
  </si>
  <si>
    <t>0414</t>
  </si>
  <si>
    <t>LX65AUK</t>
  </si>
  <si>
    <t>0415</t>
  </si>
  <si>
    <t>LX65AUF</t>
  </si>
  <si>
    <t>0416</t>
  </si>
  <si>
    <t>LX65AUE</t>
  </si>
  <si>
    <t>0417</t>
  </si>
  <si>
    <t>LV16HLF</t>
  </si>
  <si>
    <t>0418</t>
  </si>
  <si>
    <t>LV16HLG</t>
  </si>
  <si>
    <t>0419</t>
  </si>
  <si>
    <t>LV16HLA</t>
  </si>
  <si>
    <t>0420</t>
  </si>
  <si>
    <t>LV16HLC</t>
  </si>
  <si>
    <t>0421</t>
  </si>
  <si>
    <t>LV16HLD</t>
  </si>
  <si>
    <t>0422</t>
  </si>
  <si>
    <t>LV16HLE</t>
  </si>
  <si>
    <t>0423</t>
  </si>
  <si>
    <t>LV16HLR</t>
  </si>
  <si>
    <t>0424</t>
  </si>
  <si>
    <t>SF68LHY</t>
  </si>
  <si>
    <t>Fiat ducato Welfare</t>
  </si>
  <si>
    <t>0425</t>
  </si>
  <si>
    <t>SF68LHW</t>
  </si>
  <si>
    <t>0426</t>
  </si>
  <si>
    <t>SF68LHT</t>
  </si>
  <si>
    <t>0427</t>
  </si>
  <si>
    <t>SF68LHP</t>
  </si>
  <si>
    <t>0428</t>
  </si>
  <si>
    <t>SF68LHU</t>
  </si>
  <si>
    <t>0429</t>
  </si>
  <si>
    <t>SF68LHR</t>
  </si>
  <si>
    <t>0430</t>
  </si>
  <si>
    <t>LX68BNA</t>
  </si>
  <si>
    <t>Mercedes  Sprinter Welfare</t>
  </si>
  <si>
    <t>0431</t>
  </si>
  <si>
    <t>LX68BNB</t>
  </si>
  <si>
    <t>Mercedes Sprinter Welfare</t>
  </si>
  <si>
    <t>0432</t>
  </si>
  <si>
    <t>LX68CZL</t>
  </si>
  <si>
    <t>Mercedes Sprinter Welfareq</t>
  </si>
  <si>
    <t>0433</t>
  </si>
  <si>
    <t>LX19BCE</t>
  </si>
  <si>
    <t>0434</t>
  </si>
  <si>
    <t>LX19AYJ</t>
  </si>
  <si>
    <t>0435</t>
  </si>
  <si>
    <t>LX19BBN</t>
  </si>
  <si>
    <t xml:space="preserve">  Coachbuilt Bus</t>
  </si>
  <si>
    <t>0436</t>
  </si>
  <si>
    <t>LX19AYO</t>
  </si>
  <si>
    <t>0437</t>
  </si>
  <si>
    <t>LX19BBJ</t>
  </si>
  <si>
    <t>0438</t>
  </si>
  <si>
    <t>LX19BAV</t>
  </si>
  <si>
    <t>0439</t>
  </si>
  <si>
    <t>LX19AYH</t>
  </si>
  <si>
    <t>0440</t>
  </si>
  <si>
    <t>LX19BBO</t>
  </si>
  <si>
    <t>0441</t>
  </si>
  <si>
    <t>LX19BCU</t>
  </si>
  <si>
    <t>0442</t>
  </si>
  <si>
    <t>OW24AYC</t>
  </si>
  <si>
    <t>0443</t>
  </si>
  <si>
    <t>OW24AYL</t>
  </si>
  <si>
    <t>0444</t>
  </si>
  <si>
    <t>OW24AYT</t>
  </si>
  <si>
    <t>0445</t>
  </si>
  <si>
    <t>OW24AYM</t>
  </si>
  <si>
    <t>0446</t>
  </si>
  <si>
    <t>LX66AHJ</t>
  </si>
  <si>
    <t>0447</t>
  </si>
  <si>
    <t>LX66 AFY</t>
  </si>
  <si>
    <t>0448</t>
  </si>
  <si>
    <t>LX66ALO</t>
  </si>
  <si>
    <t>0449</t>
  </si>
  <si>
    <t>LX66AMU</t>
  </si>
  <si>
    <t>0450</t>
  </si>
  <si>
    <t>LX66AJY</t>
  </si>
  <si>
    <t>0451</t>
  </si>
  <si>
    <t>LX66AHE</t>
  </si>
  <si>
    <t>0452</t>
  </si>
  <si>
    <t>SF68LHV</t>
  </si>
  <si>
    <t>0453</t>
  </si>
  <si>
    <t>LX68BJO</t>
  </si>
  <si>
    <t>0454</t>
  </si>
  <si>
    <t>LX68BTF</t>
  </si>
  <si>
    <t>0455</t>
  </si>
  <si>
    <t>LX68BOU</t>
  </si>
  <si>
    <t xml:space="preserve">  Welfare</t>
  </si>
  <si>
    <t>0456</t>
  </si>
  <si>
    <t>LX68BOV</t>
  </si>
  <si>
    <t>0457</t>
  </si>
  <si>
    <t>LX68BPE</t>
  </si>
  <si>
    <t>0458</t>
  </si>
  <si>
    <t>LX68BPF</t>
  </si>
  <si>
    <t>0459</t>
  </si>
  <si>
    <t>LX68BNY</t>
  </si>
  <si>
    <t>0460</t>
  </si>
  <si>
    <t>LX68BNL</t>
  </si>
  <si>
    <t>0461</t>
  </si>
  <si>
    <t>YK19GEW</t>
  </si>
  <si>
    <t>0462</t>
  </si>
  <si>
    <t>YK19NTH</t>
  </si>
  <si>
    <t>0463</t>
  </si>
  <si>
    <t>YK19NTS</t>
  </si>
  <si>
    <t>0464</t>
  </si>
  <si>
    <t>YK19NTZ</t>
  </si>
  <si>
    <t>0464P</t>
  </si>
  <si>
    <t>YJ64BJU</t>
  </si>
  <si>
    <t>0465</t>
  </si>
  <si>
    <t>YH19SEG</t>
  </si>
  <si>
    <t>0466</t>
  </si>
  <si>
    <t>YH19SFB</t>
  </si>
  <si>
    <t>0466P</t>
  </si>
  <si>
    <t>YJ64NYO</t>
  </si>
  <si>
    <t>0467</t>
  </si>
  <si>
    <t>YG19DUT</t>
  </si>
  <si>
    <t>0468</t>
  </si>
  <si>
    <t>YD19 ZUG</t>
  </si>
  <si>
    <t>0469</t>
  </si>
  <si>
    <t>YG19CEP</t>
  </si>
  <si>
    <t>0470</t>
  </si>
  <si>
    <t>YD19SDL</t>
  </si>
  <si>
    <t>0470P</t>
  </si>
  <si>
    <t>YJ64NYG</t>
  </si>
  <si>
    <t>0471</t>
  </si>
  <si>
    <t>YJ19BYW</t>
  </si>
  <si>
    <t>0472</t>
  </si>
  <si>
    <t>YJ19BYV</t>
  </si>
  <si>
    <t>0472D</t>
  </si>
  <si>
    <t>YJ64NYH</t>
  </si>
  <si>
    <t>0473</t>
  </si>
  <si>
    <t>YJ69BYA</t>
  </si>
  <si>
    <t>0474</t>
  </si>
  <si>
    <t>YK69YBC</t>
  </si>
  <si>
    <t>0475</t>
  </si>
  <si>
    <t>YB69RFN</t>
  </si>
  <si>
    <t xml:space="preserve">  </t>
  </si>
  <si>
    <t>0476</t>
  </si>
  <si>
    <t>SF22CWM</t>
  </si>
  <si>
    <t>0476P</t>
  </si>
  <si>
    <t>YJ64NYM</t>
  </si>
  <si>
    <t>0477</t>
  </si>
  <si>
    <t>SF22CWN</t>
  </si>
  <si>
    <t>0477P</t>
  </si>
  <si>
    <t>YJ64NYV</t>
  </si>
  <si>
    <t>0478</t>
  </si>
  <si>
    <t>SF22CWO</t>
  </si>
  <si>
    <t>0479</t>
  </si>
  <si>
    <t>SF22CWP</t>
  </si>
  <si>
    <t>0479P</t>
  </si>
  <si>
    <t>YJ64NYW</t>
  </si>
  <si>
    <t>0480</t>
  </si>
  <si>
    <t>SF22CWR</t>
  </si>
  <si>
    <t>0481</t>
  </si>
  <si>
    <t>SF22CWT</t>
  </si>
  <si>
    <t>0482</t>
  </si>
  <si>
    <t>SF22CWV</t>
  </si>
  <si>
    <t>0482P</t>
  </si>
  <si>
    <t>YJ64NZB</t>
  </si>
  <si>
    <t>0483</t>
  </si>
  <si>
    <t>0483P</t>
  </si>
  <si>
    <t>YJ64NZA</t>
  </si>
  <si>
    <t>0484</t>
  </si>
  <si>
    <t>SF22CWW</t>
  </si>
  <si>
    <t>0485</t>
  </si>
  <si>
    <t>SF22CWX</t>
  </si>
  <si>
    <t>0486</t>
  </si>
  <si>
    <t>OW24AYP</t>
  </si>
  <si>
    <t>0487</t>
  </si>
  <si>
    <t>OW24AYS</t>
  </si>
  <si>
    <t>0489</t>
  </si>
  <si>
    <t>YJ64NZO</t>
  </si>
  <si>
    <t>0490P</t>
  </si>
  <si>
    <t>YJ64NZN</t>
  </si>
  <si>
    <t>0497P</t>
  </si>
  <si>
    <t>YJ15BXE</t>
  </si>
  <si>
    <t>0498</t>
  </si>
  <si>
    <t>PO62JGV</t>
  </si>
  <si>
    <t>0499</t>
  </si>
  <si>
    <t>PO62JHU</t>
  </si>
  <si>
    <t>0529</t>
  </si>
  <si>
    <t>YC12UYR</t>
  </si>
  <si>
    <t>Ford Ranger 4x4 pickup 4x4 Utility Vehicle</t>
  </si>
  <si>
    <t>0530</t>
  </si>
  <si>
    <t>YC63CPN</t>
  </si>
  <si>
    <t>Ford Ranger 4 X 4</t>
  </si>
  <si>
    <t>0531</t>
  </si>
  <si>
    <t>YB63OJW</t>
  </si>
  <si>
    <t>Ford Ranger 4X4 Utility Vehicle</t>
  </si>
  <si>
    <t>0532</t>
  </si>
  <si>
    <t>YL17PHV</t>
  </si>
  <si>
    <t>Ford Ranger 4 X 4 Utility vehicle</t>
  </si>
  <si>
    <t>0533</t>
  </si>
  <si>
    <t>YL17OYR</t>
  </si>
  <si>
    <t xml:space="preserve">Ford  Ranger 4 x 4 </t>
  </si>
  <si>
    <t>0535</t>
  </si>
  <si>
    <t>YL17PLF</t>
  </si>
  <si>
    <t>Ford Ranger 4x4 CCpickup 4x4 Utility Vehicle</t>
  </si>
  <si>
    <t>0536</t>
  </si>
  <si>
    <t>YL17PHN</t>
  </si>
  <si>
    <t>0537</t>
  </si>
  <si>
    <t>YF69LWO</t>
  </si>
  <si>
    <t xml:space="preserve">  4 x 4 Vehicle</t>
  </si>
  <si>
    <t>0538</t>
  </si>
  <si>
    <t>YK20ZWF</t>
  </si>
  <si>
    <t>Toyota Hilux 4 X 4</t>
  </si>
  <si>
    <t>0539</t>
  </si>
  <si>
    <t>YK20ZWS</t>
  </si>
  <si>
    <t>0540</t>
  </si>
  <si>
    <t>YG20GHH</t>
  </si>
  <si>
    <t>0541</t>
  </si>
  <si>
    <t>FN24GBY</t>
  </si>
  <si>
    <t>Isuzu DMAX 4x4 Double Cab Pick Up</t>
  </si>
  <si>
    <t>0542</t>
  </si>
  <si>
    <t>FN24GCK</t>
  </si>
  <si>
    <t>0700</t>
  </si>
  <si>
    <t>MJ16XMA</t>
  </si>
  <si>
    <t>Vauxhall Corsa Car Derived Van</t>
  </si>
  <si>
    <t>0701</t>
  </si>
  <si>
    <t>MJ16XLX</t>
  </si>
  <si>
    <t>0702</t>
  </si>
  <si>
    <t>MJ16XLY</t>
  </si>
  <si>
    <t>0704</t>
  </si>
  <si>
    <t>MW16DBX</t>
  </si>
  <si>
    <t>0705</t>
  </si>
  <si>
    <t>MW16DCF</t>
  </si>
  <si>
    <t>0706</t>
  </si>
  <si>
    <t>MW16CZC</t>
  </si>
  <si>
    <t>0707</t>
  </si>
  <si>
    <t>MW16CZD</t>
  </si>
  <si>
    <t>0708</t>
  </si>
  <si>
    <t>MW16CYZ</t>
  </si>
  <si>
    <t>0709</t>
  </si>
  <si>
    <t>MW16CZA</t>
  </si>
  <si>
    <t>0710</t>
  </si>
  <si>
    <t>MW16DFA</t>
  </si>
  <si>
    <t>0711</t>
  </si>
  <si>
    <t>MW16CZU</t>
  </si>
  <si>
    <t>07/111</t>
  </si>
  <si>
    <t>YG57KDU</t>
  </si>
  <si>
    <t>John Deere 6530 Premium Tractor</t>
  </si>
  <si>
    <t>Hours</t>
  </si>
  <si>
    <t>0712</t>
  </si>
  <si>
    <t>MW16CZP</t>
  </si>
  <si>
    <t>0714</t>
  </si>
  <si>
    <t>MW16CZL</t>
  </si>
  <si>
    <t>0715</t>
  </si>
  <si>
    <t>MW16CZR</t>
  </si>
  <si>
    <t>0716</t>
  </si>
  <si>
    <t>MW16CZT</t>
  </si>
  <si>
    <t>0722</t>
  </si>
  <si>
    <t>MW66YYB</t>
  </si>
  <si>
    <t>0727</t>
  </si>
  <si>
    <t>MW16DCZ</t>
  </si>
  <si>
    <t>0728</t>
  </si>
  <si>
    <t>MW16DDU</t>
  </si>
  <si>
    <t>0729</t>
  </si>
  <si>
    <t>MW16DDV</t>
  </si>
  <si>
    <t>0730</t>
  </si>
  <si>
    <t>MW16CZZ</t>
  </si>
  <si>
    <t>0731</t>
  </si>
  <si>
    <t>MW16DDL</t>
  </si>
  <si>
    <t>0732</t>
  </si>
  <si>
    <t>MW16DBU</t>
  </si>
  <si>
    <t>0733</t>
  </si>
  <si>
    <t>MW16DDN</t>
  </si>
  <si>
    <t>0734</t>
  </si>
  <si>
    <t>MW16DBO</t>
  </si>
  <si>
    <t>0735</t>
  </si>
  <si>
    <t>MV17DDO</t>
  </si>
  <si>
    <t>0736</t>
  </si>
  <si>
    <t>MV17CPY</t>
  </si>
  <si>
    <t>0737</t>
  </si>
  <si>
    <t>MV17CPZ</t>
  </si>
  <si>
    <t>0740</t>
  </si>
  <si>
    <t>MW16DCY</t>
  </si>
  <si>
    <t>0746</t>
  </si>
  <si>
    <t>MW16DDZ</t>
  </si>
  <si>
    <t>Vauxhall Corsa small van</t>
  </si>
  <si>
    <t>0748</t>
  </si>
  <si>
    <t>MW16CZY</t>
  </si>
  <si>
    <t>0753</t>
  </si>
  <si>
    <t>MW16DDJ</t>
  </si>
  <si>
    <t>0754</t>
  </si>
  <si>
    <t>MW16DAU</t>
  </si>
  <si>
    <t>09/81</t>
  </si>
  <si>
    <t>chipper timberwolf Chipper</t>
  </si>
  <si>
    <t>Gasoil</t>
  </si>
  <si>
    <t>09/88</t>
  </si>
  <si>
    <t>YJ10FNO</t>
  </si>
  <si>
    <t>John Deere JD6430 Tractor</t>
  </si>
  <si>
    <t>09/89</t>
  </si>
  <si>
    <t>YJ10FND</t>
  </si>
  <si>
    <t>John Deere 6430 Tractor</t>
  </si>
  <si>
    <t>1010</t>
  </si>
  <si>
    <t>YB63UOW</t>
  </si>
  <si>
    <t>Peugeot Partner Van Small</t>
  </si>
  <si>
    <t>10/10</t>
  </si>
  <si>
    <t>NX10DXP</t>
  </si>
  <si>
    <t>Valtra Valmet N111E Tractor</t>
  </si>
  <si>
    <t>1017</t>
  </si>
  <si>
    <t>YB63UPF</t>
  </si>
  <si>
    <t>1018</t>
  </si>
  <si>
    <t>YB63UPG</t>
  </si>
  <si>
    <t>1024</t>
  </si>
  <si>
    <t>YB63UPN</t>
  </si>
  <si>
    <t>1043</t>
  </si>
  <si>
    <t>YG14USC</t>
  </si>
  <si>
    <t>1045</t>
  </si>
  <si>
    <t>YD14UWP</t>
  </si>
  <si>
    <t>Peugeot Bipper Van Small</t>
  </si>
  <si>
    <t>10/46</t>
  </si>
  <si>
    <t>YJ11FGD</t>
  </si>
  <si>
    <t>John Deere 5090R Tractor</t>
  </si>
  <si>
    <t>1047</t>
  </si>
  <si>
    <t>YG64RYA</t>
  </si>
  <si>
    <t>Volkswagen Caddy C20 TDI MAXI Van Small</t>
  </si>
  <si>
    <t>10/47</t>
  </si>
  <si>
    <t>YJ11FGU</t>
  </si>
  <si>
    <t>10/48</t>
  </si>
  <si>
    <t>YJ11FGP</t>
  </si>
  <si>
    <t>1049</t>
  </si>
  <si>
    <t>YH64YYU</t>
  </si>
  <si>
    <t>Volkswagen Caddy C20 TDI Maxi Van Small</t>
  </si>
  <si>
    <t>10/49</t>
  </si>
  <si>
    <t>YJ11FGC</t>
  </si>
  <si>
    <t>10/50</t>
  </si>
  <si>
    <t>YJ11FGN</t>
  </si>
  <si>
    <t>10/52</t>
  </si>
  <si>
    <t>YJ11FGE</t>
  </si>
  <si>
    <t>10/53</t>
  </si>
  <si>
    <t>YJ11FGO</t>
  </si>
  <si>
    <t>10/54</t>
  </si>
  <si>
    <t>YJ11FGK</t>
  </si>
  <si>
    <t>1055</t>
  </si>
  <si>
    <t>YG14RZR</t>
  </si>
  <si>
    <t>10/55</t>
  </si>
  <si>
    <t>YJ11FGF</t>
  </si>
  <si>
    <t>10/56</t>
  </si>
  <si>
    <t>YJ11FLZ</t>
  </si>
  <si>
    <t>1065</t>
  </si>
  <si>
    <t>YG14URY</t>
  </si>
  <si>
    <t>1068</t>
  </si>
  <si>
    <t>YB15WDT</t>
  </si>
  <si>
    <t>1071</t>
  </si>
  <si>
    <t>YB15ODV</t>
  </si>
  <si>
    <t>1072</t>
  </si>
  <si>
    <t>YB15OEE</t>
  </si>
  <si>
    <t>1073</t>
  </si>
  <si>
    <t>YB15OEC</t>
  </si>
  <si>
    <t>1074</t>
  </si>
  <si>
    <t>YB15OEF</t>
  </si>
  <si>
    <t xml:space="preserve"> Peugeout Partner </t>
  </si>
  <si>
    <t>1076</t>
  </si>
  <si>
    <t>YJ65XUR</t>
  </si>
  <si>
    <t>Ford Transit Courier Van Small</t>
  </si>
  <si>
    <t>1077</t>
  </si>
  <si>
    <t>YJ65XTG</t>
  </si>
  <si>
    <t>1078</t>
  </si>
  <si>
    <t>YJ65XXD</t>
  </si>
  <si>
    <t>1079</t>
  </si>
  <si>
    <t>YC65MTF</t>
  </si>
  <si>
    <t>1082</t>
  </si>
  <si>
    <t>YC65MUU</t>
  </si>
  <si>
    <t>1083</t>
  </si>
  <si>
    <t>YC65MVA</t>
  </si>
  <si>
    <t>1100</t>
  </si>
  <si>
    <t>FL65EFY</t>
  </si>
  <si>
    <t>Vauxhall COMBO Van Small</t>
  </si>
  <si>
    <t>1101</t>
  </si>
  <si>
    <t>YJ65HWN</t>
  </si>
  <si>
    <t>11/14</t>
  </si>
  <si>
    <t>PO11BNU</t>
  </si>
  <si>
    <t>Kubota B2530 Compact Tractor</t>
  </si>
  <si>
    <t>11/15</t>
  </si>
  <si>
    <t>PO11BNV</t>
  </si>
  <si>
    <t>Ford Connect T230LWB van Van Small</t>
  </si>
  <si>
    <t>1142</t>
  </si>
  <si>
    <t>YF13VBN</t>
  </si>
  <si>
    <t>1201</t>
  </si>
  <si>
    <t>YA16FXG</t>
  </si>
  <si>
    <t>1202</t>
  </si>
  <si>
    <t>YL16RZT</t>
  </si>
  <si>
    <t>1203</t>
  </si>
  <si>
    <t>YL16RZU</t>
  </si>
  <si>
    <t>1204</t>
  </si>
  <si>
    <t>YL16RZV</t>
  </si>
  <si>
    <t>1206</t>
  </si>
  <si>
    <t>YL16RZX</t>
  </si>
  <si>
    <t>1207</t>
  </si>
  <si>
    <t>YL16ZFV</t>
  </si>
  <si>
    <t>1208</t>
  </si>
  <si>
    <t>YL16ZFX</t>
  </si>
  <si>
    <t>1209</t>
  </si>
  <si>
    <t>YL16ZFW</t>
  </si>
  <si>
    <t>1210</t>
  </si>
  <si>
    <t>YL16ZFY</t>
  </si>
  <si>
    <t>1216</t>
  </si>
  <si>
    <t>YF16MYG</t>
  </si>
  <si>
    <t>1217</t>
  </si>
  <si>
    <t>YF16MYD</t>
  </si>
  <si>
    <t>1218</t>
  </si>
  <si>
    <t>YF16MYB</t>
  </si>
  <si>
    <t>1219</t>
  </si>
  <si>
    <t>YF16MYA</t>
  </si>
  <si>
    <t>1221</t>
  </si>
  <si>
    <t>YF16ZYG</t>
  </si>
  <si>
    <t>1222</t>
  </si>
  <si>
    <t>YF16ZYK</t>
  </si>
  <si>
    <t>1224</t>
  </si>
  <si>
    <t>YF16ZYJ</t>
  </si>
  <si>
    <t>1225</t>
  </si>
  <si>
    <t>YF16ZYO</t>
  </si>
  <si>
    <t>1226</t>
  </si>
  <si>
    <t>YA16FXB</t>
  </si>
  <si>
    <t>1227</t>
  </si>
  <si>
    <t>YA16FWY</t>
  </si>
  <si>
    <t>1228</t>
  </si>
  <si>
    <t>YA16FWZ</t>
  </si>
  <si>
    <t>1229</t>
  </si>
  <si>
    <t>YA16FXF</t>
  </si>
  <si>
    <t>1230</t>
  </si>
  <si>
    <t>YK16DED</t>
  </si>
  <si>
    <t>1233</t>
  </si>
  <si>
    <t>YK16DEF</t>
  </si>
  <si>
    <t>1234</t>
  </si>
  <si>
    <t>YK16DFS</t>
  </si>
  <si>
    <t>Peugeot Partner Small Van</t>
  </si>
  <si>
    <t>1235</t>
  </si>
  <si>
    <t>YK16DET</t>
  </si>
  <si>
    <t>1236</t>
  </si>
  <si>
    <t>YD16NBC</t>
  </si>
  <si>
    <t>1242</t>
  </si>
  <si>
    <t>YA19TMY</t>
  </si>
  <si>
    <t>peugeot Partner Van Small</t>
  </si>
  <si>
    <t>1243</t>
  </si>
  <si>
    <t>YA19TNE</t>
  </si>
  <si>
    <t>1244</t>
  </si>
  <si>
    <t>YA19TMZ</t>
  </si>
  <si>
    <t>12/49</t>
  </si>
  <si>
    <t>PO13CCA</t>
  </si>
  <si>
    <t>Kubota F2880 Ride On Mower</t>
  </si>
  <si>
    <t>12/61</t>
  </si>
  <si>
    <t>PO13CCV</t>
  </si>
  <si>
    <t>Kubota B2530 Ride On Mower</t>
  </si>
  <si>
    <t>12/66</t>
  </si>
  <si>
    <t>PO13CCK</t>
  </si>
  <si>
    <t>Kubota B3030 Compact Tractor</t>
  </si>
  <si>
    <t>12/67</t>
  </si>
  <si>
    <t>PE13HLF</t>
  </si>
  <si>
    <t>Toro LT3340 Ride on Mower</t>
  </si>
  <si>
    <t>12/70</t>
  </si>
  <si>
    <t>PE13HLH</t>
  </si>
  <si>
    <t>12/73</t>
  </si>
  <si>
    <t>PE13HLK</t>
  </si>
  <si>
    <t>12/74</t>
  </si>
  <si>
    <t>PE13HLA</t>
  </si>
  <si>
    <t>Toro LT3340 Ride On  Mower</t>
  </si>
  <si>
    <t>12/77</t>
  </si>
  <si>
    <t>PE13HLP</t>
  </si>
  <si>
    <t>12/79</t>
  </si>
  <si>
    <t>PE13HLV</t>
  </si>
  <si>
    <t>Toro LT3340 Ride On Mower</t>
  </si>
  <si>
    <t>12/82</t>
  </si>
  <si>
    <t>PE13HMG</t>
  </si>
  <si>
    <t>12/83</t>
  </si>
  <si>
    <t>PE13HLZ</t>
  </si>
  <si>
    <t>12/84</t>
  </si>
  <si>
    <t>PE13HLX</t>
  </si>
  <si>
    <t>Toro LT3340 Ride on Cylinder</t>
  </si>
  <si>
    <t>12/85</t>
  </si>
  <si>
    <t>PE13HMC</t>
  </si>
  <si>
    <t>Toro LT324 Cylinder ride on</t>
  </si>
  <si>
    <t>12/86</t>
  </si>
  <si>
    <t>PE13HLW</t>
  </si>
  <si>
    <t>12/87</t>
  </si>
  <si>
    <t>PE13HMH</t>
  </si>
  <si>
    <t>12/88</t>
  </si>
  <si>
    <t>PE13HLY</t>
  </si>
  <si>
    <t>12/9</t>
  </si>
  <si>
    <t>Volvo EC27C 3T Excavator 360</t>
  </si>
  <si>
    <t>12/90</t>
  </si>
  <si>
    <t>PE13HMD</t>
  </si>
  <si>
    <t>Torro LT3340 Ride on Mower</t>
  </si>
  <si>
    <t>12/91</t>
  </si>
  <si>
    <t>PO13CCY</t>
  </si>
  <si>
    <t>KUBOTA B2530 COMPACT TRACTOR</t>
  </si>
  <si>
    <t>12/92</t>
  </si>
  <si>
    <t>John Deere 2500B Ride on Mower</t>
  </si>
  <si>
    <t>12/93</t>
  </si>
  <si>
    <t>12/96</t>
  </si>
  <si>
    <t>John Deere HPX Gator 4x4 Utility Vehicle</t>
  </si>
  <si>
    <t>12/98</t>
  </si>
  <si>
    <t>PE13HMF</t>
  </si>
  <si>
    <t>12/99</t>
  </si>
  <si>
    <t>Volvo EC15C Excavator</t>
  </si>
  <si>
    <t>13/14</t>
  </si>
  <si>
    <t>YJ13COH</t>
  </si>
  <si>
    <t>13/15</t>
  </si>
  <si>
    <t>YJ13CPN</t>
  </si>
  <si>
    <t>13/16</t>
  </si>
  <si>
    <t>YJ13CPE</t>
  </si>
  <si>
    <t>13/17</t>
  </si>
  <si>
    <t>YJ13CPF</t>
  </si>
  <si>
    <t>13/18</t>
  </si>
  <si>
    <t>YJ13COU</t>
  </si>
  <si>
    <t>13/19</t>
  </si>
  <si>
    <t>YJ13COA</t>
  </si>
  <si>
    <t>13/20</t>
  </si>
  <si>
    <t>YJ13CPK</t>
  </si>
  <si>
    <t>13/22</t>
  </si>
  <si>
    <t>YJ13CPO</t>
  </si>
  <si>
    <t>John Deere 5090 Tractor</t>
  </si>
  <si>
    <t>13/23</t>
  </si>
  <si>
    <t>YJ13CPV</t>
  </si>
  <si>
    <t>13/264</t>
  </si>
  <si>
    <t>YH63MVV</t>
  </si>
  <si>
    <t>John Deree Gator Utility Vehicle</t>
  </si>
  <si>
    <t>13/269</t>
  </si>
  <si>
    <t>YH63MVR</t>
  </si>
  <si>
    <t>John Deere Gator ATV</t>
  </si>
  <si>
    <t>13/272</t>
  </si>
  <si>
    <t>YH63MVT</t>
  </si>
  <si>
    <t>John Deere HPX 4x4 Utility Vehicle</t>
  </si>
  <si>
    <t>13/275</t>
  </si>
  <si>
    <t>John Deere 2653B Ride on Mower</t>
  </si>
  <si>
    <t>13/283</t>
  </si>
  <si>
    <t>13/286</t>
  </si>
  <si>
    <t>Torro 3100D Ride on Mower</t>
  </si>
  <si>
    <t>13/288</t>
  </si>
  <si>
    <t>Toro Reelmaster 3100D Ride on Mower</t>
  </si>
  <si>
    <t>13/319</t>
  </si>
  <si>
    <t>John Deere 2653B Ride On Mower</t>
  </si>
  <si>
    <t>13/366</t>
  </si>
  <si>
    <t>13/381</t>
  </si>
  <si>
    <t>PO14BGK</t>
  </si>
  <si>
    <t>13/453</t>
  </si>
  <si>
    <t>PO14BGE</t>
  </si>
  <si>
    <t>Kubota B2530 Ride on Mower</t>
  </si>
  <si>
    <t>13/516</t>
  </si>
  <si>
    <t>YR63SWF</t>
  </si>
  <si>
    <t>JCB 524-50 Loadall</t>
  </si>
  <si>
    <t>13/58</t>
  </si>
  <si>
    <t>PE63OPS</t>
  </si>
  <si>
    <t>Kubota BX2350 Ride On Mower</t>
  </si>
  <si>
    <t>1359</t>
  </si>
  <si>
    <t>YL66UWA</t>
  </si>
  <si>
    <t>Volkswagen Tranporter 4 Motion Van Medium</t>
  </si>
  <si>
    <t>1360</t>
  </si>
  <si>
    <t>YL66UVU</t>
  </si>
  <si>
    <t>13/69</t>
  </si>
  <si>
    <t>YR63RWK</t>
  </si>
  <si>
    <t>JCB 2CX JCB</t>
  </si>
  <si>
    <t>1401</t>
  </si>
  <si>
    <t>YG69JNZ</t>
  </si>
  <si>
    <t xml:space="preserve">  Van Medium</t>
  </si>
  <si>
    <t>1402</t>
  </si>
  <si>
    <t>YG69JNK</t>
  </si>
  <si>
    <t>1403</t>
  </si>
  <si>
    <t>YG69JLX</t>
  </si>
  <si>
    <t>1404</t>
  </si>
  <si>
    <t>YG69JKK</t>
  </si>
  <si>
    <t>1405</t>
  </si>
  <si>
    <t>YG69JNN</t>
  </si>
  <si>
    <t>1406</t>
  </si>
  <si>
    <t>YG69JNV</t>
  </si>
  <si>
    <t>1407</t>
  </si>
  <si>
    <t>YG69JLU</t>
  </si>
  <si>
    <t>1408</t>
  </si>
  <si>
    <t>YG69JKN</t>
  </si>
  <si>
    <t>1409</t>
  </si>
  <si>
    <t>YG69JLO</t>
  </si>
  <si>
    <t>1410</t>
  </si>
  <si>
    <t>YG69JKZ</t>
  </si>
  <si>
    <t>1411</t>
  </si>
  <si>
    <t>YG69JMO</t>
  </si>
  <si>
    <t>1412</t>
  </si>
  <si>
    <t>YG69JNJ</t>
  </si>
  <si>
    <t>1413</t>
  </si>
  <si>
    <t>YG69JNL</t>
  </si>
  <si>
    <t>1414</t>
  </si>
  <si>
    <t>YG69JKF</t>
  </si>
  <si>
    <t>1415</t>
  </si>
  <si>
    <t>YG69JKO</t>
  </si>
  <si>
    <t>1416</t>
  </si>
  <si>
    <t>YG69JMV</t>
  </si>
  <si>
    <t>Ford Transit 290 Custom Van Medium</t>
  </si>
  <si>
    <t>1417</t>
  </si>
  <si>
    <t>YG69JNU</t>
  </si>
  <si>
    <t>1418</t>
  </si>
  <si>
    <t>YG69JKU</t>
  </si>
  <si>
    <t>1419</t>
  </si>
  <si>
    <t>YG69JKV</t>
  </si>
  <si>
    <t>1420</t>
  </si>
  <si>
    <t>YG69JOA</t>
  </si>
  <si>
    <t>1421</t>
  </si>
  <si>
    <t>YG69JOH</t>
  </si>
  <si>
    <t>1422</t>
  </si>
  <si>
    <t>YG69JKY</t>
  </si>
  <si>
    <t>1423</t>
  </si>
  <si>
    <t>YG69JNF</t>
  </si>
  <si>
    <t>1424</t>
  </si>
  <si>
    <t>YG69JNX</t>
  </si>
  <si>
    <t>1425</t>
  </si>
  <si>
    <t>YG69JMX</t>
  </si>
  <si>
    <t>1426</t>
  </si>
  <si>
    <t>YG69JNO</t>
  </si>
  <si>
    <t>1427</t>
  </si>
  <si>
    <t>YG69JKX</t>
  </si>
  <si>
    <t>1428</t>
  </si>
  <si>
    <t>YG69JLV</t>
  </si>
  <si>
    <t>Ford Transit 290 Van Medium</t>
  </si>
  <si>
    <t>1429</t>
  </si>
  <si>
    <t>1430</t>
  </si>
  <si>
    <t>YG69XKS</t>
  </si>
  <si>
    <t>1431</t>
  </si>
  <si>
    <t>YL69OKG</t>
  </si>
  <si>
    <t>1432</t>
  </si>
  <si>
    <t>YE20RVF</t>
  </si>
  <si>
    <t>Ford Transit 280 Refridgerated Van Medium</t>
  </si>
  <si>
    <t>1433</t>
  </si>
  <si>
    <t>ME21AUA</t>
  </si>
  <si>
    <t>1434</t>
  </si>
  <si>
    <t>ME21AUH</t>
  </si>
  <si>
    <t>1435</t>
  </si>
  <si>
    <t>ME21AUK</t>
  </si>
  <si>
    <t>1436</t>
  </si>
  <si>
    <t>ME21AUJ</t>
  </si>
  <si>
    <t>1437</t>
  </si>
  <si>
    <t>ME21AUN</t>
  </si>
  <si>
    <t>1438</t>
  </si>
  <si>
    <t>MA71CCU</t>
  </si>
  <si>
    <t>1439</t>
  </si>
  <si>
    <t>MA71BZG</t>
  </si>
  <si>
    <t>1440</t>
  </si>
  <si>
    <t>MA71BZF</t>
  </si>
  <si>
    <t>1441</t>
  </si>
  <si>
    <t>MA71BZC</t>
  </si>
  <si>
    <t>1442</t>
  </si>
  <si>
    <t>MA71BZB</t>
  </si>
  <si>
    <t>1443</t>
  </si>
  <si>
    <t>MA71BYX</t>
  </si>
  <si>
    <t>1444</t>
  </si>
  <si>
    <t>MA71BYZ</t>
  </si>
  <si>
    <t>1445</t>
  </si>
  <si>
    <t>MA71BZW</t>
  </si>
  <si>
    <t>1446</t>
  </si>
  <si>
    <t>MA71CBF</t>
  </si>
  <si>
    <t>1447</t>
  </si>
  <si>
    <t>MA71BYH</t>
  </si>
  <si>
    <t>1448</t>
  </si>
  <si>
    <t>MA71CCV</t>
  </si>
  <si>
    <t>1449</t>
  </si>
  <si>
    <t>MA71BZM</t>
  </si>
  <si>
    <t>1450</t>
  </si>
  <si>
    <t>MA71BZH</t>
  </si>
  <si>
    <t>1451</t>
  </si>
  <si>
    <t>MA71BZJ</t>
  </si>
  <si>
    <t>1452</t>
  </si>
  <si>
    <t>MA71BZL</t>
  </si>
  <si>
    <t>1453</t>
  </si>
  <si>
    <t>MA71BZU</t>
  </si>
  <si>
    <t>1454</t>
  </si>
  <si>
    <t>MA71BZN</t>
  </si>
  <si>
    <t>1455</t>
  </si>
  <si>
    <t>MA71BZX</t>
  </si>
  <si>
    <t>1456</t>
  </si>
  <si>
    <t>MA71BZP</t>
  </si>
  <si>
    <t>14/56</t>
  </si>
  <si>
    <t>PO15HWB</t>
  </si>
  <si>
    <t>Kubota B2650 Compact Tractor</t>
  </si>
  <si>
    <t>1457</t>
  </si>
  <si>
    <t>MA71BZO</t>
  </si>
  <si>
    <t>1458</t>
  </si>
  <si>
    <t>MA71BYW</t>
  </si>
  <si>
    <t>14/58</t>
  </si>
  <si>
    <t>PO15HWD</t>
  </si>
  <si>
    <t>Kubota B2650 Ride on Mower</t>
  </si>
  <si>
    <t>1459</t>
  </si>
  <si>
    <t>MA71BZV</t>
  </si>
  <si>
    <t>1460</t>
  </si>
  <si>
    <t>MA71CCO</t>
  </si>
  <si>
    <t>14/60</t>
  </si>
  <si>
    <t>PO15ENC</t>
  </si>
  <si>
    <t>Ransomes Parkway 3 Ride on Mower</t>
  </si>
  <si>
    <t>1461</t>
  </si>
  <si>
    <t>MA71PGZ</t>
  </si>
  <si>
    <t>14/61</t>
  </si>
  <si>
    <t>PO15ENF</t>
  </si>
  <si>
    <t>1462</t>
  </si>
  <si>
    <t>MA71PHF</t>
  </si>
  <si>
    <t>14/62</t>
  </si>
  <si>
    <t>PO15ENH</t>
  </si>
  <si>
    <t>1463</t>
  </si>
  <si>
    <t>MA71CFK</t>
  </si>
  <si>
    <t>1464</t>
  </si>
  <si>
    <t>MA71PGX</t>
  </si>
  <si>
    <t>1465</t>
  </si>
  <si>
    <t>MA71OJF</t>
  </si>
  <si>
    <t>1466</t>
  </si>
  <si>
    <t>MA71PHK</t>
  </si>
  <si>
    <t>1496</t>
  </si>
  <si>
    <t>FV69ZTU</t>
  </si>
  <si>
    <t xml:space="preserve">Ford Torneo Custom Zetec Hybrid </t>
  </si>
  <si>
    <t>1497</t>
  </si>
  <si>
    <t>FV69ZZS</t>
  </si>
  <si>
    <t xml:space="preserve">Ford Torneo Zetec Hybrid </t>
  </si>
  <si>
    <t>1498</t>
  </si>
  <si>
    <t>FT69AVK</t>
  </si>
  <si>
    <t xml:space="preserve">Ford Custom Zetec Hybrid </t>
  </si>
  <si>
    <t>15/119</t>
  </si>
  <si>
    <t>Ransomes Jacobsen GP400 Ride on Mower</t>
  </si>
  <si>
    <t>15/120</t>
  </si>
  <si>
    <t>Jacobson GP400 Ride On Mower</t>
  </si>
  <si>
    <t>15/136</t>
  </si>
  <si>
    <t xml:space="preserve">Volvo EC272C 3T Excavator 360 </t>
  </si>
  <si>
    <t>15/137</t>
  </si>
  <si>
    <t>Volvo EC15D 1T Excavator 360</t>
  </si>
  <si>
    <t>1520</t>
  </si>
  <si>
    <t>YF15ZHP</t>
  </si>
  <si>
    <t>Ford Transit Custom 290L1 Van Medium</t>
  </si>
  <si>
    <t>1521</t>
  </si>
  <si>
    <t>YB15DMU</t>
  </si>
  <si>
    <t>1522</t>
  </si>
  <si>
    <t>YF15ZGC</t>
  </si>
  <si>
    <t>1523</t>
  </si>
  <si>
    <t>YB15DNJ</t>
  </si>
  <si>
    <t>1524</t>
  </si>
  <si>
    <t>YB15DKD</t>
  </si>
  <si>
    <t>1525</t>
  </si>
  <si>
    <t>YB15DKF</t>
  </si>
  <si>
    <t>1526</t>
  </si>
  <si>
    <t>YB15DKJ</t>
  </si>
  <si>
    <t>1528</t>
  </si>
  <si>
    <t>YB15DLF</t>
  </si>
  <si>
    <t>1529</t>
  </si>
  <si>
    <t>YE15VNW</t>
  </si>
  <si>
    <t>1530</t>
  </si>
  <si>
    <t>YB15DND</t>
  </si>
  <si>
    <t>1531</t>
  </si>
  <si>
    <t>YB15DKV</t>
  </si>
  <si>
    <t>1532</t>
  </si>
  <si>
    <t>YF15LLW</t>
  </si>
  <si>
    <t>1533</t>
  </si>
  <si>
    <t>YF15LSE</t>
  </si>
  <si>
    <t>1534</t>
  </si>
  <si>
    <t>YB15DMY</t>
  </si>
  <si>
    <t>1535</t>
  </si>
  <si>
    <t>YB15DKX</t>
  </si>
  <si>
    <t>1536</t>
  </si>
  <si>
    <t>YB15DLK</t>
  </si>
  <si>
    <t>1537</t>
  </si>
  <si>
    <t>YB15DNO</t>
  </si>
  <si>
    <t>1538</t>
  </si>
  <si>
    <t>YB15DLY</t>
  </si>
  <si>
    <t>1539</t>
  </si>
  <si>
    <t>YF15LWD</t>
  </si>
  <si>
    <t>1541</t>
  </si>
  <si>
    <t>YF15LLA</t>
  </si>
  <si>
    <t>1542</t>
  </si>
  <si>
    <t>YF15LMJ</t>
  </si>
  <si>
    <t>1543</t>
  </si>
  <si>
    <t>YF15LUD</t>
  </si>
  <si>
    <t>1544</t>
  </si>
  <si>
    <t>YF15LJN</t>
  </si>
  <si>
    <t>1545</t>
  </si>
  <si>
    <t>YF15LRJ</t>
  </si>
  <si>
    <t>1546</t>
  </si>
  <si>
    <t>YF15LPE</t>
  </si>
  <si>
    <t>1547</t>
  </si>
  <si>
    <t>YF15LWO</t>
  </si>
  <si>
    <t>1548</t>
  </si>
  <si>
    <t>YF15LJY</t>
  </si>
  <si>
    <t>1549</t>
  </si>
  <si>
    <t>YE15VFD</t>
  </si>
  <si>
    <t>1551</t>
  </si>
  <si>
    <t>YF15LKN</t>
  </si>
  <si>
    <t>1552</t>
  </si>
  <si>
    <t>YF15LLK</t>
  </si>
  <si>
    <t>1553</t>
  </si>
  <si>
    <t>YF15LWU</t>
  </si>
  <si>
    <t>1554</t>
  </si>
  <si>
    <t>YF15LKJ</t>
  </si>
  <si>
    <t>1555</t>
  </si>
  <si>
    <t>YF15LKE</t>
  </si>
  <si>
    <t>1556</t>
  </si>
  <si>
    <t>YF15LLV</t>
  </si>
  <si>
    <t>1557</t>
  </si>
  <si>
    <t>YB15ZZN</t>
  </si>
  <si>
    <t>1558</t>
  </si>
  <si>
    <t>YA15AHL</t>
  </si>
  <si>
    <t>1559</t>
  </si>
  <si>
    <t>YA15GPO</t>
  </si>
  <si>
    <t>1560</t>
  </si>
  <si>
    <t>YA15GPK</t>
  </si>
  <si>
    <t>1561</t>
  </si>
  <si>
    <t>YF15LNW</t>
  </si>
  <si>
    <t>1562</t>
  </si>
  <si>
    <t>YJ16EGW</t>
  </si>
  <si>
    <t>1563</t>
  </si>
  <si>
    <t>YJ16EGM</t>
  </si>
  <si>
    <t>1564</t>
  </si>
  <si>
    <t>YJ16EJR</t>
  </si>
  <si>
    <t>1565</t>
  </si>
  <si>
    <t>YJ16MTS</t>
  </si>
  <si>
    <t>1566</t>
  </si>
  <si>
    <t>YJ16EJP</t>
  </si>
  <si>
    <t>1568</t>
  </si>
  <si>
    <t>YJ16MTP</t>
  </si>
  <si>
    <t>1569</t>
  </si>
  <si>
    <t>YJ16MTC</t>
  </si>
  <si>
    <t>1570</t>
  </si>
  <si>
    <t>YJ16MSS</t>
  </si>
  <si>
    <t>1571</t>
  </si>
  <si>
    <t>YJ16MSW</t>
  </si>
  <si>
    <t>1572</t>
  </si>
  <si>
    <t>YJ16EEK</t>
  </si>
  <si>
    <t>1573</t>
  </si>
  <si>
    <t>YJ16CBK</t>
  </si>
  <si>
    <t>1574</t>
  </si>
  <si>
    <t>YJ16CBZ</t>
  </si>
  <si>
    <t>15/74</t>
  </si>
  <si>
    <t>PO65FCP</t>
  </si>
  <si>
    <t>Kubota F3090 Compact Tractor</t>
  </si>
  <si>
    <t>1575</t>
  </si>
  <si>
    <t>YJ16MSZ</t>
  </si>
  <si>
    <t>1576</t>
  </si>
  <si>
    <t>YJ16EGT</t>
  </si>
  <si>
    <t>15/76</t>
  </si>
  <si>
    <t>PO65FCU</t>
  </si>
  <si>
    <t>1577</t>
  </si>
  <si>
    <t>YJ16EJT</t>
  </si>
  <si>
    <t>1578</t>
  </si>
  <si>
    <t>YJ16EJS</t>
  </si>
  <si>
    <t>1579</t>
  </si>
  <si>
    <t>YJ16MTL</t>
  </si>
  <si>
    <t>1580</t>
  </si>
  <si>
    <t>YJ16MTW</t>
  </si>
  <si>
    <t>1581</t>
  </si>
  <si>
    <t>YJ16EGA</t>
  </si>
  <si>
    <t>1583</t>
  </si>
  <si>
    <t>YJ16MUR</t>
  </si>
  <si>
    <t>1584</t>
  </si>
  <si>
    <t>YJ16MSP</t>
  </si>
  <si>
    <t>15/84</t>
  </si>
  <si>
    <t>PO16HKA</t>
  </si>
  <si>
    <t>Kubota G2160 Ride on Mower</t>
  </si>
  <si>
    <t>1585</t>
  </si>
  <si>
    <t>YJ16EJB</t>
  </si>
  <si>
    <t>1586</t>
  </si>
  <si>
    <t>YJ16EHA</t>
  </si>
  <si>
    <t>1587</t>
  </si>
  <si>
    <t>YJ16EED</t>
  </si>
  <si>
    <t>15/87</t>
  </si>
  <si>
    <t>PO16HKD</t>
  </si>
  <si>
    <t>1588</t>
  </si>
  <si>
    <t>YJ16MTR</t>
  </si>
  <si>
    <t>15/88</t>
  </si>
  <si>
    <t>PO16HKE</t>
  </si>
  <si>
    <t>1589</t>
  </si>
  <si>
    <t>YL16XLX</t>
  </si>
  <si>
    <t>Ford Transit Custom Van Medium</t>
  </si>
  <si>
    <t>1590</t>
  </si>
  <si>
    <t>YL16ZXD</t>
  </si>
  <si>
    <t>1591</t>
  </si>
  <si>
    <t>YL16ZYA</t>
  </si>
  <si>
    <t>1592</t>
  </si>
  <si>
    <t>YL16ZXB</t>
  </si>
  <si>
    <t>1593</t>
  </si>
  <si>
    <t>YL16XVT</t>
  </si>
  <si>
    <t>15/93</t>
  </si>
  <si>
    <t>PO16HHS</t>
  </si>
  <si>
    <t>Kubota B2560 Ride on Mower</t>
  </si>
  <si>
    <t>1594</t>
  </si>
  <si>
    <t>YL16ZXE</t>
  </si>
  <si>
    <t>1595</t>
  </si>
  <si>
    <t>YD16MGT</t>
  </si>
  <si>
    <t>15/95</t>
  </si>
  <si>
    <t>PO16HHR</t>
  </si>
  <si>
    <t>1596</t>
  </si>
  <si>
    <t>YL16ZXW</t>
  </si>
  <si>
    <t>1597</t>
  </si>
  <si>
    <t>YH66UPG</t>
  </si>
  <si>
    <t>1598</t>
  </si>
  <si>
    <t>YH66UPF</t>
  </si>
  <si>
    <t>1599</t>
  </si>
  <si>
    <t>YH66URE</t>
  </si>
  <si>
    <t>1.5T EXCVA</t>
  </si>
  <si>
    <t>1.5T Excva</t>
  </si>
  <si>
    <t>Volvo 1.5ec Excavator</t>
  </si>
  <si>
    <t>1600</t>
  </si>
  <si>
    <t>YH66UPJ</t>
  </si>
  <si>
    <t>1601</t>
  </si>
  <si>
    <t>YB66BBO</t>
  </si>
  <si>
    <t>FORD CUSTOM Van Medium</t>
  </si>
  <si>
    <t>1602</t>
  </si>
  <si>
    <t>YL66AWR</t>
  </si>
  <si>
    <t>1603</t>
  </si>
  <si>
    <t>YJ19UHL</t>
  </si>
  <si>
    <t>1604</t>
  </si>
  <si>
    <t>YJ19UHM</t>
  </si>
  <si>
    <t>1605</t>
  </si>
  <si>
    <t>MH68FWL</t>
  </si>
  <si>
    <t>Renault Traffic Van Medium</t>
  </si>
  <si>
    <t>1606</t>
  </si>
  <si>
    <t>MH68FWK</t>
  </si>
  <si>
    <t>1608</t>
  </si>
  <si>
    <t>ML19HKY</t>
  </si>
  <si>
    <t>1609</t>
  </si>
  <si>
    <t>MH68FWE</t>
  </si>
  <si>
    <t>1610</t>
  </si>
  <si>
    <t>MH68FWD</t>
  </si>
  <si>
    <t>1611</t>
  </si>
  <si>
    <t>MH68FWC</t>
  </si>
  <si>
    <t>Renault  Traffic Van Medium</t>
  </si>
  <si>
    <t>1612</t>
  </si>
  <si>
    <t>MH68FWB</t>
  </si>
  <si>
    <t>1613</t>
  </si>
  <si>
    <t>MH68FWA</t>
  </si>
  <si>
    <t>1614</t>
  </si>
  <si>
    <t>MH68FVY</t>
  </si>
  <si>
    <t>1615</t>
  </si>
  <si>
    <t>MH68FVZ</t>
  </si>
  <si>
    <t>1616</t>
  </si>
  <si>
    <t>ML19HMF</t>
  </si>
  <si>
    <t>1617</t>
  </si>
  <si>
    <t>ML19HPJ</t>
  </si>
  <si>
    <t>1618</t>
  </si>
  <si>
    <t>ML19HPK</t>
  </si>
  <si>
    <t>1619</t>
  </si>
  <si>
    <t>ML19HMG</t>
  </si>
  <si>
    <t>16/19</t>
  </si>
  <si>
    <t>Volvo EC15D 360 Excavator</t>
  </si>
  <si>
    <t>1620</t>
  </si>
  <si>
    <t>ML19HKX</t>
  </si>
  <si>
    <t>1621</t>
  </si>
  <si>
    <t>ML19HKW</t>
  </si>
  <si>
    <t>1622</t>
  </si>
  <si>
    <t>MH68FVR</t>
  </si>
  <si>
    <t>1623</t>
  </si>
  <si>
    <t>ML19HKV</t>
  </si>
  <si>
    <t>1624</t>
  </si>
  <si>
    <t>ML19HPF</t>
  </si>
  <si>
    <t>1625</t>
  </si>
  <si>
    <t>MH68FVN</t>
  </si>
  <si>
    <t>1626</t>
  </si>
  <si>
    <t>ML19HME</t>
  </si>
  <si>
    <t>1627</t>
  </si>
  <si>
    <t>ML19HKT</t>
  </si>
  <si>
    <t>1628</t>
  </si>
  <si>
    <t>ML19HNV</t>
  </si>
  <si>
    <t>1629</t>
  </si>
  <si>
    <t>ML19HNU</t>
  </si>
  <si>
    <t>1630</t>
  </si>
  <si>
    <t>ML19HNT</t>
  </si>
  <si>
    <t>1631</t>
  </si>
  <si>
    <t>ML19HNR</t>
  </si>
  <si>
    <t>1632</t>
  </si>
  <si>
    <t>ML19HPC</t>
  </si>
  <si>
    <t>1633</t>
  </si>
  <si>
    <t>ML19HNP</t>
  </si>
  <si>
    <t>Renauly Traffic Van Medium</t>
  </si>
  <si>
    <t>1634</t>
  </si>
  <si>
    <t>ML19HNO</t>
  </si>
  <si>
    <t>1635</t>
  </si>
  <si>
    <t>ML19HNN</t>
  </si>
  <si>
    <t>1636</t>
  </si>
  <si>
    <t>MH68FVA</t>
  </si>
  <si>
    <t>1637</t>
  </si>
  <si>
    <t>ML19HNM</t>
  </si>
  <si>
    <t>1638</t>
  </si>
  <si>
    <t>ML19HNK</t>
  </si>
  <si>
    <t>1639</t>
  </si>
  <si>
    <t>ML18HNJ</t>
  </si>
  <si>
    <t>1640</t>
  </si>
  <si>
    <t>ML19HNH</t>
  </si>
  <si>
    <t>1641</t>
  </si>
  <si>
    <t>ML19HPE</t>
  </si>
  <si>
    <t>1642</t>
  </si>
  <si>
    <t>ML19HNG</t>
  </si>
  <si>
    <t>1643</t>
  </si>
  <si>
    <t>ML19HNF</t>
  </si>
  <si>
    <t>1645</t>
  </si>
  <si>
    <t>ML19HMO</t>
  </si>
  <si>
    <t>1646</t>
  </si>
  <si>
    <t>ML19HMV</t>
  </si>
  <si>
    <t>1647</t>
  </si>
  <si>
    <t>ML19HNE</t>
  </si>
  <si>
    <t>1648</t>
  </si>
  <si>
    <t>ML19HND</t>
  </si>
  <si>
    <t>1649</t>
  </si>
  <si>
    <t>ML19HNC</t>
  </si>
  <si>
    <t>1650</t>
  </si>
  <si>
    <t>ML19HNB</t>
  </si>
  <si>
    <t>1651</t>
  </si>
  <si>
    <t>ML19HNA</t>
  </si>
  <si>
    <t>1652</t>
  </si>
  <si>
    <t>ML19HMZ</t>
  </si>
  <si>
    <t>1653</t>
  </si>
  <si>
    <t>ML19HMY</t>
  </si>
  <si>
    <t>1654</t>
  </si>
  <si>
    <t>ML19HMX</t>
  </si>
  <si>
    <t>Renault Traffic Van medium</t>
  </si>
  <si>
    <t>1655</t>
  </si>
  <si>
    <t>MH68FTT</t>
  </si>
  <si>
    <t>1656</t>
  </si>
  <si>
    <t>MH68FTP</t>
  </si>
  <si>
    <t>1657</t>
  </si>
  <si>
    <t>ML19HMK</t>
  </si>
  <si>
    <t>1658</t>
  </si>
  <si>
    <t>ML19HMJ</t>
  </si>
  <si>
    <t>1659</t>
  </si>
  <si>
    <t>ML19HMH</t>
  </si>
  <si>
    <t>1661</t>
  </si>
  <si>
    <t>YA19TMX</t>
  </si>
  <si>
    <t xml:space="preserve">  Van Large</t>
  </si>
  <si>
    <t>1662</t>
  </si>
  <si>
    <t>YA19TNF</t>
  </si>
  <si>
    <t>1663</t>
  </si>
  <si>
    <t>YA19TNJ</t>
  </si>
  <si>
    <t>1664</t>
  </si>
  <si>
    <t>MD19FDN</t>
  </si>
  <si>
    <t>1665</t>
  </si>
  <si>
    <t>MC19MME</t>
  </si>
  <si>
    <t>1666</t>
  </si>
  <si>
    <t>MD19FDM</t>
  </si>
  <si>
    <t>1667</t>
  </si>
  <si>
    <t>MC19MMO</t>
  </si>
  <si>
    <t>1668</t>
  </si>
  <si>
    <t>MD19FDL</t>
  </si>
  <si>
    <t>1669</t>
  </si>
  <si>
    <t>MC19MMU</t>
  </si>
  <si>
    <t>1670</t>
  </si>
  <si>
    <t>MD19ZZV</t>
  </si>
  <si>
    <t>1671</t>
  </si>
  <si>
    <t>MC19MMA</t>
  </si>
  <si>
    <t>1672</t>
  </si>
  <si>
    <t>MC19MMJ</t>
  </si>
  <si>
    <t>1673</t>
  </si>
  <si>
    <t>MC19MMK</t>
  </si>
  <si>
    <t>1674</t>
  </si>
  <si>
    <t>MD19FDO</t>
  </si>
  <si>
    <t>1675</t>
  </si>
  <si>
    <t>MD19MGY</t>
  </si>
  <si>
    <t>1676</t>
  </si>
  <si>
    <t>MC19MMF</t>
  </si>
  <si>
    <t>1677</t>
  </si>
  <si>
    <t>MD19ZZT</t>
  </si>
  <si>
    <t>1678</t>
  </si>
  <si>
    <t>MD19FDP</t>
  </si>
  <si>
    <t>1679</t>
  </si>
  <si>
    <t>MD19ZZF</t>
  </si>
  <si>
    <t>1680</t>
  </si>
  <si>
    <t>MD19FDU</t>
  </si>
  <si>
    <t>1681</t>
  </si>
  <si>
    <t>MD19ZZS</t>
  </si>
  <si>
    <t>1682</t>
  </si>
  <si>
    <t>MD19FDV</t>
  </si>
  <si>
    <t>1683</t>
  </si>
  <si>
    <t>MC19MLZ</t>
  </si>
  <si>
    <t>1684</t>
  </si>
  <si>
    <t>MD19FDX</t>
  </si>
  <si>
    <t>1685</t>
  </si>
  <si>
    <t>MD19FDY</t>
  </si>
  <si>
    <t>1686</t>
  </si>
  <si>
    <t>MD19FDZ</t>
  </si>
  <si>
    <t>1687</t>
  </si>
  <si>
    <t>MD19FEF</t>
  </si>
  <si>
    <t>1688</t>
  </si>
  <si>
    <t>MD19ZZE</t>
  </si>
  <si>
    <t>1689</t>
  </si>
  <si>
    <t>MC19MLY</t>
  </si>
  <si>
    <t>1690</t>
  </si>
  <si>
    <t>MD19ZZC</t>
  </si>
  <si>
    <t>1691</t>
  </si>
  <si>
    <t>MD19ZZR</t>
  </si>
  <si>
    <t>1692</t>
  </si>
  <si>
    <t>MC19MLX</t>
  </si>
  <si>
    <t>1693</t>
  </si>
  <si>
    <t>MD19MGZ</t>
  </si>
  <si>
    <t>17/11</t>
  </si>
  <si>
    <t>TS WF32/75DT Towable Chipper</t>
  </si>
  <si>
    <t>17/13</t>
  </si>
  <si>
    <t>PO17CEJ</t>
  </si>
  <si>
    <t>17/28</t>
  </si>
  <si>
    <t>17-28</t>
  </si>
  <si>
    <t>1751</t>
  </si>
  <si>
    <t>YD14UWN</t>
  </si>
  <si>
    <t>17/66</t>
  </si>
  <si>
    <t>YJ67MXK</t>
  </si>
  <si>
    <t>POLARIS Ranger Utility Vehicle</t>
  </si>
  <si>
    <t>17/67</t>
  </si>
  <si>
    <t>PO67BPY</t>
  </si>
  <si>
    <t>Kubota B3150HSTX Compact Tractor</t>
  </si>
  <si>
    <t>17/72</t>
  </si>
  <si>
    <t>PO18BYU</t>
  </si>
  <si>
    <t>1800</t>
  </si>
  <si>
    <t>YG17FWW</t>
  </si>
  <si>
    <t>Iveco Iveco Daily 35C12 Van Large</t>
  </si>
  <si>
    <t>1801</t>
  </si>
  <si>
    <t>YH17VCG</t>
  </si>
  <si>
    <t>Peugeot Boxer 335 Van Van Large</t>
  </si>
  <si>
    <t>1802</t>
  </si>
  <si>
    <t>MW17UYJ</t>
  </si>
  <si>
    <t>Vauxhall Movano Panel Van Van Large</t>
  </si>
  <si>
    <t>1803</t>
  </si>
  <si>
    <t>MW17UYK</t>
  </si>
  <si>
    <t>1804</t>
  </si>
  <si>
    <t>YG19TEP</t>
  </si>
  <si>
    <t>1805</t>
  </si>
  <si>
    <t>YK19TDG</t>
  </si>
  <si>
    <t>1806</t>
  </si>
  <si>
    <t>YB19GUE</t>
  </si>
  <si>
    <t>1807</t>
  </si>
  <si>
    <t>YA19TNN</t>
  </si>
  <si>
    <t>1808</t>
  </si>
  <si>
    <t>YA19TNL</t>
  </si>
  <si>
    <t>1809</t>
  </si>
  <si>
    <t>YB19GTZ</t>
  </si>
  <si>
    <t>1810</t>
  </si>
  <si>
    <t>YL69OKF</t>
  </si>
  <si>
    <t>Ford Transit Hybrid Van Medium</t>
  </si>
  <si>
    <t>18/100</t>
  </si>
  <si>
    <t>NX19ADZ</t>
  </si>
  <si>
    <t>Valtra V.N154 Tractor</t>
  </si>
  <si>
    <t>18/102</t>
  </si>
  <si>
    <t>PO19EEW</t>
  </si>
  <si>
    <t>1811</t>
  </si>
  <si>
    <t>YL69OKJ</t>
  </si>
  <si>
    <t>Ford Transit Van Medium</t>
  </si>
  <si>
    <t>1812</t>
  </si>
  <si>
    <t>YL69OKH</t>
  </si>
  <si>
    <t>18/12</t>
  </si>
  <si>
    <t>PO18BYZ</t>
  </si>
  <si>
    <t>Kubota B2261 Ride on Mower</t>
  </si>
  <si>
    <t>1813</t>
  </si>
  <si>
    <t>YL69OKE</t>
  </si>
  <si>
    <t>1814</t>
  </si>
  <si>
    <t>MA71BZR</t>
  </si>
  <si>
    <t>1815</t>
  </si>
  <si>
    <t>MA71BZT</t>
  </si>
  <si>
    <t>1816</t>
  </si>
  <si>
    <t>MA71OJH</t>
  </si>
  <si>
    <t>1817</t>
  </si>
  <si>
    <t>YL73GYP</t>
  </si>
  <si>
    <t xml:space="preserve">  Medi Waste Van</t>
  </si>
  <si>
    <t>1818</t>
  </si>
  <si>
    <t>YD73PTL</t>
  </si>
  <si>
    <t>18/2</t>
  </si>
  <si>
    <t>PO18EDX</t>
  </si>
  <si>
    <t>Ransomes Parkway Meteor Ride on Mower</t>
  </si>
  <si>
    <t>18/25</t>
  </si>
  <si>
    <t>YC18BVL</t>
  </si>
  <si>
    <t>John Deere 6120M Tractor</t>
  </si>
  <si>
    <t>18/26</t>
  </si>
  <si>
    <t>YC18BVK</t>
  </si>
  <si>
    <t>18/3</t>
  </si>
  <si>
    <t>PO18EDU</t>
  </si>
  <si>
    <t>Ransomes Parkway 3 Ride On Mower</t>
  </si>
  <si>
    <t>18/57</t>
  </si>
  <si>
    <t>YG68HXT</t>
  </si>
  <si>
    <t>John Deere 5125R Tractor</t>
  </si>
  <si>
    <t>1866</t>
  </si>
  <si>
    <t>MK16YUY</t>
  </si>
  <si>
    <t>18/7</t>
  </si>
  <si>
    <t>PO18HEJ</t>
  </si>
  <si>
    <t>1894</t>
  </si>
  <si>
    <t>YD14UWB</t>
  </si>
  <si>
    <t>19/21</t>
  </si>
  <si>
    <t>Kubota B2311 HST Compact Tractor</t>
  </si>
  <si>
    <t>19/22</t>
  </si>
  <si>
    <t>Kubota B2311 Compact Tractor</t>
  </si>
  <si>
    <t>1963</t>
  </si>
  <si>
    <t>YJ63UUZ</t>
  </si>
  <si>
    <t>Ford Transit 350M Dside Flatback to 3.5t</t>
  </si>
  <si>
    <t>1964</t>
  </si>
  <si>
    <t>YJ14SJU</t>
  </si>
  <si>
    <t>Peugeot Boxer 335 Tipper T/L Flatback to 3.5t</t>
  </si>
  <si>
    <t>1965</t>
  </si>
  <si>
    <t>YJ65HWD</t>
  </si>
  <si>
    <t>1967</t>
  </si>
  <si>
    <t>YB65NSZ</t>
  </si>
  <si>
    <t>Ford Transit 350L tipper Tipper to 3.5t</t>
  </si>
  <si>
    <t>1968</t>
  </si>
  <si>
    <t>YF65BZH</t>
  </si>
  <si>
    <t>1969</t>
  </si>
  <si>
    <t>YF65VVH</t>
  </si>
  <si>
    <t>1970</t>
  </si>
  <si>
    <t>YH17UAP</t>
  </si>
  <si>
    <t>Ford Transit 350M DS T/L Flatback to 3.5t</t>
  </si>
  <si>
    <t>1971</t>
  </si>
  <si>
    <t>YH17UBG</t>
  </si>
  <si>
    <t>Ford Transit 350M Tip T/L Flatback to 3.5t</t>
  </si>
  <si>
    <t>1972</t>
  </si>
  <si>
    <t>YH17TXC</t>
  </si>
  <si>
    <t>Ford Transit 350L DS T/L Flatback to 3.5t</t>
  </si>
  <si>
    <t>1973</t>
  </si>
  <si>
    <t>YB66XRY</t>
  </si>
  <si>
    <t>Ford Transit 350L Dside Flatback to 3.5t</t>
  </si>
  <si>
    <t>1974</t>
  </si>
  <si>
    <t>YB66XNC</t>
  </si>
  <si>
    <t>1975</t>
  </si>
  <si>
    <t>YB17CUV</t>
  </si>
  <si>
    <t>Ford Transit 350M Dside T/L Flatback to 3.5t</t>
  </si>
  <si>
    <t>1976</t>
  </si>
  <si>
    <t>YA17KHB</t>
  </si>
  <si>
    <t>Ford Transit 3.5t Crewcab Tipper</t>
  </si>
  <si>
    <t>1977</t>
  </si>
  <si>
    <t>MIK19TEV</t>
  </si>
  <si>
    <t>Vauxhall Movano Tipper up to 3.5T</t>
  </si>
  <si>
    <t>1978</t>
  </si>
  <si>
    <t>MK19TEY</t>
  </si>
  <si>
    <t>vauxha;; Movano Tipper to 3.5T</t>
  </si>
  <si>
    <t>1979</t>
  </si>
  <si>
    <t>MK19TDZ</t>
  </si>
  <si>
    <t>Vauxhall Movano Tipper to 3.5T</t>
  </si>
  <si>
    <t>1980</t>
  </si>
  <si>
    <t>MK19RWV</t>
  </si>
  <si>
    <t>1981</t>
  </si>
  <si>
    <t>YG69OAD</t>
  </si>
  <si>
    <t>Peugeot Boxer L2 355 Dropside</t>
  </si>
  <si>
    <t>1982</t>
  </si>
  <si>
    <t>YF19TJH</t>
  </si>
  <si>
    <t xml:space="preserve">  Tipper upto 3.5t</t>
  </si>
  <si>
    <t>1983</t>
  </si>
  <si>
    <t>YA19DGM</t>
  </si>
  <si>
    <t>1984</t>
  </si>
  <si>
    <t>YG69OAE</t>
  </si>
  <si>
    <t>Peugeot Boxer 3.5t Flackback</t>
  </si>
  <si>
    <t>1985</t>
  </si>
  <si>
    <t>YG69OAJ</t>
  </si>
  <si>
    <t>1986</t>
  </si>
  <si>
    <t>YG69OAC</t>
  </si>
  <si>
    <t>1987</t>
  </si>
  <si>
    <t>YE70OVT</t>
  </si>
  <si>
    <t xml:space="preserve">  High Side Tipper</t>
  </si>
  <si>
    <t>1988</t>
  </si>
  <si>
    <t>YC20SPZ</t>
  </si>
  <si>
    <t xml:space="preserve">  Drop Side Transit</t>
  </si>
  <si>
    <t>1989</t>
  </si>
  <si>
    <t>YC20SWW</t>
  </si>
  <si>
    <t>1990</t>
  </si>
  <si>
    <t>ML22NCD</t>
  </si>
  <si>
    <t>1991</t>
  </si>
  <si>
    <t>MW22KKY</t>
  </si>
  <si>
    <t>1992</t>
  </si>
  <si>
    <t>MW22LHR</t>
  </si>
  <si>
    <t>1993</t>
  </si>
  <si>
    <t>MW22LHN</t>
  </si>
  <si>
    <t>200LTR</t>
  </si>
  <si>
    <t>The Arium Bowser</t>
  </si>
  <si>
    <t xml:space="preserve">Bowser 200Litre </t>
  </si>
  <si>
    <t>No Limit</t>
  </si>
  <si>
    <t>20/18</t>
  </si>
  <si>
    <t>Boss Cabins Ltd - Redbox Gen Generator Welfare Generator</t>
  </si>
  <si>
    <t>20/19</t>
  </si>
  <si>
    <t>Boss Cabins Ltd - Redbox Generator Welfare Generator</t>
  </si>
  <si>
    <t>20/8</t>
  </si>
  <si>
    <t>YD70WCM</t>
  </si>
  <si>
    <t>20/9</t>
  </si>
  <si>
    <t>YD70WCN</t>
  </si>
  <si>
    <t>21/27</t>
  </si>
  <si>
    <t>NJ71UOB</t>
  </si>
  <si>
    <t>JCB 532-60 Loadall Telehandler</t>
  </si>
  <si>
    <t>2201</t>
  </si>
  <si>
    <t>YD69XXG</t>
  </si>
  <si>
    <t>2203</t>
  </si>
  <si>
    <t>YG69NZZ</t>
  </si>
  <si>
    <t>2205</t>
  </si>
  <si>
    <t>YG69NZX</t>
  </si>
  <si>
    <t>2206</t>
  </si>
  <si>
    <t>FG70RYN</t>
  </si>
  <si>
    <t xml:space="preserve">  VW Crafter CCTV Van</t>
  </si>
  <si>
    <t>22/104</t>
  </si>
  <si>
    <t>PE23MFV</t>
  </si>
  <si>
    <t>Kubota F391 Ride on Mower</t>
  </si>
  <si>
    <t>22/109</t>
  </si>
  <si>
    <t>PE23MFA</t>
  </si>
  <si>
    <t xml:space="preserve">Kubota F391 Ride on Rotary </t>
  </si>
  <si>
    <t>22/114</t>
  </si>
  <si>
    <t>PF23BXC</t>
  </si>
  <si>
    <t>22/118</t>
  </si>
  <si>
    <t>PL23OOH</t>
  </si>
  <si>
    <t>Kubota F391 Ride On Mower</t>
  </si>
  <si>
    <t>2217</t>
  </si>
  <si>
    <t>YJ58OUA</t>
  </si>
  <si>
    <t>Iveco 35S12 LWB HR Meeting Mobile Meeting room</t>
  </si>
  <si>
    <t>2218</t>
  </si>
  <si>
    <t>YJ58OTZ</t>
  </si>
  <si>
    <t>2219</t>
  </si>
  <si>
    <t>YJ58OTY</t>
  </si>
  <si>
    <t>2221</t>
  </si>
  <si>
    <t>YJ58BDU</t>
  </si>
  <si>
    <t>2222</t>
  </si>
  <si>
    <t>YJ58OTG</t>
  </si>
  <si>
    <t>2223</t>
  </si>
  <si>
    <t>YJ60CZS</t>
  </si>
  <si>
    <t>2224</t>
  </si>
  <si>
    <t>YJ60CZT</t>
  </si>
  <si>
    <t>2226</t>
  </si>
  <si>
    <t>YJ14SVN</t>
  </si>
  <si>
    <t>Peugeot Boxer Luton</t>
  </si>
  <si>
    <t>2227</t>
  </si>
  <si>
    <t>YJ14SVL</t>
  </si>
  <si>
    <t>225</t>
  </si>
  <si>
    <t>PE72BKL</t>
  </si>
  <si>
    <t>John Deer HPX815E 4x4 Utility Vehicle</t>
  </si>
  <si>
    <t>24/36</t>
  </si>
  <si>
    <t>Hustler Super S Stand on Mower</t>
  </si>
  <si>
    <t>Petrol</t>
  </si>
  <si>
    <t>2607</t>
  </si>
  <si>
    <t>MV67KYC</t>
  </si>
  <si>
    <t>Vauxhall MOVANO L3H1 CC Tip 3.5t CC Tipper</t>
  </si>
  <si>
    <t>2608</t>
  </si>
  <si>
    <t>MV67KYF</t>
  </si>
  <si>
    <t>2609</t>
  </si>
  <si>
    <t>MV67KYN</t>
  </si>
  <si>
    <t>2610</t>
  </si>
  <si>
    <t>MV67KXW</t>
  </si>
  <si>
    <t>2611</t>
  </si>
  <si>
    <t>MV67KXX</t>
  </si>
  <si>
    <t>2612</t>
  </si>
  <si>
    <t>MV67KVS</t>
  </si>
  <si>
    <t>2613</t>
  </si>
  <si>
    <t>MV67KVH</t>
  </si>
  <si>
    <t>2614</t>
  </si>
  <si>
    <t>MV67KVJ</t>
  </si>
  <si>
    <t>2615</t>
  </si>
  <si>
    <t>MV67KXN</t>
  </si>
  <si>
    <t>2616</t>
  </si>
  <si>
    <t>MV67KXU</t>
  </si>
  <si>
    <t>2617</t>
  </si>
  <si>
    <t>MV67KWN</t>
  </si>
  <si>
    <t>2618</t>
  </si>
  <si>
    <t>MV67KTA</t>
  </si>
  <si>
    <t>2619</t>
  </si>
  <si>
    <t>MV67KTL</t>
  </si>
  <si>
    <t>2620</t>
  </si>
  <si>
    <t>MV17CVW</t>
  </si>
  <si>
    <t>2621</t>
  </si>
  <si>
    <t>YJ69BZM</t>
  </si>
  <si>
    <t xml:space="preserve">  Tipper up to 3.5t</t>
  </si>
  <si>
    <t>2680</t>
  </si>
  <si>
    <t>YC63CUV</t>
  </si>
  <si>
    <t>Ford Transit 350CC Tip TL 3.5t CC Tipper</t>
  </si>
  <si>
    <t>2681</t>
  </si>
  <si>
    <t>MV17CNX</t>
  </si>
  <si>
    <t>Vauxhall Vavaro 3.5T Tipper</t>
  </si>
  <si>
    <t>2682</t>
  </si>
  <si>
    <t>MW17CWR</t>
  </si>
  <si>
    <t>Vauxhall Movarno 3.5T Tipper</t>
  </si>
  <si>
    <t>2683</t>
  </si>
  <si>
    <t>MV17CYA</t>
  </si>
  <si>
    <t>Vauxhall Movano 3.5T Crewcab Tipper</t>
  </si>
  <si>
    <t>2684</t>
  </si>
  <si>
    <t>MV17CXU</t>
  </si>
  <si>
    <t>Vauxhall Movano 3.5t Crewcab Tipper</t>
  </si>
  <si>
    <t>2685</t>
  </si>
  <si>
    <t>MV17CUY</t>
  </si>
  <si>
    <t>2686</t>
  </si>
  <si>
    <t>MV17CWK</t>
  </si>
  <si>
    <t>Vauxhall Movano 3.5T Tipper</t>
  </si>
  <si>
    <t>2687</t>
  </si>
  <si>
    <t>MV17CWL</t>
  </si>
  <si>
    <t>2688</t>
  </si>
  <si>
    <t>MV17DDL</t>
  </si>
  <si>
    <t>Vauxall Movano 3.5T Crewcab Tipper</t>
  </si>
  <si>
    <t>2689</t>
  </si>
  <si>
    <t>MV17CUH</t>
  </si>
  <si>
    <t>Vauxall Movano 3.5t Crewcab Tipper</t>
  </si>
  <si>
    <t>2690</t>
  </si>
  <si>
    <t>MV17CUG</t>
  </si>
  <si>
    <t>2691</t>
  </si>
  <si>
    <t>MV17CZK</t>
  </si>
  <si>
    <t>Vauxhall  Monanro 3.5T Crewcab ipper</t>
  </si>
  <si>
    <t>2692</t>
  </si>
  <si>
    <t>MV17CFY</t>
  </si>
  <si>
    <t>Vauvhall Movano 3.5t Crewcab Tipper</t>
  </si>
  <si>
    <t>2693</t>
  </si>
  <si>
    <t>MV17DGF</t>
  </si>
  <si>
    <t>Ford Transit 3.5T Crewcab Tipper</t>
  </si>
  <si>
    <t>2725</t>
  </si>
  <si>
    <t>YB63HGN</t>
  </si>
  <si>
    <t>2729</t>
  </si>
  <si>
    <t>YB63HGE</t>
  </si>
  <si>
    <t>Ford  Transit 3.5t Crewcab Tipper</t>
  </si>
  <si>
    <t>2732</t>
  </si>
  <si>
    <t>YA63UPH</t>
  </si>
  <si>
    <t>2733</t>
  </si>
  <si>
    <t>YJ14SJX</t>
  </si>
  <si>
    <t>Peugeot Tipper Crewcab</t>
  </si>
  <si>
    <t>2734</t>
  </si>
  <si>
    <t>YJ14SJY</t>
  </si>
  <si>
    <t>Peugeot Boxer CCab Tipper 3.5t CC Tipper</t>
  </si>
  <si>
    <t>2735</t>
  </si>
  <si>
    <t>YJ14SJV</t>
  </si>
  <si>
    <t>2736</t>
  </si>
  <si>
    <t>YF20WUB</t>
  </si>
  <si>
    <t>FORD Transit 3.5t Tipper</t>
  </si>
  <si>
    <t>2737</t>
  </si>
  <si>
    <t>YG20TYB</t>
  </si>
  <si>
    <t>Ford Transit 3.5T Crew Cab Tipper</t>
  </si>
  <si>
    <t>2738</t>
  </si>
  <si>
    <t>YC20SVL</t>
  </si>
  <si>
    <t>2739</t>
  </si>
  <si>
    <t>YC20SVK</t>
  </si>
  <si>
    <t>2740</t>
  </si>
  <si>
    <t>YC20SSJ</t>
  </si>
  <si>
    <t>2741</t>
  </si>
  <si>
    <t>YC20SRX</t>
  </si>
  <si>
    <t>Ford Transit 3.5t Tipper</t>
  </si>
  <si>
    <t>2742</t>
  </si>
  <si>
    <t>YG20TYT</t>
  </si>
  <si>
    <t>2743</t>
  </si>
  <si>
    <t>YG20TYK</t>
  </si>
  <si>
    <t>2744</t>
  </si>
  <si>
    <t>YG20TWD</t>
  </si>
  <si>
    <t>2745</t>
  </si>
  <si>
    <t>YF20CXH</t>
  </si>
  <si>
    <t>2746</t>
  </si>
  <si>
    <t>YH70NDJ</t>
  </si>
  <si>
    <t>Ford Transit Crew Cab Tipper</t>
  </si>
  <si>
    <t>2747</t>
  </si>
  <si>
    <t>YH70NPA</t>
  </si>
  <si>
    <t>2748</t>
  </si>
  <si>
    <t>YH70KNZ</t>
  </si>
  <si>
    <t>2749</t>
  </si>
  <si>
    <t>YH70NRE</t>
  </si>
  <si>
    <t>2750</t>
  </si>
  <si>
    <t>YH70NZC</t>
  </si>
  <si>
    <t>2751</t>
  </si>
  <si>
    <t>YH70NZR</t>
  </si>
  <si>
    <t>2752</t>
  </si>
  <si>
    <t>YH70OCB</t>
  </si>
  <si>
    <t>2753</t>
  </si>
  <si>
    <t>YH70OCE</t>
  </si>
  <si>
    <t>2754</t>
  </si>
  <si>
    <t>YH70GKA</t>
  </si>
  <si>
    <t>Ford  Transit Crew Cab Tipper</t>
  </si>
  <si>
    <t>2755</t>
  </si>
  <si>
    <t>YH70OAY</t>
  </si>
  <si>
    <t>2756</t>
  </si>
  <si>
    <t>YH70OBE</t>
  </si>
  <si>
    <t>2757</t>
  </si>
  <si>
    <t>YC70FNR</t>
  </si>
  <si>
    <t>Ford Transit  Crew Cab Tipper</t>
  </si>
  <si>
    <t>2758</t>
  </si>
  <si>
    <t>YC70FOP</t>
  </si>
  <si>
    <t>2759</t>
  </si>
  <si>
    <t>YC70FNP</t>
  </si>
  <si>
    <t>2760</t>
  </si>
  <si>
    <t>YC70VGX</t>
  </si>
  <si>
    <t>2761</t>
  </si>
  <si>
    <t>YC70VGK</t>
  </si>
  <si>
    <t>2762</t>
  </si>
  <si>
    <t>YC70OHO</t>
  </si>
  <si>
    <t>2763</t>
  </si>
  <si>
    <t>YE70HCJ</t>
  </si>
  <si>
    <t>2764</t>
  </si>
  <si>
    <t>YM70MBV</t>
  </si>
  <si>
    <t>2765</t>
  </si>
  <si>
    <t>YH21FHW</t>
  </si>
  <si>
    <t xml:space="preserve">  3.5t Tipper</t>
  </si>
  <si>
    <t>2766</t>
  </si>
  <si>
    <t>YH21FPZ</t>
  </si>
  <si>
    <t>2767</t>
  </si>
  <si>
    <t>YC70VHK</t>
  </si>
  <si>
    <t>2768</t>
  </si>
  <si>
    <t>YC70PNE</t>
  </si>
  <si>
    <t>2769</t>
  </si>
  <si>
    <t>YC70WHE</t>
  </si>
  <si>
    <t>2770</t>
  </si>
  <si>
    <t>YA70LAE</t>
  </si>
  <si>
    <t>2771</t>
  </si>
  <si>
    <t>YA70KZY</t>
  </si>
  <si>
    <t>2772</t>
  </si>
  <si>
    <t>YA70KZK</t>
  </si>
  <si>
    <t>3001</t>
  </si>
  <si>
    <t>YK68OXZ</t>
  </si>
  <si>
    <t>Peugeot Boxer Van Large</t>
  </si>
  <si>
    <t>3002</t>
  </si>
  <si>
    <t>YC68TGR</t>
  </si>
  <si>
    <t>Iveco Daily Van Large</t>
  </si>
  <si>
    <t>3116</t>
  </si>
  <si>
    <t>YF17CHO</t>
  </si>
  <si>
    <t>Ford Ford Transit T470 Tipper 3.5t - 7.5t</t>
  </si>
  <si>
    <t>3117</t>
  </si>
  <si>
    <t>YF17PRZ</t>
  </si>
  <si>
    <t>3118</t>
  </si>
  <si>
    <t>YF17CJE</t>
  </si>
  <si>
    <t>3119</t>
  </si>
  <si>
    <t>YH19TXA</t>
  </si>
  <si>
    <t xml:space="preserve">  Up to 7.5t Tipper</t>
  </si>
  <si>
    <t>3120</t>
  </si>
  <si>
    <t>YH19TXB</t>
  </si>
  <si>
    <t>3121</t>
  </si>
  <si>
    <t>YH19TXC</t>
  </si>
  <si>
    <t>3122</t>
  </si>
  <si>
    <t>YH19TZF</t>
  </si>
  <si>
    <t xml:space="preserve">  Tipper up to 7.5t</t>
  </si>
  <si>
    <t>3201</t>
  </si>
  <si>
    <t>YF67OJV</t>
  </si>
  <si>
    <t>Iveco Daily 50C15 Hyd Plat Hyd Access Platform</t>
  </si>
  <si>
    <t>3331</t>
  </si>
  <si>
    <t>PN69UOH</t>
  </si>
  <si>
    <t xml:space="preserve">  Library Bus</t>
  </si>
  <si>
    <t>3332</t>
  </si>
  <si>
    <t>PN69UOJ</t>
  </si>
  <si>
    <t xml:space="preserve">  Library Hub</t>
  </si>
  <si>
    <t>3334</t>
  </si>
  <si>
    <t>PN69UOG</t>
  </si>
  <si>
    <t>3335</t>
  </si>
  <si>
    <t>PN69UOK</t>
  </si>
  <si>
    <t>3336</t>
  </si>
  <si>
    <t>PF69HFK</t>
  </si>
  <si>
    <t>Iveco 7.2t Daily Library Bus</t>
  </si>
  <si>
    <t>3337</t>
  </si>
  <si>
    <t>PF69HFJ</t>
  </si>
  <si>
    <t>3338</t>
  </si>
  <si>
    <t>BJ21OBN</t>
  </si>
  <si>
    <t>3406</t>
  </si>
  <si>
    <t>YH19TZA</t>
  </si>
  <si>
    <t>Iveco Daily 70-150 Graffiti Wash Vehicle</t>
  </si>
  <si>
    <t>3407</t>
  </si>
  <si>
    <t>YH19TZC</t>
  </si>
  <si>
    <t>Iveco Daily 70-150 Graffiti Vehicle</t>
  </si>
  <si>
    <t>3408</t>
  </si>
  <si>
    <t>YH19TZD</t>
  </si>
  <si>
    <t>Iveco Daily 70-150 Forestry Tipper upto 7t</t>
  </si>
  <si>
    <t>3409</t>
  </si>
  <si>
    <t>YH19TZE</t>
  </si>
  <si>
    <t>Iveco Daily 70-150 Forestry Tipper up to 7T</t>
  </si>
  <si>
    <t>3410</t>
  </si>
  <si>
    <t>YD69KDK</t>
  </si>
  <si>
    <t xml:space="preserve">  7.5t Cage </t>
  </si>
  <si>
    <t>3411</t>
  </si>
  <si>
    <t>YD69KDU</t>
  </si>
  <si>
    <t>3431</t>
  </si>
  <si>
    <t>YJ10KWK</t>
  </si>
  <si>
    <t>Ford Cargo 75E Tipper Tipper 7.5t</t>
  </si>
  <si>
    <t>3439</t>
  </si>
  <si>
    <t>YD67KFU</t>
  </si>
  <si>
    <t>Fuso Canter 7C15 HEV Tipper 7.5t</t>
  </si>
  <si>
    <t>3441</t>
  </si>
  <si>
    <t>YD67JBV</t>
  </si>
  <si>
    <t>3442</t>
  </si>
  <si>
    <t>YD67JBX</t>
  </si>
  <si>
    <t>3445</t>
  </si>
  <si>
    <t>YD67JCJ</t>
  </si>
  <si>
    <t>3446</t>
  </si>
  <si>
    <t>YD67JCO</t>
  </si>
  <si>
    <t>3447</t>
  </si>
  <si>
    <t>YD67JCV</t>
  </si>
  <si>
    <t>3448</t>
  </si>
  <si>
    <t>YD67JCX</t>
  </si>
  <si>
    <t>3450</t>
  </si>
  <si>
    <t>YD67KGA</t>
  </si>
  <si>
    <t>3451</t>
  </si>
  <si>
    <t>YD67KGE</t>
  </si>
  <si>
    <t>3452</t>
  </si>
  <si>
    <t>YD67KGF</t>
  </si>
  <si>
    <t>3454</t>
  </si>
  <si>
    <t>YD67KGK</t>
  </si>
  <si>
    <t>3457</t>
  </si>
  <si>
    <t>YD67KGP</t>
  </si>
  <si>
    <t>3506</t>
  </si>
  <si>
    <t>YK69HCV</t>
  </si>
  <si>
    <t xml:space="preserve">  7.5t Tipper</t>
  </si>
  <si>
    <t>3507</t>
  </si>
  <si>
    <t>YK69HCP</t>
  </si>
  <si>
    <t>3901</t>
  </si>
  <si>
    <t>YJ66VYU</t>
  </si>
  <si>
    <t>Mercedes Arocs 2635K Tipper over 7.5t</t>
  </si>
  <si>
    <t>3902</t>
  </si>
  <si>
    <t>YJ69BKX</t>
  </si>
  <si>
    <t xml:space="preserve">  26t Tipper/Gritter/Snowplough</t>
  </si>
  <si>
    <t xml:space="preserve">  18t Demount</t>
  </si>
  <si>
    <t>3904</t>
  </si>
  <si>
    <t>YJ74XAF</t>
  </si>
  <si>
    <t>4401</t>
  </si>
  <si>
    <t>LM69XJG</t>
  </si>
  <si>
    <t xml:space="preserve">  3 Axle RCV</t>
  </si>
  <si>
    <t>4402</t>
  </si>
  <si>
    <t>LM69YNH</t>
  </si>
  <si>
    <t>4403</t>
  </si>
  <si>
    <t>LM69SFY</t>
  </si>
  <si>
    <t>4404</t>
  </si>
  <si>
    <t>LM69PWZ</t>
  </si>
  <si>
    <t>4405</t>
  </si>
  <si>
    <t>LS69WOJ</t>
  </si>
  <si>
    <t>4406</t>
  </si>
  <si>
    <t>LS69WOC</t>
  </si>
  <si>
    <t>4407</t>
  </si>
  <si>
    <t>LS69BZJ</t>
  </si>
  <si>
    <t>4408</t>
  </si>
  <si>
    <t>LM69YRV</t>
  </si>
  <si>
    <t>4409</t>
  </si>
  <si>
    <t>LS69GJF</t>
  </si>
  <si>
    <t>4410</t>
  </si>
  <si>
    <t>LS69BZV</t>
  </si>
  <si>
    <t>4411</t>
  </si>
  <si>
    <t>LS69JZN</t>
  </si>
  <si>
    <t xml:space="preserve">  3 axle RCV</t>
  </si>
  <si>
    <t>4412</t>
  </si>
  <si>
    <t>LS69JZV</t>
  </si>
  <si>
    <t xml:space="preserve">  RCV</t>
  </si>
  <si>
    <t>4413</t>
  </si>
  <si>
    <t>SV25HVF</t>
  </si>
  <si>
    <t xml:space="preserve">  26T RCV</t>
  </si>
  <si>
    <t>4414</t>
  </si>
  <si>
    <t>SV25HUY</t>
  </si>
  <si>
    <t>4415</t>
  </si>
  <si>
    <t>LS69JYW</t>
  </si>
  <si>
    <t>4416</t>
  </si>
  <si>
    <t>LS69WOA</t>
  </si>
  <si>
    <t>4417</t>
  </si>
  <si>
    <t>SV25HVR</t>
  </si>
  <si>
    <t xml:space="preserve">  3 Axle Refuse CV</t>
  </si>
  <si>
    <t>4418</t>
  </si>
  <si>
    <t>SV25HVC</t>
  </si>
  <si>
    <t>4419</t>
  </si>
  <si>
    <t>SV25HVE</t>
  </si>
  <si>
    <t>4420</t>
  </si>
  <si>
    <t>YK15GPJ</t>
  </si>
  <si>
    <t>Mercedes Econic 3 Axle Bin</t>
  </si>
  <si>
    <t>4421</t>
  </si>
  <si>
    <t>SV25HUU</t>
  </si>
  <si>
    <t>4422</t>
  </si>
  <si>
    <t>SV25HUO</t>
  </si>
  <si>
    <t>4423</t>
  </si>
  <si>
    <t>YK15GOP</t>
  </si>
  <si>
    <t>4424</t>
  </si>
  <si>
    <t>YK15GOU</t>
  </si>
  <si>
    <t>4425</t>
  </si>
  <si>
    <t>YK15GPE</t>
  </si>
  <si>
    <t>4426</t>
  </si>
  <si>
    <t>SV25HVT</t>
  </si>
  <si>
    <t>4427</t>
  </si>
  <si>
    <t>YK15GPO</t>
  </si>
  <si>
    <t>4428</t>
  </si>
  <si>
    <t>YK15GPX</t>
  </si>
  <si>
    <t>4429</t>
  </si>
  <si>
    <t>YK15HNZ</t>
  </si>
  <si>
    <t>Mercedes Econic 2 Axle Bin</t>
  </si>
  <si>
    <t>4430</t>
  </si>
  <si>
    <t>SV25HUJ</t>
  </si>
  <si>
    <t>4431</t>
  </si>
  <si>
    <t>YK15VVS</t>
  </si>
  <si>
    <t>Daf LF220 2 Axle Bin</t>
  </si>
  <si>
    <t>4432</t>
  </si>
  <si>
    <t>YK15VVR</t>
  </si>
  <si>
    <t>4433</t>
  </si>
  <si>
    <t>YJ65DJF</t>
  </si>
  <si>
    <t>Mercedes Econic 4 Axle Bin</t>
  </si>
  <si>
    <t>4434</t>
  </si>
  <si>
    <t>SV25HVP</t>
  </si>
  <si>
    <t>4435</t>
  </si>
  <si>
    <t>LX68AOZ</t>
  </si>
  <si>
    <t>4436</t>
  </si>
  <si>
    <t>SV25HVD</t>
  </si>
  <si>
    <t>4437</t>
  </si>
  <si>
    <t>YJ16 ZWB</t>
  </si>
  <si>
    <t>4438</t>
  </si>
  <si>
    <t>YJ16 ZWC</t>
  </si>
  <si>
    <t>4439</t>
  </si>
  <si>
    <t>YJ16 ZWK</t>
  </si>
  <si>
    <t>4440</t>
  </si>
  <si>
    <t>YJ16 ZWL</t>
  </si>
  <si>
    <t>Mereecdes Econic 3 Axle Bin</t>
  </si>
  <si>
    <t>4441</t>
  </si>
  <si>
    <t>YJ16 ZWM</t>
  </si>
  <si>
    <t>4442</t>
  </si>
  <si>
    <t>YJ16 ZWP</t>
  </si>
  <si>
    <t>4443</t>
  </si>
  <si>
    <t>YJ16 ZWR</t>
  </si>
  <si>
    <t>4444</t>
  </si>
  <si>
    <t>SV25HUP</t>
  </si>
  <si>
    <t>4445</t>
  </si>
  <si>
    <t>YJ16 ZWE</t>
  </si>
  <si>
    <t>4446</t>
  </si>
  <si>
    <t>YJ16ZWF</t>
  </si>
  <si>
    <t>4447</t>
  </si>
  <si>
    <t>SV25HTY</t>
  </si>
  <si>
    <t>4448</t>
  </si>
  <si>
    <t>PO25ZHL</t>
  </si>
  <si>
    <t>4449</t>
  </si>
  <si>
    <t>VX16ASZ</t>
  </si>
  <si>
    <t>Dennis Elite 3 Axle Bin</t>
  </si>
  <si>
    <t>4450</t>
  </si>
  <si>
    <t>VX16 ATF</t>
  </si>
  <si>
    <t>4451</t>
  </si>
  <si>
    <t>VX16ATK</t>
  </si>
  <si>
    <t>4452</t>
  </si>
  <si>
    <t>VN17DJE</t>
  </si>
  <si>
    <t>Dennis Dennis Mun RCV 3 Axle Bin</t>
  </si>
  <si>
    <t>4453</t>
  </si>
  <si>
    <t>VN17DJF</t>
  </si>
  <si>
    <t>4454</t>
  </si>
  <si>
    <t>VN17DJJ</t>
  </si>
  <si>
    <t>4455</t>
  </si>
  <si>
    <t>VT19WHL</t>
  </si>
  <si>
    <t xml:space="preserve">  18t Narrow Track</t>
  </si>
  <si>
    <t>4456</t>
  </si>
  <si>
    <t>VT19WHM</t>
  </si>
  <si>
    <t>4457</t>
  </si>
  <si>
    <t>VF19CVP</t>
  </si>
  <si>
    <t xml:space="preserve">  3 Axle Bin</t>
  </si>
  <si>
    <t>4458</t>
  </si>
  <si>
    <t>VF19CVR</t>
  </si>
  <si>
    <t>4459</t>
  </si>
  <si>
    <t>VF19CVS</t>
  </si>
  <si>
    <t>4460</t>
  </si>
  <si>
    <t>VF19CWM</t>
  </si>
  <si>
    <t>4461</t>
  </si>
  <si>
    <t>LK69BKN</t>
  </si>
  <si>
    <t>4462</t>
  </si>
  <si>
    <t>LM69PWY</t>
  </si>
  <si>
    <t>4463</t>
  </si>
  <si>
    <t>LM69SFX</t>
  </si>
  <si>
    <t>4464</t>
  </si>
  <si>
    <t>LM69SFZ</t>
  </si>
  <si>
    <t>4465</t>
  </si>
  <si>
    <t>LM69SKK</t>
  </si>
  <si>
    <t>4466</t>
  </si>
  <si>
    <t>LM69SYV</t>
  </si>
  <si>
    <t>4467</t>
  </si>
  <si>
    <t>LM69XCL</t>
  </si>
  <si>
    <t>4468</t>
  </si>
  <si>
    <t>LM69XCN</t>
  </si>
  <si>
    <t>4469</t>
  </si>
  <si>
    <t>LM69XCP</t>
  </si>
  <si>
    <t>4470</t>
  </si>
  <si>
    <t>LM69YOG</t>
  </si>
  <si>
    <t>4471</t>
  </si>
  <si>
    <t>LM69YOF</t>
  </si>
  <si>
    <t>4472</t>
  </si>
  <si>
    <t>LM69SYU</t>
  </si>
  <si>
    <t>4473</t>
  </si>
  <si>
    <t>LM69XJF</t>
  </si>
  <si>
    <t>4474</t>
  </si>
  <si>
    <t>LS69UOP</t>
  </si>
  <si>
    <t>4475</t>
  </si>
  <si>
    <t>LS69BZM</t>
  </si>
  <si>
    <t>4476</t>
  </si>
  <si>
    <t>LS69WNV</t>
  </si>
  <si>
    <t>4477</t>
  </si>
  <si>
    <t>LS69WNX</t>
  </si>
  <si>
    <t>4478</t>
  </si>
  <si>
    <t>LS69JZU</t>
  </si>
  <si>
    <t>4479</t>
  </si>
  <si>
    <t>LS69JXG</t>
  </si>
  <si>
    <t>4480</t>
  </si>
  <si>
    <t>LS69BZN</t>
  </si>
  <si>
    <t>4481</t>
  </si>
  <si>
    <t>LS69BZU</t>
  </si>
  <si>
    <t xml:space="preserve">  3</t>
  </si>
  <si>
    <t>4482</t>
  </si>
  <si>
    <t>DF19ZLX</t>
  </si>
  <si>
    <t xml:space="preserve">  Refuse Vehicle</t>
  </si>
  <si>
    <t>4483</t>
  </si>
  <si>
    <t>LM69SFV</t>
  </si>
  <si>
    <t>4484</t>
  </si>
  <si>
    <t>LS69WNY</t>
  </si>
  <si>
    <t>4485</t>
  </si>
  <si>
    <t>VX74WFB</t>
  </si>
  <si>
    <t>Dennis  18t Narrow Track RCV</t>
  </si>
  <si>
    <t>4486</t>
  </si>
  <si>
    <t>VX74WFC</t>
  </si>
  <si>
    <t>4487</t>
  </si>
  <si>
    <t>PO25ZFW</t>
  </si>
  <si>
    <t>4488</t>
  </si>
  <si>
    <t>PO25ZGG</t>
  </si>
  <si>
    <t>Mercedes Econic 26T RCV</t>
  </si>
  <si>
    <t>4489</t>
  </si>
  <si>
    <t>PO25ZHN</t>
  </si>
  <si>
    <t>4490</t>
  </si>
  <si>
    <t>PO25ZHH</t>
  </si>
  <si>
    <t>4491</t>
  </si>
  <si>
    <t>SV25HVS</t>
  </si>
  <si>
    <t xml:space="preserve">  26 RCV</t>
  </si>
  <si>
    <t>4492</t>
  </si>
  <si>
    <t>SV25HUA</t>
  </si>
  <si>
    <t>4493</t>
  </si>
  <si>
    <t>PO25ZFF</t>
  </si>
  <si>
    <t>4494</t>
  </si>
  <si>
    <t>PO25ZJK</t>
  </si>
  <si>
    <t>4501</t>
  </si>
  <si>
    <t>YJ69ZYE</t>
  </si>
  <si>
    <t xml:space="preserve">  Toploader</t>
  </si>
  <si>
    <t>4615</t>
  </si>
  <si>
    <t>YE16YPP</t>
  </si>
  <si>
    <t>Mercedes Arocs Hookloader</t>
  </si>
  <si>
    <t>4616</t>
  </si>
  <si>
    <t>YE16YPR</t>
  </si>
  <si>
    <t>4617</t>
  </si>
  <si>
    <t>YE16YPT</t>
  </si>
  <si>
    <t>4618</t>
  </si>
  <si>
    <t>YT19EPA</t>
  </si>
  <si>
    <t>Daf CF370 Hookloader</t>
  </si>
  <si>
    <t>4619</t>
  </si>
  <si>
    <t>YT19EOV</t>
  </si>
  <si>
    <t>Daf CF FAD Hookloader</t>
  </si>
  <si>
    <t>4620</t>
  </si>
  <si>
    <t>YT19EOY</t>
  </si>
  <si>
    <t>4621</t>
  </si>
  <si>
    <t>YT19EOX</t>
  </si>
  <si>
    <t>4622</t>
  </si>
  <si>
    <t>YT19EOZ</t>
  </si>
  <si>
    <t>4623</t>
  </si>
  <si>
    <t>YT19ESF</t>
  </si>
  <si>
    <t xml:space="preserve">  Hookloader</t>
  </si>
  <si>
    <t>5000</t>
  </si>
  <si>
    <t>YK69HCH</t>
  </si>
  <si>
    <t xml:space="preserve">  Tipper 18t Demount</t>
  </si>
  <si>
    <t>5001</t>
  </si>
  <si>
    <t>YE19AKA</t>
  </si>
  <si>
    <t>5002</t>
  </si>
  <si>
    <t>YE19AKB</t>
  </si>
  <si>
    <t>5003</t>
  </si>
  <si>
    <t>YE19AKC</t>
  </si>
  <si>
    <t>5004</t>
  </si>
  <si>
    <t>YE19AKH</t>
  </si>
  <si>
    <t>5005</t>
  </si>
  <si>
    <t>YE19AKD</t>
  </si>
  <si>
    <t>5006</t>
  </si>
  <si>
    <t>YE19AKR</t>
  </si>
  <si>
    <t>5007</t>
  </si>
  <si>
    <t>YK69HCF</t>
  </si>
  <si>
    <t>5008</t>
  </si>
  <si>
    <t>YK69HCG</t>
  </si>
  <si>
    <t>DAF  Tipper Gritter Snowplough</t>
  </si>
  <si>
    <t>5009</t>
  </si>
  <si>
    <t>YK69HCL</t>
  </si>
  <si>
    <t>5010</t>
  </si>
  <si>
    <t>YK69HCN</t>
  </si>
  <si>
    <t xml:space="preserve">  18t insulated tipper/gritter</t>
  </si>
  <si>
    <t>5011</t>
  </si>
  <si>
    <t>YK69HCO</t>
  </si>
  <si>
    <t xml:space="preserve">  18t ins tipper/gritter/plough</t>
  </si>
  <si>
    <t>5012</t>
  </si>
  <si>
    <t>YK69HCJ</t>
  </si>
  <si>
    <t xml:space="preserve">  18t Tipper/Gritter/Snowplough</t>
  </si>
  <si>
    <t>5045</t>
  </si>
  <si>
    <t>YC66JKJ</t>
  </si>
  <si>
    <t>Mercedes Arocs 1824K Tipper 18t Demount</t>
  </si>
  <si>
    <t>5046</t>
  </si>
  <si>
    <t>YC66JKF</t>
  </si>
  <si>
    <t>5047</t>
  </si>
  <si>
    <t>YC66WSN</t>
  </si>
  <si>
    <t>5048</t>
  </si>
  <si>
    <t>YC66WSL</t>
  </si>
  <si>
    <t>5049</t>
  </si>
  <si>
    <t>YE66JTV</t>
  </si>
  <si>
    <t>5051</t>
  </si>
  <si>
    <t>YN74ZDH</t>
  </si>
  <si>
    <t>5052</t>
  </si>
  <si>
    <t>YN74ZDK</t>
  </si>
  <si>
    <t>5053</t>
  </si>
  <si>
    <t>YN74ZDJ</t>
  </si>
  <si>
    <t>5054</t>
  </si>
  <si>
    <t>YN74ZDL</t>
  </si>
  <si>
    <t>5055</t>
  </si>
  <si>
    <t>YN74ZDM</t>
  </si>
  <si>
    <t>5056</t>
  </si>
  <si>
    <t>YN74ZDP</t>
  </si>
  <si>
    <t>5057</t>
  </si>
  <si>
    <t>YN74ZDR</t>
  </si>
  <si>
    <t>5058</t>
  </si>
  <si>
    <t>YN74ZDS</t>
  </si>
  <si>
    <t>5059</t>
  </si>
  <si>
    <t>YN74ZDT</t>
  </si>
  <si>
    <t>5060</t>
  </si>
  <si>
    <t>YN74ZDO</t>
  </si>
  <si>
    <t>5061</t>
  </si>
  <si>
    <t>YN74ZDU</t>
  </si>
  <si>
    <t>78009</t>
  </si>
  <si>
    <t>GX18URJ</t>
  </si>
  <si>
    <t>78021</t>
  </si>
  <si>
    <t>GN67BZL</t>
  </si>
  <si>
    <t>78024</t>
  </si>
  <si>
    <t>WF24CCU</t>
  </si>
  <si>
    <t>78044</t>
  </si>
  <si>
    <t>YC24UBW</t>
  </si>
  <si>
    <t>78052</t>
  </si>
  <si>
    <t>YC59DFP</t>
  </si>
  <si>
    <t xml:space="preserve">  Galaxy MPV</t>
  </si>
  <si>
    <t>78082</t>
  </si>
  <si>
    <t>GN12AHF</t>
  </si>
  <si>
    <t>78092</t>
  </si>
  <si>
    <t>HJ12URD</t>
  </si>
  <si>
    <t>78983</t>
  </si>
  <si>
    <t>YD06OFB</t>
  </si>
  <si>
    <t>85001</t>
  </si>
  <si>
    <t>KY23LPV</t>
  </si>
  <si>
    <t xml:space="preserve">  18t Tipper</t>
  </si>
  <si>
    <t>85002</t>
  </si>
  <si>
    <t>KY23LPX</t>
  </si>
  <si>
    <t>85003</t>
  </si>
  <si>
    <t>KY23LPZ</t>
  </si>
  <si>
    <t>85004</t>
  </si>
  <si>
    <t>KR23LNX</t>
  </si>
  <si>
    <t>85005</t>
  </si>
  <si>
    <t>KO23JUH</t>
  </si>
  <si>
    <t>Volvo FH 18T Tipper</t>
  </si>
  <si>
    <t>85006</t>
  </si>
  <si>
    <t>KY73JYA</t>
  </si>
  <si>
    <t>VOLVO 18t Tipper Hire</t>
  </si>
  <si>
    <t>85007</t>
  </si>
  <si>
    <t>KY73JZL</t>
  </si>
  <si>
    <t>Volvo  18t Hired Tipper (Dawson)</t>
  </si>
  <si>
    <t>85008</t>
  </si>
  <si>
    <t>KY73JZM</t>
  </si>
  <si>
    <t>85009</t>
  </si>
  <si>
    <t>KR73GDV</t>
  </si>
  <si>
    <t xml:space="preserve">Volvo 18t Tipper (Hired) </t>
  </si>
  <si>
    <t>85010</t>
  </si>
  <si>
    <t>KR73GDX</t>
  </si>
  <si>
    <t xml:space="preserve"> Volvo  FL3 18t Hired Tipper (Dawson)</t>
  </si>
  <si>
    <t>86914</t>
  </si>
  <si>
    <t>Volvo EW160 Waste Compactor</t>
  </si>
  <si>
    <t>86915</t>
  </si>
  <si>
    <t>Volvo L110 Loading Shovel</t>
  </si>
  <si>
    <t>86920</t>
  </si>
  <si>
    <t>Linde H30 Forklift Truck</t>
  </si>
  <si>
    <t>9600</t>
  </si>
  <si>
    <t xml:space="preserve">  Plant</t>
  </si>
  <si>
    <t>9601</t>
  </si>
  <si>
    <t xml:space="preserve">  Tarmac Rollers</t>
  </si>
  <si>
    <t>9602</t>
  </si>
  <si>
    <t>96/113</t>
  </si>
  <si>
    <t>MPM 10 Genset</t>
  </si>
  <si>
    <t>A1297805</t>
  </si>
  <si>
    <t xml:space="preserve">JCB  1.5T 360 </t>
  </si>
  <si>
    <t>AO67APX</t>
  </si>
  <si>
    <t>John Deere 6110M Tractor</t>
  </si>
  <si>
    <t>AY70EWD</t>
  </si>
  <si>
    <t>Ransome Parkway Ride on Mower</t>
  </si>
  <si>
    <t>big chipper</t>
  </si>
  <si>
    <t>n/a  Chipper</t>
  </si>
  <si>
    <t>Citroen Berlingo Small Van</t>
  </si>
  <si>
    <t>CC01PET</t>
  </si>
  <si>
    <t>Cans Cans Cans</t>
  </si>
  <si>
    <t>CC02PET</t>
  </si>
  <si>
    <t>CC03PET</t>
  </si>
  <si>
    <t>CC03white</t>
  </si>
  <si>
    <t>Plant Plant n/a</t>
  </si>
  <si>
    <t>CC04PET</t>
  </si>
  <si>
    <t>CC06PET</t>
  </si>
  <si>
    <t>CC07PET</t>
  </si>
  <si>
    <t>CC08PET</t>
  </si>
  <si>
    <t>CC09PET</t>
  </si>
  <si>
    <t>CC10Cans</t>
  </si>
  <si>
    <t>CC10PET</t>
  </si>
  <si>
    <t>CC11PET</t>
  </si>
  <si>
    <t>CC13PET</t>
  </si>
  <si>
    <t>Petrol Cans Cans Petrol</t>
  </si>
  <si>
    <t>CC14PET</t>
  </si>
  <si>
    <t>CC15PET</t>
  </si>
  <si>
    <t>CC16PET</t>
  </si>
  <si>
    <t>CC17PET</t>
  </si>
  <si>
    <t>CC17Red</t>
  </si>
  <si>
    <t>Gasoil Gasoil Gasoil</t>
  </si>
  <si>
    <t>CC18PET</t>
  </si>
  <si>
    <t>CC18RED</t>
  </si>
  <si>
    <t>CC19PET</t>
  </si>
  <si>
    <t>CC20PET</t>
  </si>
  <si>
    <t>CC21PET</t>
  </si>
  <si>
    <t>CANS Cans Cans</t>
  </si>
  <si>
    <t>CC25DIESEL</t>
  </si>
  <si>
    <t>CANS CANS CANS</t>
  </si>
  <si>
    <t>CC25GASoil</t>
  </si>
  <si>
    <t>n/a n/a n/a</t>
  </si>
  <si>
    <t>CC25PET</t>
  </si>
  <si>
    <t>CC36PET</t>
  </si>
  <si>
    <t>CC36PET1</t>
  </si>
  <si>
    <t>CC50PET</t>
  </si>
  <si>
    <t>CC51PET</t>
  </si>
  <si>
    <t>CC52PET</t>
  </si>
  <si>
    <t>CC52PPW</t>
  </si>
  <si>
    <t>Karcher HDS 895 Pressure Wash</t>
  </si>
  <si>
    <t>CC53GasOil</t>
  </si>
  <si>
    <t>CC53PET</t>
  </si>
  <si>
    <t>Cans  Cans  Cans</t>
  </si>
  <si>
    <t>CC56PET</t>
  </si>
  <si>
    <t>CE01GASOIL</t>
  </si>
  <si>
    <t>n/a n/a Cans</t>
  </si>
  <si>
    <t>NA</t>
  </si>
  <si>
    <t>CE01PET</t>
  </si>
  <si>
    <t>CE01PET1</t>
  </si>
  <si>
    <t>CE01PLA</t>
  </si>
  <si>
    <t>Plant Cans Cans</t>
  </si>
  <si>
    <t>CityCleanspet</t>
  </si>
  <si>
    <t xml:space="preserve">CityCleanspet </t>
  </si>
  <si>
    <t>CL21BNB</t>
  </si>
  <si>
    <t>Enhancement Pet</t>
  </si>
  <si>
    <t>ESF208340</t>
  </si>
  <si>
    <t>WS21/25</t>
  </si>
  <si>
    <t>Atlas copco HiLight H6+ Tower Light</t>
  </si>
  <si>
    <t>GO01PET</t>
  </si>
  <si>
    <t>H1541</t>
  </si>
  <si>
    <t>Mecalac Dumper 1T HiTip</t>
  </si>
  <si>
    <t>H6353</t>
  </si>
  <si>
    <t>Mecalac Dumper 1T Hi Tip</t>
  </si>
  <si>
    <t>H6849</t>
  </si>
  <si>
    <t>H6868</t>
  </si>
  <si>
    <t>H7239</t>
  </si>
  <si>
    <t>Thwaites Dumper 1T Hi tip</t>
  </si>
  <si>
    <t>H7436</t>
  </si>
  <si>
    <t>Mecalac 1T Hitip Dumper</t>
  </si>
  <si>
    <t>H9729</t>
  </si>
  <si>
    <t>Mecalac Dumper 3T Swivel</t>
  </si>
  <si>
    <t>HerdFarm</t>
  </si>
  <si>
    <t>Jerry Can</t>
  </si>
  <si>
    <t xml:space="preserve">  Jerry Can</t>
  </si>
  <si>
    <t>Jerry Can Glen 2</t>
  </si>
  <si>
    <t>LBS Generator</t>
  </si>
  <si>
    <t xml:space="preserve">  Generator</t>
  </si>
  <si>
    <t>LF22XWE</t>
  </si>
  <si>
    <t>Bucher C202 Small Sweeper</t>
  </si>
  <si>
    <t>Bucher C202 Small Sweep</t>
  </si>
  <si>
    <t>LF74OUW</t>
  </si>
  <si>
    <t>Bucher C202 Small Sweeper 7.5T</t>
  </si>
  <si>
    <t>LF74OWG</t>
  </si>
  <si>
    <t>LJ68AUO</t>
  </si>
  <si>
    <t>Johnson Sweep Sweeper</t>
  </si>
  <si>
    <t>LO01PET</t>
  </si>
  <si>
    <t>Loadhall</t>
  </si>
  <si>
    <t>jcb loadhall 5m</t>
  </si>
  <si>
    <t>LS01PET</t>
  </si>
  <si>
    <t>Master Key</t>
  </si>
  <si>
    <t>n/a</t>
  </si>
  <si>
    <t>N4343</t>
  </si>
  <si>
    <t xml:space="preserve">  Fork Lift</t>
  </si>
  <si>
    <t>Nursery 6</t>
  </si>
  <si>
    <t>OR01PET</t>
  </si>
  <si>
    <t>PB01PET</t>
  </si>
  <si>
    <t>PB01RED</t>
  </si>
  <si>
    <t>Plant Various Hired</t>
  </si>
  <si>
    <t>PK20FWA</t>
  </si>
  <si>
    <t>John Deere 6130R Tractor</t>
  </si>
  <si>
    <t>PK22ZDG</t>
  </si>
  <si>
    <t>John Deere JD6120R Tractor</t>
  </si>
  <si>
    <t>PK22ZDH</t>
  </si>
  <si>
    <t>John Deere 6120R Tractor</t>
  </si>
  <si>
    <t>PO13CCN</t>
  </si>
  <si>
    <t>PO20GOC</t>
  </si>
  <si>
    <t>Ransome HM 600 Ride On Mower</t>
  </si>
  <si>
    <t>PO21DHJ</t>
  </si>
  <si>
    <t>Ransomes Parkway Ride on Mower</t>
  </si>
  <si>
    <t>RO01PET</t>
  </si>
  <si>
    <t>RV70DZP</t>
  </si>
  <si>
    <t>JCB 540-140 TELEHANDLER</t>
  </si>
  <si>
    <t>SAILINGCENTREDIESEL</t>
  </si>
  <si>
    <t>LSCDIESEL</t>
  </si>
  <si>
    <t>DIESEL CANS DIESEL CANS DIESEL CANS</t>
  </si>
  <si>
    <t>SAILINGCENTREPET</t>
  </si>
  <si>
    <t>LSCPET</t>
  </si>
  <si>
    <t>PETROL PETROL PETROL</t>
  </si>
  <si>
    <t>TE01PET</t>
  </si>
  <si>
    <t>TempleGenerator</t>
  </si>
  <si>
    <t>Generator Generator Generator</t>
  </si>
  <si>
    <t>Valla 2T Hoist</t>
  </si>
  <si>
    <t>Valla 20D TRX 2T Hoist</t>
  </si>
  <si>
    <t>YE20FEF</t>
  </si>
  <si>
    <t>YS15WJA</t>
  </si>
  <si>
    <t>JCB Loadall Utility</t>
  </si>
  <si>
    <t>YT72LTU</t>
  </si>
  <si>
    <t>JCB 3CX Compact Excavator</t>
  </si>
  <si>
    <t>YWTPET01</t>
  </si>
  <si>
    <t>Petrol Cans Petrol Cans</t>
  </si>
  <si>
    <t>YX17HGK</t>
  </si>
  <si>
    <t>New Holland  Tractor</t>
  </si>
  <si>
    <t>YX18EVJ</t>
  </si>
  <si>
    <t>Toro LT3340 Mowing Machine</t>
  </si>
  <si>
    <t>YX18EVK</t>
  </si>
  <si>
    <t>YX18EVL</t>
  </si>
  <si>
    <t>YX18EVP</t>
  </si>
  <si>
    <t>YX19CWW</t>
  </si>
  <si>
    <t>New Holland T105 Tractor</t>
  </si>
  <si>
    <t>Vehicle Count</t>
  </si>
  <si>
    <t>Average Lph</t>
  </si>
  <si>
    <t>Date Range</t>
  </si>
  <si>
    <t>01/04/2024 00:00:00 - 01/04/2025 23:59:00</t>
  </si>
  <si>
    <t>Distance_Miles</t>
  </si>
  <si>
    <t>Fuel_Type</t>
  </si>
  <si>
    <t>MPG_Check</t>
  </si>
  <si>
    <t>Suspicious_MPG_Count</t>
  </si>
  <si>
    <t>Distance_Check</t>
  </si>
  <si>
    <t>Negative_Distance_Count</t>
  </si>
  <si>
    <t>Data_Quality</t>
  </si>
  <si>
    <t>Fuel_Consumption_Status</t>
  </si>
  <si>
    <t>Total_Valid_Litres</t>
  </si>
  <si>
    <t>Total_Valid_Distance</t>
  </si>
  <si>
    <t>Distance_Miles_Calc</t>
  </si>
  <si>
    <t>Total_Valid_Distance_Miles</t>
  </si>
  <si>
    <t>Overall_Fleet_MPG</t>
  </si>
  <si>
    <t>Fuel Type</t>
  </si>
  <si>
    <t>Average Price (£/L)</t>
  </si>
  <si>
    <t>Source</t>
  </si>
  <si>
    <t>UK Government – Weekly Road Fuel Prices</t>
  </si>
  <si>
    <t>Estimated_Fuel_Cost</t>
  </si>
  <si>
    <t>Total_Estimated_Fuel_Cost</t>
  </si>
  <si>
    <t>Fleet Fuel &amp; Efficiency Dashboard</t>
  </si>
  <si>
    <t>Total Valid Fuel (Litres)</t>
  </si>
  <si>
    <t>Total Valid Distance (Miles)</t>
  </si>
  <si>
    <t>Overall Fleet MPG</t>
  </si>
  <si>
    <t>Estimated Annual Fuel Cost (£)</t>
  </si>
  <si>
    <t>Average Diesel Price (£/L)</t>
  </si>
  <si>
    <t>Total Records</t>
  </si>
  <si>
    <t>Valid Records</t>
  </si>
  <si>
    <t>Records Requiring Review</t>
  </si>
  <si>
    <t>Excluded Records</t>
  </si>
  <si>
    <t>Estimated Fuel Cost (£)</t>
  </si>
  <si>
    <t>Top 10 Vehicles by Fuel Cost</t>
  </si>
  <si>
    <t>Total Distance (Miles)</t>
  </si>
  <si>
    <t>Average MPG</t>
  </si>
  <si>
    <t>Top 10 Lowest-MPG Vehicles</t>
  </si>
  <si>
    <t>Fleet Average MPG</t>
  </si>
  <si>
    <t>Data Quality Review Rate</t>
  </si>
  <si>
    <t>Fuel Cost per Mile (£)</t>
  </si>
  <si>
    <t>Average Fuel Cost per Valid Record (£)</t>
  </si>
  <si>
    <t>Data Quality Status</t>
  </si>
  <si>
    <t>Fuel Cost per 100 Miles (£)</t>
  </si>
  <si>
    <t>Fleet Efficiency Status</t>
  </si>
  <si>
    <t>Last Dashboard Update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</si>
</sst>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£&quot;#,##0.00"/>
    <numFmt numFmtId="165" formatCode="dd/mm/yyyy\ hh:mm"/>
  </numFmts>
  <fonts count="16">
    <font>
      <sz val="10"/>
      <name val="Arial"/>
      <charset val="1"/>
    </font>
    <font>
      <b/>
      <sz val="10"/>
      <color indexed="9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4"/>
      <color rgb="FF000000"/>
      <name val="-webkit-standard"/>
    </font>
    <font>
      <sz val="10"/>
      <color theme="1"/>
      <name val="Arial"/>
      <family val="2"/>
    </font>
    <font>
      <sz val="14"/>
      <color theme="0"/>
      <name val="Arial"/>
      <family val="2"/>
    </font>
    <font>
      <sz val="14"/>
      <color theme="0"/>
      <name val="-webkit-standard"/>
    </font>
    <font>
      <sz val="10"/>
      <name val="=IF(O2=&quot;Exclude&quot;,0,G2*Fuel_Pric"/>
    </font>
    <font>
      <sz val="10"/>
      <name val="Arial Unicode MS"/>
      <family val="2"/>
    </font>
    <font>
      <sz val="18"/>
      <name val="Arial"/>
      <family val="2"/>
    </font>
    <font>
      <b/>
      <sz val="1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rgb="FF000000"/>
      <name val="Arial"/>
      <family val="2"/>
    </font>
    <font>
      <b/>
      <sz val="36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18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 applyNumberFormat="0" applyFill="0" applyBorder="0" applyAlignment="0" applyProtection="0"/>
    <xf numFmtId="9" fontId="3" fillId="0" borderId="0" applyFont="0" applyFill="0" applyBorder="0" applyAlignment="0" applyProtection="0"/>
  </cellStyleXfs>
  <cellXfs count="42">
    <xf numFmtId="0" fontId="0" fillId="0" borderId="0" xfId="0"/>
    <xf numFmtId="0" fontId="2" fillId="0" borderId="0" xfId="0" applyFont="1" applyFill="1" applyBorder="1" applyAlignment="1" applyProtection="1"/>
    <xf numFmtId="0" fontId="4" fillId="0" borderId="0" xfId="0" applyFont="1"/>
    <xf numFmtId="0" fontId="2" fillId="3" borderId="0" xfId="0" applyFont="1" applyFill="1" applyBorder="1" applyAlignment="1" applyProtection="1"/>
    <xf numFmtId="0" fontId="0" fillId="4" borderId="0" xfId="0" applyFill="1"/>
    <xf numFmtId="0" fontId="6" fillId="4" borderId="0" xfId="0" applyFont="1" applyFill="1"/>
    <xf numFmtId="0" fontId="5" fillId="0" borderId="0" xfId="0" applyFont="1" applyFill="1" applyBorder="1" applyAlignment="1" applyProtection="1"/>
    <xf numFmtId="0" fontId="5" fillId="0" borderId="0" xfId="0" applyFont="1"/>
    <xf numFmtId="0" fontId="0" fillId="0" borderId="0" xfId="0" applyNumberFormat="1"/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0" fontId="6" fillId="4" borderId="0" xfId="0" applyFont="1" applyFill="1" applyAlignment="1">
      <alignment horizontal="center"/>
    </xf>
    <xf numFmtId="0" fontId="2" fillId="0" borderId="0" xfId="0" applyFont="1" applyFill="1" applyBorder="1" applyAlignment="1" applyProtection="1">
      <alignment horizontal="center"/>
    </xf>
    <xf numFmtId="0" fontId="2" fillId="4" borderId="0" xfId="0" applyFont="1" applyFill="1"/>
    <xf numFmtId="0" fontId="2" fillId="4" borderId="0" xfId="0" applyFont="1" applyFill="1" applyAlignment="1">
      <alignment horizontal="center"/>
    </xf>
    <xf numFmtId="0" fontId="0" fillId="0" borderId="0" xfId="0" applyNumberFormat="1" applyAlignment="1">
      <alignment horizontal="center"/>
    </xf>
    <xf numFmtId="0" fontId="7" fillId="4" borderId="0" xfId="0" applyFont="1" applyFill="1"/>
    <xf numFmtId="0" fontId="8" fillId="0" borderId="0" xfId="0" applyNumberFormat="1" applyFont="1" applyAlignment="1">
      <alignment horizontal="center"/>
    </xf>
    <xf numFmtId="0" fontId="9" fillId="0" borderId="0" xfId="0" applyFont="1"/>
    <xf numFmtId="164" fontId="0" fillId="0" borderId="0" xfId="0" applyNumberFormat="1"/>
    <xf numFmtId="2" fontId="0" fillId="0" borderId="0" xfId="0" applyNumberFormat="1"/>
    <xf numFmtId="2" fontId="13" fillId="5" borderId="0" xfId="1" applyNumberFormat="1" applyFont="1" applyFill="1"/>
    <xf numFmtId="1" fontId="13" fillId="5" borderId="0" xfId="0" applyNumberFormat="1" applyFont="1" applyFill="1"/>
    <xf numFmtId="2" fontId="13" fillId="5" borderId="0" xfId="0" applyNumberFormat="1" applyFont="1" applyFill="1"/>
    <xf numFmtId="164" fontId="13" fillId="5" borderId="0" xfId="0" applyNumberFormat="1" applyFont="1" applyFill="1"/>
    <xf numFmtId="0" fontId="0" fillId="0" borderId="0" xfId="0" applyAlignment="1"/>
    <xf numFmtId="0" fontId="13" fillId="5" borderId="0" xfId="0" applyFont="1" applyFill="1"/>
    <xf numFmtId="0" fontId="0" fillId="0" borderId="0" xfId="0" applyAlignment="1">
      <alignment horizontal="center"/>
    </xf>
    <xf numFmtId="0" fontId="1" fillId="2" borderId="0" xfId="0" applyFont="1" applyFill="1" applyBorder="1" applyAlignment="1" applyProtection="1">
      <alignment horizontal="center" vertical="center"/>
    </xf>
    <xf numFmtId="0" fontId="2" fillId="0" borderId="0" xfId="0" applyFont="1" applyFill="1" applyBorder="1" applyAlignment="1" applyProtection="1"/>
    <xf numFmtId="0" fontId="0" fillId="5" borderId="0" xfId="0" applyFill="1"/>
    <xf numFmtId="0" fontId="12" fillId="5" borderId="0" xfId="0" applyFont="1" applyFill="1"/>
    <xf numFmtId="0" fontId="13" fillId="5" borderId="0" xfId="0" applyFont="1" applyFill="1" applyAlignment="1">
      <alignment wrapText="1"/>
    </xf>
    <xf numFmtId="0" fontId="14" fillId="5" borderId="0" xfId="0" applyFont="1" applyFill="1"/>
    <xf numFmtId="2" fontId="12" fillId="5" borderId="0" xfId="0" applyNumberFormat="1" applyFont="1" applyFill="1"/>
    <xf numFmtId="10" fontId="12" fillId="5" borderId="0" xfId="0" applyNumberFormat="1" applyFont="1" applyFill="1"/>
    <xf numFmtId="164" fontId="12" fillId="5" borderId="0" xfId="0" applyNumberFormat="1" applyFont="1" applyFill="1"/>
    <xf numFmtId="0" fontId="0" fillId="5" borderId="0" xfId="0" applyFill="1" applyAlignment="1">
      <alignment horizontal="center"/>
    </xf>
    <xf numFmtId="165" fontId="0" fillId="5" borderId="0" xfId="0" applyNumberFormat="1" applyFill="1" applyAlignment="1">
      <alignment horizontal="center"/>
    </xf>
    <xf numFmtId="0" fontId="10" fillId="5" borderId="0" xfId="0" applyFont="1" applyFill="1" applyAlignment="1">
      <alignment horizontal="center"/>
    </xf>
    <xf numFmtId="0" fontId="15" fillId="5" borderId="0" xfId="0" applyFont="1" applyFill="1" applyAlignment="1">
      <alignment horizontal="center"/>
    </xf>
    <xf numFmtId="0" fontId="11" fillId="5" borderId="0" xfId="0" applyFont="1" applyFill="1" applyAlignment="1">
      <alignment horizontal="center"/>
    </xf>
  </cellXfs>
  <cellStyles count="2">
    <cellStyle name="Normal" xfId="0" builtinId="0"/>
    <cellStyle name="Per cent" xfId="1" builtinId="5"/>
  </cellStyles>
  <dxfs count="17"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fill>
        <patternFill>
          <fgColor indexed="64"/>
          <bgColor theme="4"/>
        </patternFill>
      </fill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10 Vehicles by Estimated Fuel Cost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634518986097612"/>
          <c:y val="0.27648605365007339"/>
          <c:w val="0.80165485564304462"/>
          <c:h val="0.6191746864975211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Dashboard!$H$3:$H$4</c:f>
              <c:strCache>
                <c:ptCount val="2"/>
                <c:pt idx="0">
                  <c:v>Top 10 Vehicles by Fuel Cost</c:v>
                </c:pt>
                <c:pt idx="1">
                  <c:v>Estimated Fuel Cost (£)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Dashboard!$G$5:$G$14</c:f>
              <c:strCache>
                <c:ptCount val="10"/>
                <c:pt idx="0">
                  <c:v>YG69UKP</c:v>
                </c:pt>
                <c:pt idx="1">
                  <c:v>YE19FLS</c:v>
                </c:pt>
                <c:pt idx="2">
                  <c:v>YH69ZYT</c:v>
                </c:pt>
                <c:pt idx="3">
                  <c:v>YL69KJN</c:v>
                </c:pt>
                <c:pt idx="4">
                  <c:v>YH17VCF</c:v>
                </c:pt>
                <c:pt idx="5">
                  <c:v>YL69KJV</c:v>
                </c:pt>
                <c:pt idx="6">
                  <c:v>FL65FBA</c:v>
                </c:pt>
                <c:pt idx="7">
                  <c:v>YG69UKR</c:v>
                </c:pt>
                <c:pt idx="8">
                  <c:v>MJ16XMY</c:v>
                </c:pt>
                <c:pt idx="9">
                  <c:v>BP16MKK</c:v>
                </c:pt>
              </c:strCache>
            </c:strRef>
          </c:cat>
          <c:val>
            <c:numRef>
              <c:f>Dashboard!$H$5:$H$14</c:f>
              <c:numCache>
                <c:formatCode>"£"#,##0.00</c:formatCode>
                <c:ptCount val="10"/>
                <c:pt idx="0">
                  <c:v>3312.7227760000005</c:v>
                </c:pt>
                <c:pt idx="1">
                  <c:v>2674.3700680000002</c:v>
                </c:pt>
                <c:pt idx="2">
                  <c:v>2573.259724</c:v>
                </c:pt>
                <c:pt idx="3">
                  <c:v>2495.9651119999999</c:v>
                </c:pt>
                <c:pt idx="4">
                  <c:v>2242.2783480000003</c:v>
                </c:pt>
                <c:pt idx="5">
                  <c:v>1890.537176</c:v>
                </c:pt>
                <c:pt idx="6">
                  <c:v>1646.5177480000002</c:v>
                </c:pt>
                <c:pt idx="7">
                  <c:v>1259.3541640000001</c:v>
                </c:pt>
                <c:pt idx="8">
                  <c:v>981.7635160000001</c:v>
                </c:pt>
                <c:pt idx="9">
                  <c:v>417.531948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B9-F840-8AEB-20DFB159665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220285296"/>
        <c:axId val="220563392"/>
      </c:barChart>
      <c:catAx>
        <c:axId val="2202852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563392"/>
        <c:crosses val="autoZero"/>
        <c:auto val="1"/>
        <c:lblAlgn val="ctr"/>
        <c:lblOffset val="100"/>
        <c:noMultiLvlLbl val="0"/>
      </c:catAx>
      <c:valAx>
        <c:axId val="22056339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&quot;£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285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Fuel Cost vs Distance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Dashboard!$L$3</c:f>
              <c:strCache>
                <c:ptCount val="1"/>
                <c:pt idx="0">
                  <c:v>Estimated Fuel Cost (£)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trendline>
            <c:spPr>
              <a:ln w="9525" cap="rnd">
                <a:solidFill>
                  <a:schemeClr val="accent1"/>
                </a:solidFill>
              </a:ln>
              <a:effectLst/>
            </c:spPr>
            <c:trendlineType val="linear"/>
            <c:dispRSqr val="1"/>
            <c:dispEq val="0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Dashboard!$K$4:$K$14</c:f>
              <c:numCache>
                <c:formatCode>General</c:formatCode>
                <c:ptCount val="11"/>
                <c:pt idx="0">
                  <c:v>12632</c:v>
                </c:pt>
                <c:pt idx="1">
                  <c:v>5395</c:v>
                </c:pt>
                <c:pt idx="2">
                  <c:v>4023</c:v>
                </c:pt>
                <c:pt idx="3">
                  <c:v>0</c:v>
                </c:pt>
                <c:pt idx="4">
                  <c:v>13274</c:v>
                </c:pt>
                <c:pt idx="5">
                  <c:v>15529</c:v>
                </c:pt>
                <c:pt idx="6">
                  <c:v>20244</c:v>
                </c:pt>
                <c:pt idx="7">
                  <c:v>7392</c:v>
                </c:pt>
                <c:pt idx="8">
                  <c:v>15318</c:v>
                </c:pt>
                <c:pt idx="9">
                  <c:v>15063</c:v>
                </c:pt>
                <c:pt idx="10">
                  <c:v>12438</c:v>
                </c:pt>
              </c:numCache>
            </c:numRef>
          </c:xVal>
          <c:yVal>
            <c:numRef>
              <c:f>Dashboard!$L$4:$L$14</c:f>
              <c:numCache>
                <c:formatCode>"£"#,##0.00</c:formatCode>
                <c:ptCount val="11"/>
                <c:pt idx="0">
                  <c:v>1646.5177480000002</c:v>
                </c:pt>
                <c:pt idx="1">
                  <c:v>981.7635160000001</c:v>
                </c:pt>
                <c:pt idx="2">
                  <c:v>417.531948</c:v>
                </c:pt>
                <c:pt idx="3">
                  <c:v>0</c:v>
                </c:pt>
                <c:pt idx="4">
                  <c:v>2242.2783480000003</c:v>
                </c:pt>
                <c:pt idx="5">
                  <c:v>2674.3700680000002</c:v>
                </c:pt>
                <c:pt idx="6">
                  <c:v>3312.7227760000005</c:v>
                </c:pt>
                <c:pt idx="7">
                  <c:v>1259.3541640000001</c:v>
                </c:pt>
                <c:pt idx="8">
                  <c:v>2573.259724</c:v>
                </c:pt>
                <c:pt idx="9">
                  <c:v>2495.9651119999999</c:v>
                </c:pt>
                <c:pt idx="10">
                  <c:v>1890.537176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18-0947-9410-AE29830F1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240512"/>
        <c:axId val="199881056"/>
      </c:scatterChart>
      <c:valAx>
        <c:axId val="966240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881056"/>
        <c:crosses val="autoZero"/>
        <c:crossBetween val="midCat"/>
      </c:valAx>
      <c:valAx>
        <c:axId val="199881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£&quot;#,##0.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6240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Top 10 Lowest-MPG Vehicles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7136482939632549E-2"/>
          <c:y val="0.19486111111111112"/>
          <c:w val="0.90286351706036749"/>
          <c:h val="0.616507728200641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Dashboard!$R$4</c:f>
              <c:strCache>
                <c:ptCount val="1"/>
                <c:pt idx="0">
                  <c:v>Average MPG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Dashboard!$Q$5:$Q$15</c:f>
              <c:strCache>
                <c:ptCount val="10"/>
                <c:pt idx="0">
                  <c:v>MJ16XMY</c:v>
                </c:pt>
                <c:pt idx="1">
                  <c:v>YE19FLS</c:v>
                </c:pt>
                <c:pt idx="2">
                  <c:v>YG69UKR</c:v>
                </c:pt>
                <c:pt idx="3">
                  <c:v>YH17VCF</c:v>
                </c:pt>
                <c:pt idx="4">
                  <c:v>YH69ZYT</c:v>
                </c:pt>
                <c:pt idx="5">
                  <c:v>YL69KJN</c:v>
                </c:pt>
                <c:pt idx="6">
                  <c:v>YG69UKP</c:v>
                </c:pt>
                <c:pt idx="7">
                  <c:v>YL69KJV</c:v>
                </c:pt>
                <c:pt idx="8">
                  <c:v>FL65FBA</c:v>
                </c:pt>
                <c:pt idx="9">
                  <c:v>BP16MKK</c:v>
                </c:pt>
              </c:strCache>
            </c:strRef>
          </c:cat>
          <c:val>
            <c:numRef>
              <c:f>Dashboard!$R$5:$R$15</c:f>
              <c:numCache>
                <c:formatCode>0.00</c:formatCode>
                <c:ptCount val="11"/>
                <c:pt idx="0">
                  <c:v>36.700000000000003</c:v>
                </c:pt>
                <c:pt idx="1">
                  <c:v>38.78</c:v>
                </c:pt>
                <c:pt idx="2">
                  <c:v>39.200000000000003</c:v>
                </c:pt>
                <c:pt idx="3">
                  <c:v>39.54</c:v>
                </c:pt>
                <c:pt idx="4">
                  <c:v>39.76</c:v>
                </c:pt>
                <c:pt idx="5">
                  <c:v>40.31</c:v>
                </c:pt>
                <c:pt idx="6">
                  <c:v>40.82</c:v>
                </c:pt>
                <c:pt idx="7">
                  <c:v>43.94</c:v>
                </c:pt>
                <c:pt idx="8">
                  <c:v>51.24</c:v>
                </c:pt>
                <c:pt idx="9">
                  <c:v>64.349999999999994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6C-2140-B79C-AE43525DB234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2131199087"/>
        <c:axId val="576500512"/>
      </c:barChart>
      <c:catAx>
        <c:axId val="213119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500512"/>
        <c:crosses val="autoZero"/>
        <c:auto val="1"/>
        <c:lblAlgn val="ctr"/>
        <c:lblOffset val="100"/>
        <c:noMultiLvlLbl val="0"/>
      </c:catAx>
      <c:valAx>
        <c:axId val="576500512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21311990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21</xdr:row>
      <xdr:rowOff>76200</xdr:rowOff>
    </xdr:from>
    <xdr:to>
      <xdr:col>0</xdr:col>
      <xdr:colOff>5918200</xdr:colOff>
      <xdr:row>34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A889935-75E6-0B69-533F-A1B17657AB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152400</xdr:colOff>
      <xdr:row>36</xdr:row>
      <xdr:rowOff>38100</xdr:rowOff>
    </xdr:from>
    <xdr:to>
      <xdr:col>1</xdr:col>
      <xdr:colOff>5499100</xdr:colOff>
      <xdr:row>49</xdr:row>
      <xdr:rowOff>139700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8A4A625-B377-C83A-C86A-FBB3E65AB4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25400</xdr:colOff>
      <xdr:row>21</xdr:row>
      <xdr:rowOff>139700</xdr:rowOff>
    </xdr:from>
    <xdr:to>
      <xdr:col>1</xdr:col>
      <xdr:colOff>5486400</xdr:colOff>
      <xdr:row>35</xdr:row>
      <xdr:rowOff>12700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C8702B0-8E0A-B93B-9819-69E6697974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4152900</xdr:colOff>
      <xdr:row>0</xdr:row>
      <xdr:rowOff>50800</xdr:rowOff>
    </xdr:from>
    <xdr:to>
      <xdr:col>1</xdr:col>
      <xdr:colOff>5461000</xdr:colOff>
      <xdr:row>1</xdr:row>
      <xdr:rowOff>25400</xdr:rowOff>
    </xdr:to>
    <xdr:sp macro="[0]!Module2.RefreshFleet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44FEB233-17F5-1B78-2B52-9F5B66C56BF7}"/>
            </a:ext>
          </a:extLst>
        </xdr:cNvPr>
        <xdr:cNvSpPr/>
      </xdr:nvSpPr>
      <xdr:spPr>
        <a:xfrm>
          <a:off x="10160000" y="50800"/>
          <a:ext cx="1308100" cy="2667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Refresh Dashboard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736A5A4-493C-5E49-8A12-A4DE33DA6290}" name="tblFleetFuel" displayName="tblFleetFuel" ref="A1:K1139" totalsRowShown="0" headerRowDxfId="16">
  <autoFilter ref="A1:K1139" xr:uid="{2736A5A4-493C-5E49-8A12-A4DE33DA6290}"/>
  <tableColumns count="11">
    <tableColumn id="1" xr3:uid="{F47E2EAF-4021-0546-9C4F-AAC0B88F2652}" name="Number"/>
    <tableColumn id="2" xr3:uid="{6F48BC5D-3846-0848-B2A3-0B45AC04C2F5}" name="Registration"/>
    <tableColumn id="3" xr3:uid="{49D13413-0A04-4A49-A030-94639E651511}" name="Details"/>
    <tableColumn id="4" xr3:uid="{5CC519BB-FE63-F947-B491-E34E103C135D}" name="Product"/>
    <tableColumn id="5" xr3:uid="{2EA209AC-BA04-9548-A382-153DC0C41CD5}" name="Distance_Miles" dataDxfId="15"/>
    <tableColumn id="6" xr3:uid="{144207DF-8ED9-FE4C-9E65-B291A8AA61A5}" name="Unit" dataDxfId="14"/>
    <tableColumn id="7" xr3:uid="{64DEB133-0097-E540-815D-C2590A9FBEFA}" name="Litres" dataDxfId="13"/>
    <tableColumn id="8" xr3:uid="{7DC9EC39-6378-F34E-AC66-348F76DFF50D}" name="MPG"/>
    <tableColumn id="9" xr3:uid="{AA96ACCF-B601-2A45-8B80-F1DE9FA91398}" name="Fuel_Type"/>
    <tableColumn id="10" xr3:uid="{2C04A049-8B38-A048-BEEC-87A277E977C3}" name="MPG_Check" dataDxfId="12">
      <calculatedColumnFormula>IF(OR(H2&lt;=0,H2&gt;100),"Check","OK")</calculatedColumnFormula>
    </tableColumn>
    <tableColumn id="11" xr3:uid="{C407E448-75FE-494E-AD64-E0041F907252}" name="Distance_Check" dataDxfId="11">
      <calculatedColumnFormula>IF(E2&lt;0,"Check","OK")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8BA09D-4CD6-C041-A42E-7E4CF749ABE8}" name="Table2" displayName="Table2" ref="L1:V1139" totalsRowShown="0" headerRowDxfId="10">
  <autoFilter ref="L1:V1139" xr:uid="{538BA09D-4CD6-C041-A42E-7E4CF749ABE8}"/>
  <tableColumns count="11">
    <tableColumn id="1" xr3:uid="{BC4F8E72-D82D-744E-82A6-2C6B8E5269B5}" name="Suspicious_MPG_Count">
      <calculatedColumnFormula>COUNTIF(J:J,"Check")</calculatedColumnFormula>
    </tableColumn>
    <tableColumn id="2" xr3:uid="{59965198-6486-3D46-A52C-69CC45AE6D73}" name="Negative_Distance_Count" dataDxfId="9">
      <calculatedColumnFormula>COUNTIF(K:K,"Check")</calculatedColumnFormula>
    </tableColumn>
    <tableColumn id="3" xr3:uid="{2ADE9093-7E3C-C149-A82D-7101B5B34B8B}" name="Data_Quality" dataDxfId="8"/>
    <tableColumn id="4" xr3:uid="{8C927DFF-E411-4741-9AF8-1F3667FEA5E3}" name="Fuel_Consumption_Status" dataDxfId="7">
      <calculatedColumnFormula>IF(N2="Review","Exclude","Include")</calculatedColumnFormula>
    </tableColumn>
    <tableColumn id="5" xr3:uid="{9365EC5B-6418-5444-8D4C-174795D79A5E}" name="Total_Valid_Litres" dataDxfId="6">
      <calculatedColumnFormula>SUMIF(O:O,"Include",G:G)</calculatedColumnFormula>
    </tableColumn>
    <tableColumn id="6" xr3:uid="{30401F2C-29BF-AE47-B468-8A2864DEB186}" name="Total_Valid_Distance" dataDxfId="5">
      <calculatedColumnFormula>SUMIF(O:O,"Include",E:E)</calculatedColumnFormula>
    </tableColumn>
    <tableColumn id="7" xr3:uid="{70B8B60D-C7B1-2843-AECF-4303C91EF4E4}" name="Distance_Miles_Calc" dataDxfId="4">
      <calculatedColumnFormula>IF(O2="Exclude",0,E2)</calculatedColumnFormula>
    </tableColumn>
    <tableColumn id="8" xr3:uid="{66F09278-9DA6-1648-8370-C715F44D97C1}" name="Total_Valid_Distance_Miles" dataDxfId="3">
      <calculatedColumnFormula>SUM(R:R)</calculatedColumnFormula>
    </tableColumn>
    <tableColumn id="9" xr3:uid="{35399687-6CA1-6544-AD00-786C0E01A8E4}" name="Overall_Fleet_MPG" dataDxfId="2">
      <calculatedColumnFormula>S2/(P2/4.54609)</calculatedColumnFormula>
    </tableColumn>
    <tableColumn id="10" xr3:uid="{A7CDE8ED-B508-9F4E-992F-21E9CC03EB43}" name="Estimated_Fuel_Cost" dataDxfId="1">
      <calculatedColumnFormula>IF(O2="Exclude",0,G2*Fuel_Price!$B$2)</calculatedColumnFormula>
    </tableColumn>
    <tableColumn id="11" xr3:uid="{298C827D-C281-2046-BF1F-FE39C285DCDA}" name="Total_Estimated_Fuel_Cost" dataDxfId="0">
      <calculatedColumnFormula>SUM(U:U)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26A40-0181-9443-85F8-A76415A12314}">
  <sheetPr codeName="Sheet1" filterMode="1">
    <outlinePr summaryBelow="0" summaryRight="0"/>
  </sheetPr>
  <dimension ref="A1:H1141"/>
  <sheetViews>
    <sheetView workbookViewId="0">
      <selection activeCell="A1149" sqref="A1149"/>
    </sheetView>
  </sheetViews>
  <sheetFormatPr baseColWidth="10" defaultColWidth="8.83203125" defaultRowHeight="13"/>
  <cols>
    <col min="1" max="2" width="20" customWidth="1"/>
    <col min="3" max="3" width="25" customWidth="1"/>
    <col min="4" max="8" width="15" customWidth="1"/>
  </cols>
  <sheetData>
    <row r="1" spans="1:8">
      <c r="A1" s="28" t="s">
        <v>0</v>
      </c>
      <c r="B1" s="28" t="s">
        <v>1</v>
      </c>
      <c r="C1" s="28" t="s">
        <v>2</v>
      </c>
      <c r="D1" s="28" t="s">
        <v>3</v>
      </c>
      <c r="E1" s="28" t="s">
        <v>5</v>
      </c>
      <c r="F1" s="28" t="s">
        <v>6</v>
      </c>
      <c r="G1" s="28" t="s">
        <v>7</v>
      </c>
      <c r="H1" s="28" t="s">
        <v>8</v>
      </c>
    </row>
    <row r="2" spans="1:8" hidden="1">
      <c r="A2" s="28"/>
      <c r="B2" s="28"/>
      <c r="C2" s="28"/>
      <c r="D2" s="28"/>
      <c r="E2" s="28"/>
      <c r="F2" s="28"/>
      <c r="G2" s="28"/>
      <c r="H2" s="28"/>
    </row>
    <row r="3" spans="1:8">
      <c r="A3" s="1" t="s">
        <v>9</v>
      </c>
      <c r="B3" s="1" t="s">
        <v>10</v>
      </c>
      <c r="C3" s="1" t="s">
        <v>11</v>
      </c>
      <c r="D3" s="1" t="s">
        <v>12</v>
      </c>
      <c r="E3" s="1">
        <v>12632</v>
      </c>
      <c r="F3" s="1" t="s">
        <v>13</v>
      </c>
      <c r="G3" s="1">
        <v>1120.69</v>
      </c>
      <c r="H3" s="1">
        <v>51.24</v>
      </c>
    </row>
    <row r="4" spans="1:8">
      <c r="A4" s="1" t="s">
        <v>14</v>
      </c>
      <c r="B4" s="1" t="s">
        <v>15</v>
      </c>
      <c r="C4" s="1" t="s">
        <v>16</v>
      </c>
      <c r="D4" s="1" t="s">
        <v>12</v>
      </c>
      <c r="E4" s="1">
        <v>5395</v>
      </c>
      <c r="F4" s="1" t="s">
        <v>13</v>
      </c>
      <c r="G4" s="1">
        <v>668.23</v>
      </c>
      <c r="H4" s="1">
        <v>36.700000000000003</v>
      </c>
    </row>
    <row r="5" spans="1:8">
      <c r="A5" s="1" t="s">
        <v>17</v>
      </c>
      <c r="B5" s="1" t="s">
        <v>18</v>
      </c>
      <c r="C5" s="1" t="s">
        <v>19</v>
      </c>
      <c r="D5" s="1" t="s">
        <v>12</v>
      </c>
      <c r="E5" s="1">
        <v>4023</v>
      </c>
      <c r="F5" s="1" t="s">
        <v>13</v>
      </c>
      <c r="G5" s="1">
        <v>284.19</v>
      </c>
      <c r="H5" s="1">
        <v>64.349999999999994</v>
      </c>
    </row>
    <row r="6" spans="1:8">
      <c r="A6" s="1" t="s">
        <v>20</v>
      </c>
      <c r="B6" s="1" t="s">
        <v>21</v>
      </c>
      <c r="C6" s="1" t="s">
        <v>22</v>
      </c>
      <c r="D6" s="1" t="s">
        <v>12</v>
      </c>
      <c r="E6" s="1">
        <v>36511</v>
      </c>
      <c r="F6" s="1" t="s">
        <v>13</v>
      </c>
      <c r="G6" s="1">
        <v>183.6</v>
      </c>
      <c r="H6" s="1">
        <v>904.04</v>
      </c>
    </row>
    <row r="7" spans="1:8">
      <c r="A7" s="1" t="s">
        <v>23</v>
      </c>
      <c r="B7" s="1" t="s">
        <v>24</v>
      </c>
      <c r="C7" s="1" t="s">
        <v>25</v>
      </c>
      <c r="D7" s="1" t="s">
        <v>12</v>
      </c>
      <c r="E7" s="1">
        <v>13274</v>
      </c>
      <c r="F7" s="1" t="s">
        <v>13</v>
      </c>
      <c r="G7" s="1">
        <v>1526.19</v>
      </c>
      <c r="H7" s="1">
        <v>39.54</v>
      </c>
    </row>
    <row r="8" spans="1:8">
      <c r="A8" s="1" t="s">
        <v>26</v>
      </c>
      <c r="B8" s="1" t="s">
        <v>27</v>
      </c>
      <c r="C8" s="1" t="s">
        <v>28</v>
      </c>
      <c r="D8" s="1" t="s">
        <v>12</v>
      </c>
      <c r="E8" s="1">
        <v>15529</v>
      </c>
      <c r="F8" s="1" t="s">
        <v>13</v>
      </c>
      <c r="G8" s="1">
        <v>1820.29</v>
      </c>
      <c r="H8" s="1">
        <v>38.78</v>
      </c>
    </row>
    <row r="9" spans="1:8">
      <c r="A9" s="1" t="s">
        <v>29</v>
      </c>
      <c r="B9" s="1" t="s">
        <v>30</v>
      </c>
      <c r="C9" s="1" t="s">
        <v>31</v>
      </c>
      <c r="D9" s="1" t="s">
        <v>12</v>
      </c>
      <c r="E9" s="1">
        <v>20244</v>
      </c>
      <c r="F9" s="1" t="s">
        <v>13</v>
      </c>
      <c r="G9" s="1">
        <v>2254.7800000000002</v>
      </c>
      <c r="H9" s="1">
        <v>40.82</v>
      </c>
    </row>
    <row r="10" spans="1:8">
      <c r="A10" s="1" t="s">
        <v>32</v>
      </c>
      <c r="B10" s="1" t="s">
        <v>33</v>
      </c>
      <c r="C10" s="1" t="s">
        <v>34</v>
      </c>
      <c r="D10" s="1" t="s">
        <v>12</v>
      </c>
      <c r="E10" s="1">
        <v>7392</v>
      </c>
      <c r="F10" s="1" t="s">
        <v>13</v>
      </c>
      <c r="G10" s="1">
        <v>857.17</v>
      </c>
      <c r="H10" s="1">
        <v>39.200000000000003</v>
      </c>
    </row>
    <row r="11" spans="1:8">
      <c r="A11" s="1" t="s">
        <v>35</v>
      </c>
      <c r="B11" s="1" t="s">
        <v>36</v>
      </c>
      <c r="C11" s="1" t="s">
        <v>37</v>
      </c>
      <c r="D11" s="1" t="s">
        <v>12</v>
      </c>
      <c r="E11" s="1">
        <v>15318</v>
      </c>
      <c r="F11" s="1" t="s">
        <v>13</v>
      </c>
      <c r="G11" s="1">
        <v>1751.47</v>
      </c>
      <c r="H11" s="1">
        <v>39.76</v>
      </c>
    </row>
    <row r="12" spans="1:8">
      <c r="A12" s="1" t="s">
        <v>38</v>
      </c>
      <c r="B12" s="1" t="s">
        <v>39</v>
      </c>
      <c r="C12" s="1" t="s">
        <v>40</v>
      </c>
      <c r="D12" s="1" t="s">
        <v>12</v>
      </c>
      <c r="E12" s="1">
        <v>15063</v>
      </c>
      <c r="F12" s="1" t="s">
        <v>13</v>
      </c>
      <c r="G12" s="1">
        <v>1698.86</v>
      </c>
      <c r="H12" s="1">
        <v>40.31</v>
      </c>
    </row>
    <row r="13" spans="1:8">
      <c r="A13" s="1" t="s">
        <v>41</v>
      </c>
      <c r="B13" s="1" t="s">
        <v>42</v>
      </c>
      <c r="C13" s="1" t="s">
        <v>40</v>
      </c>
      <c r="D13" s="1" t="s">
        <v>12</v>
      </c>
      <c r="E13" s="1">
        <v>12438</v>
      </c>
      <c r="F13" s="1" t="s">
        <v>13</v>
      </c>
      <c r="G13" s="1">
        <v>1286.78</v>
      </c>
      <c r="H13" s="1">
        <v>43.94</v>
      </c>
    </row>
    <row r="14" spans="1:8">
      <c r="A14" s="1" t="s">
        <v>43</v>
      </c>
      <c r="B14" s="1" t="s">
        <v>44</v>
      </c>
      <c r="C14" s="1" t="s">
        <v>40</v>
      </c>
      <c r="D14" s="1" t="s">
        <v>12</v>
      </c>
      <c r="E14" s="1">
        <v>8468</v>
      </c>
      <c r="F14" s="1" t="s">
        <v>13</v>
      </c>
      <c r="G14" s="1">
        <v>1096.3399999999999</v>
      </c>
      <c r="H14" s="1">
        <v>35.11</v>
      </c>
    </row>
    <row r="15" spans="1:8">
      <c r="A15" s="1" t="s">
        <v>45</v>
      </c>
      <c r="B15" s="1" t="s">
        <v>46</v>
      </c>
      <c r="C15" s="1" t="s">
        <v>40</v>
      </c>
      <c r="D15" s="1" t="s">
        <v>12</v>
      </c>
      <c r="E15" s="1">
        <v>13695</v>
      </c>
      <c r="F15" s="1" t="s">
        <v>13</v>
      </c>
      <c r="G15" s="1">
        <v>1525.83</v>
      </c>
      <c r="H15" s="1">
        <v>40.799999999999997</v>
      </c>
    </row>
    <row r="16" spans="1:8">
      <c r="A16" s="1" t="s">
        <v>47</v>
      </c>
      <c r="B16" s="1" t="s">
        <v>48</v>
      </c>
      <c r="C16" s="1" t="s">
        <v>49</v>
      </c>
      <c r="D16" s="1" t="s">
        <v>12</v>
      </c>
      <c r="E16" s="1">
        <v>15272</v>
      </c>
      <c r="F16" s="1" t="s">
        <v>13</v>
      </c>
      <c r="G16" s="1">
        <v>1730.89</v>
      </c>
      <c r="H16" s="1">
        <v>40.11</v>
      </c>
    </row>
    <row r="17" spans="1:8">
      <c r="A17" s="1" t="s">
        <v>50</v>
      </c>
      <c r="B17" s="1" t="s">
        <v>51</v>
      </c>
      <c r="C17" s="1" t="s">
        <v>49</v>
      </c>
      <c r="D17" s="1" t="s">
        <v>12</v>
      </c>
      <c r="E17" s="1">
        <v>4511</v>
      </c>
      <c r="F17" s="1" t="s">
        <v>13</v>
      </c>
      <c r="G17" s="1">
        <v>658.85</v>
      </c>
      <c r="H17" s="1">
        <v>31.13</v>
      </c>
    </row>
    <row r="18" spans="1:8">
      <c r="A18" s="1" t="s">
        <v>52</v>
      </c>
      <c r="B18" s="1" t="s">
        <v>53</v>
      </c>
      <c r="C18" s="1" t="s">
        <v>49</v>
      </c>
      <c r="D18" s="1" t="s">
        <v>12</v>
      </c>
      <c r="E18" s="1">
        <v>14293</v>
      </c>
      <c r="F18" s="1" t="s">
        <v>13</v>
      </c>
      <c r="G18" s="1">
        <v>1751.51</v>
      </c>
      <c r="H18" s="1">
        <v>37.1</v>
      </c>
    </row>
    <row r="19" spans="1:8">
      <c r="A19" s="1" t="s">
        <v>54</v>
      </c>
      <c r="B19" s="1" t="s">
        <v>55</v>
      </c>
      <c r="C19" s="1" t="s">
        <v>49</v>
      </c>
      <c r="D19" s="1" t="s">
        <v>12</v>
      </c>
      <c r="E19" s="1">
        <v>14443</v>
      </c>
      <c r="F19" s="1" t="s">
        <v>13</v>
      </c>
      <c r="G19" s="1">
        <v>1654.04</v>
      </c>
      <c r="H19" s="1">
        <v>39.700000000000003</v>
      </c>
    </row>
    <row r="20" spans="1:8">
      <c r="A20" s="1" t="s">
        <v>56</v>
      </c>
      <c r="B20" s="1" t="s">
        <v>57</v>
      </c>
      <c r="C20" s="1" t="s">
        <v>58</v>
      </c>
      <c r="D20" s="1" t="s">
        <v>12</v>
      </c>
      <c r="E20" s="1">
        <v>9302</v>
      </c>
      <c r="F20" s="1" t="s">
        <v>13</v>
      </c>
      <c r="G20" s="1">
        <v>1180.68</v>
      </c>
      <c r="H20" s="1">
        <v>35.82</v>
      </c>
    </row>
    <row r="21" spans="1:8">
      <c r="A21" s="1" t="s">
        <v>59</v>
      </c>
      <c r="B21" s="1" t="s">
        <v>60</v>
      </c>
      <c r="C21" s="1" t="s">
        <v>58</v>
      </c>
      <c r="D21" s="1" t="s">
        <v>12</v>
      </c>
      <c r="E21" s="1">
        <v>9345</v>
      </c>
      <c r="F21" s="1" t="s">
        <v>13</v>
      </c>
      <c r="G21" s="1">
        <v>1158.71</v>
      </c>
      <c r="H21" s="1">
        <v>36.659999999999997</v>
      </c>
    </row>
    <row r="22" spans="1:8">
      <c r="A22" s="1" t="s">
        <v>61</v>
      </c>
      <c r="B22" s="1" t="s">
        <v>62</v>
      </c>
      <c r="C22" s="1" t="s">
        <v>58</v>
      </c>
      <c r="D22" s="1" t="s">
        <v>12</v>
      </c>
      <c r="E22" s="1">
        <v>8964</v>
      </c>
      <c r="F22" s="1" t="s">
        <v>13</v>
      </c>
      <c r="G22" s="1">
        <v>1115.06</v>
      </c>
      <c r="H22" s="1">
        <v>36.549999999999997</v>
      </c>
    </row>
    <row r="23" spans="1:8">
      <c r="A23" s="1" t="s">
        <v>63</v>
      </c>
      <c r="B23" s="1" t="s">
        <v>64</v>
      </c>
      <c r="C23" s="1" t="s">
        <v>58</v>
      </c>
      <c r="D23" s="1" t="s">
        <v>12</v>
      </c>
      <c r="E23" s="1">
        <v>7813</v>
      </c>
      <c r="F23" s="1" t="s">
        <v>13</v>
      </c>
      <c r="G23" s="1">
        <v>1103.42</v>
      </c>
      <c r="H23" s="1">
        <v>32.19</v>
      </c>
    </row>
    <row r="24" spans="1:8">
      <c r="A24" s="1" t="s">
        <v>65</v>
      </c>
      <c r="B24" s="1" t="s">
        <v>66</v>
      </c>
      <c r="C24" s="1" t="s">
        <v>58</v>
      </c>
      <c r="D24" s="1" t="s">
        <v>12</v>
      </c>
      <c r="E24" s="1">
        <v>14412</v>
      </c>
      <c r="F24" s="1" t="s">
        <v>13</v>
      </c>
      <c r="G24" s="1">
        <v>1690.72</v>
      </c>
      <c r="H24" s="1">
        <v>38.75</v>
      </c>
    </row>
    <row r="25" spans="1:8">
      <c r="A25" s="1" t="s">
        <v>67</v>
      </c>
      <c r="B25" s="1" t="s">
        <v>68</v>
      </c>
      <c r="C25" s="1" t="s">
        <v>58</v>
      </c>
      <c r="D25" s="1" t="s">
        <v>12</v>
      </c>
      <c r="E25" s="1">
        <v>10054</v>
      </c>
      <c r="F25" s="1" t="s">
        <v>13</v>
      </c>
      <c r="G25" s="1">
        <v>1253.67</v>
      </c>
      <c r="H25" s="1">
        <v>36.46</v>
      </c>
    </row>
    <row r="26" spans="1:8">
      <c r="A26" s="1" t="s">
        <v>69</v>
      </c>
      <c r="B26" s="1" t="s">
        <v>70</v>
      </c>
      <c r="C26" s="1" t="s">
        <v>49</v>
      </c>
      <c r="D26" s="1" t="s">
        <v>12</v>
      </c>
      <c r="E26" s="1">
        <v>15360</v>
      </c>
      <c r="F26" s="1" t="s">
        <v>13</v>
      </c>
      <c r="G26" s="1">
        <v>1821.59</v>
      </c>
      <c r="H26" s="1">
        <v>38.33</v>
      </c>
    </row>
    <row r="27" spans="1:8">
      <c r="A27" s="1" t="s">
        <v>71</v>
      </c>
      <c r="B27" s="1" t="s">
        <v>72</v>
      </c>
      <c r="C27" s="1" t="s">
        <v>58</v>
      </c>
      <c r="D27" s="1" t="s">
        <v>12</v>
      </c>
      <c r="E27" s="1">
        <v>14899</v>
      </c>
      <c r="F27" s="1" t="s">
        <v>13</v>
      </c>
      <c r="G27" s="1">
        <v>1644.64</v>
      </c>
      <c r="H27" s="1">
        <v>41.18</v>
      </c>
    </row>
    <row r="28" spans="1:8">
      <c r="A28" s="1" t="s">
        <v>73</v>
      </c>
      <c r="B28" s="1" t="s">
        <v>74</v>
      </c>
      <c r="C28" s="1" t="s">
        <v>58</v>
      </c>
      <c r="D28" s="1" t="s">
        <v>12</v>
      </c>
      <c r="E28" s="1">
        <v>15139</v>
      </c>
      <c r="F28" s="1" t="s">
        <v>13</v>
      </c>
      <c r="G28" s="1">
        <v>1917.17</v>
      </c>
      <c r="H28" s="1">
        <v>35.9</v>
      </c>
    </row>
    <row r="29" spans="1:8">
      <c r="A29" s="1" t="s">
        <v>75</v>
      </c>
      <c r="B29" s="1" t="s">
        <v>76</v>
      </c>
      <c r="C29" s="1" t="s">
        <v>77</v>
      </c>
      <c r="D29" s="1" t="s">
        <v>12</v>
      </c>
      <c r="E29" s="1">
        <v>15864</v>
      </c>
      <c r="F29" s="1" t="s">
        <v>13</v>
      </c>
      <c r="G29" s="1">
        <v>1798.38</v>
      </c>
      <c r="H29" s="1">
        <v>40.1</v>
      </c>
    </row>
    <row r="30" spans="1:8">
      <c r="A30" s="1" t="s">
        <v>78</v>
      </c>
      <c r="B30" s="1" t="s">
        <v>79</v>
      </c>
      <c r="C30" s="1" t="s">
        <v>58</v>
      </c>
      <c r="D30" s="1" t="s">
        <v>12</v>
      </c>
      <c r="E30" s="1">
        <v>20456</v>
      </c>
      <c r="F30" s="1" t="s">
        <v>13</v>
      </c>
      <c r="G30" s="1">
        <v>2658.94</v>
      </c>
      <c r="H30" s="1">
        <v>34.97</v>
      </c>
    </row>
    <row r="31" spans="1:8">
      <c r="A31" s="1" t="s">
        <v>80</v>
      </c>
      <c r="B31" s="1" t="s">
        <v>81</v>
      </c>
      <c r="C31" s="1" t="s">
        <v>82</v>
      </c>
      <c r="D31" s="1" t="s">
        <v>12</v>
      </c>
      <c r="E31" s="1">
        <v>14713</v>
      </c>
      <c r="F31" s="1" t="s">
        <v>13</v>
      </c>
      <c r="G31" s="1">
        <v>1804.09</v>
      </c>
      <c r="H31" s="1">
        <v>37.08</v>
      </c>
    </row>
    <row r="32" spans="1:8">
      <c r="A32" s="1" t="s">
        <v>83</v>
      </c>
      <c r="B32" s="1" t="s">
        <v>84</v>
      </c>
      <c r="C32" s="1" t="s">
        <v>85</v>
      </c>
      <c r="D32" s="1" t="s">
        <v>12</v>
      </c>
      <c r="E32" s="1">
        <v>7355</v>
      </c>
      <c r="F32" s="1" t="s">
        <v>13</v>
      </c>
      <c r="G32" s="1">
        <v>991.23</v>
      </c>
      <c r="H32" s="1">
        <v>33.729999999999997</v>
      </c>
    </row>
    <row r="33" spans="1:8">
      <c r="A33" s="1" t="s">
        <v>86</v>
      </c>
      <c r="B33" s="1" t="s">
        <v>87</v>
      </c>
      <c r="C33" s="1" t="s">
        <v>77</v>
      </c>
      <c r="D33" s="1" t="s">
        <v>12</v>
      </c>
      <c r="E33" s="1">
        <v>8643</v>
      </c>
      <c r="F33" s="1" t="s">
        <v>13</v>
      </c>
      <c r="G33" s="1">
        <v>1101.1500000000001</v>
      </c>
      <c r="H33" s="1">
        <v>35.68</v>
      </c>
    </row>
    <row r="34" spans="1:8">
      <c r="A34" s="1" t="s">
        <v>88</v>
      </c>
      <c r="B34" s="1" t="s">
        <v>89</v>
      </c>
      <c r="C34" s="1" t="s">
        <v>90</v>
      </c>
      <c r="D34" s="1" t="s">
        <v>12</v>
      </c>
      <c r="E34" s="1">
        <v>7862</v>
      </c>
      <c r="F34" s="1" t="s">
        <v>13</v>
      </c>
      <c r="G34" s="1">
        <v>930.11</v>
      </c>
      <c r="H34" s="1">
        <v>38.43</v>
      </c>
    </row>
    <row r="35" spans="1:8">
      <c r="A35" s="1" t="s">
        <v>91</v>
      </c>
      <c r="B35" s="1" t="s">
        <v>92</v>
      </c>
      <c r="C35" s="1" t="s">
        <v>93</v>
      </c>
      <c r="D35" s="1" t="s">
        <v>12</v>
      </c>
      <c r="E35" s="1">
        <v>10112</v>
      </c>
      <c r="F35" s="1" t="s">
        <v>13</v>
      </c>
      <c r="G35" s="1">
        <v>1209.72</v>
      </c>
      <c r="H35" s="1">
        <v>38</v>
      </c>
    </row>
    <row r="36" spans="1:8">
      <c r="A36" s="1" t="s">
        <v>94</v>
      </c>
      <c r="B36" s="1" t="s">
        <v>95</v>
      </c>
      <c r="C36" s="1" t="s">
        <v>90</v>
      </c>
      <c r="D36" s="1" t="s">
        <v>12</v>
      </c>
      <c r="E36" s="1">
        <v>7854</v>
      </c>
      <c r="F36" s="1" t="s">
        <v>13</v>
      </c>
      <c r="G36" s="1">
        <v>972.57</v>
      </c>
      <c r="H36" s="1">
        <v>36.71</v>
      </c>
    </row>
    <row r="37" spans="1:8">
      <c r="A37" s="1" t="s">
        <v>96</v>
      </c>
      <c r="B37" s="1" t="s">
        <v>97</v>
      </c>
      <c r="C37" s="1" t="s">
        <v>98</v>
      </c>
      <c r="D37" s="1" t="s">
        <v>12</v>
      </c>
      <c r="E37" s="1">
        <v>7253</v>
      </c>
      <c r="F37" s="1" t="s">
        <v>13</v>
      </c>
      <c r="G37" s="1">
        <v>889.26</v>
      </c>
      <c r="H37" s="1">
        <v>37.08</v>
      </c>
    </row>
    <row r="38" spans="1:8">
      <c r="A38" s="1" t="s">
        <v>99</v>
      </c>
      <c r="B38" s="1" t="s">
        <v>100</v>
      </c>
      <c r="C38" s="1" t="s">
        <v>98</v>
      </c>
      <c r="D38" s="1" t="s">
        <v>12</v>
      </c>
      <c r="E38" s="1">
        <v>9189</v>
      </c>
      <c r="F38" s="1" t="s">
        <v>13</v>
      </c>
      <c r="G38" s="1">
        <v>971.47</v>
      </c>
      <c r="H38" s="1">
        <v>43</v>
      </c>
    </row>
    <row r="39" spans="1:8">
      <c r="A39" s="1" t="s">
        <v>101</v>
      </c>
      <c r="B39" s="1" t="s">
        <v>102</v>
      </c>
      <c r="C39" s="1" t="s">
        <v>37</v>
      </c>
      <c r="D39" s="1" t="s">
        <v>12</v>
      </c>
      <c r="E39" s="1">
        <v>6759</v>
      </c>
      <c r="F39" s="1" t="s">
        <v>13</v>
      </c>
      <c r="G39" s="1">
        <v>753.67</v>
      </c>
      <c r="H39" s="1">
        <v>40.770000000000003</v>
      </c>
    </row>
    <row r="40" spans="1:8">
      <c r="A40" s="1" t="s">
        <v>103</v>
      </c>
      <c r="B40" s="1" t="s">
        <v>104</v>
      </c>
      <c r="C40" s="1" t="s">
        <v>105</v>
      </c>
      <c r="D40" s="1" t="s">
        <v>12</v>
      </c>
      <c r="E40" s="1">
        <v>1548</v>
      </c>
      <c r="F40" s="1" t="s">
        <v>13</v>
      </c>
      <c r="G40" s="1">
        <v>272.07</v>
      </c>
      <c r="H40" s="1">
        <v>25.87</v>
      </c>
    </row>
    <row r="41" spans="1:8">
      <c r="A41" s="1" t="s">
        <v>106</v>
      </c>
      <c r="B41" s="1" t="s">
        <v>107</v>
      </c>
      <c r="C41" s="1" t="s">
        <v>108</v>
      </c>
      <c r="D41" s="1" t="s">
        <v>12</v>
      </c>
      <c r="E41" s="1">
        <v>12822</v>
      </c>
      <c r="F41" s="1" t="s">
        <v>13</v>
      </c>
      <c r="G41" s="1">
        <v>1547.46</v>
      </c>
      <c r="H41" s="1">
        <v>37.67</v>
      </c>
    </row>
    <row r="42" spans="1:8">
      <c r="A42" s="1" t="s">
        <v>109</v>
      </c>
      <c r="B42" s="1" t="s">
        <v>110</v>
      </c>
      <c r="C42" s="1" t="s">
        <v>111</v>
      </c>
      <c r="D42" s="1" t="s">
        <v>12</v>
      </c>
      <c r="E42" s="1">
        <v>4891</v>
      </c>
      <c r="F42" s="1" t="s">
        <v>13</v>
      </c>
      <c r="G42" s="1">
        <v>474.16</v>
      </c>
      <c r="H42" s="1">
        <v>46.89</v>
      </c>
    </row>
    <row r="43" spans="1:8">
      <c r="A43" s="1" t="s">
        <v>112</v>
      </c>
      <c r="B43" s="1" t="s">
        <v>113</v>
      </c>
      <c r="C43" s="1" t="s">
        <v>114</v>
      </c>
      <c r="D43" s="1" t="s">
        <v>12</v>
      </c>
      <c r="E43" s="1">
        <v>7071</v>
      </c>
      <c r="F43" s="1" t="s">
        <v>13</v>
      </c>
      <c r="G43" s="1">
        <v>686.79</v>
      </c>
      <c r="H43" s="1">
        <v>46.81</v>
      </c>
    </row>
    <row r="44" spans="1:8">
      <c r="A44" s="1" t="s">
        <v>115</v>
      </c>
      <c r="B44" s="1" t="s">
        <v>116</v>
      </c>
      <c r="C44" s="1" t="s">
        <v>117</v>
      </c>
      <c r="D44" s="1" t="s">
        <v>12</v>
      </c>
      <c r="E44" s="1">
        <v>13491</v>
      </c>
      <c r="F44" s="1" t="s">
        <v>13</v>
      </c>
      <c r="G44" s="1">
        <v>910.4</v>
      </c>
      <c r="H44" s="1">
        <v>67.37</v>
      </c>
    </row>
    <row r="45" spans="1:8">
      <c r="A45" s="1" t="s">
        <v>118</v>
      </c>
      <c r="B45" s="1" t="s">
        <v>119</v>
      </c>
      <c r="C45" s="1" t="s">
        <v>117</v>
      </c>
      <c r="D45" s="1" t="s">
        <v>12</v>
      </c>
      <c r="E45" s="1">
        <v>4294</v>
      </c>
      <c r="F45" s="1" t="s">
        <v>13</v>
      </c>
      <c r="G45" s="1">
        <v>368.12</v>
      </c>
      <c r="H45" s="1">
        <v>53.03</v>
      </c>
    </row>
    <row r="46" spans="1:8">
      <c r="A46" s="1" t="s">
        <v>120</v>
      </c>
      <c r="B46" s="1" t="s">
        <v>121</v>
      </c>
      <c r="C46" s="1" t="s">
        <v>122</v>
      </c>
      <c r="D46" s="1" t="s">
        <v>12</v>
      </c>
      <c r="E46" s="1">
        <v>3055</v>
      </c>
      <c r="F46" s="1" t="s">
        <v>13</v>
      </c>
      <c r="G46" s="1">
        <v>284.38</v>
      </c>
      <c r="H46" s="1">
        <v>48.84</v>
      </c>
    </row>
    <row r="47" spans="1:8">
      <c r="A47" s="1" t="s">
        <v>123</v>
      </c>
      <c r="B47" s="1" t="s">
        <v>124</v>
      </c>
      <c r="C47" s="1" t="s">
        <v>122</v>
      </c>
      <c r="D47" s="1" t="s">
        <v>12</v>
      </c>
      <c r="E47" s="1">
        <v>6509</v>
      </c>
      <c r="F47" s="1" t="s">
        <v>13</v>
      </c>
      <c r="G47" s="1">
        <v>569</v>
      </c>
      <c r="H47" s="1">
        <v>52</v>
      </c>
    </row>
    <row r="48" spans="1:8">
      <c r="A48" s="1" t="s">
        <v>125</v>
      </c>
      <c r="B48" s="1" t="s">
        <v>126</v>
      </c>
      <c r="C48" s="1" t="s">
        <v>117</v>
      </c>
      <c r="D48" s="1" t="s">
        <v>12</v>
      </c>
      <c r="E48" s="1">
        <v>16450</v>
      </c>
      <c r="F48" s="1" t="s">
        <v>13</v>
      </c>
      <c r="G48" s="1">
        <v>1246.6099999999999</v>
      </c>
      <c r="H48" s="1">
        <v>59.99</v>
      </c>
    </row>
    <row r="49" spans="1:8">
      <c r="A49" s="1" t="s">
        <v>127</v>
      </c>
      <c r="B49" s="1" t="s">
        <v>128</v>
      </c>
      <c r="C49" s="1" t="s">
        <v>117</v>
      </c>
      <c r="D49" s="1" t="s">
        <v>12</v>
      </c>
      <c r="E49" s="1">
        <v>12565</v>
      </c>
      <c r="F49" s="1" t="s">
        <v>13</v>
      </c>
      <c r="G49" s="1">
        <v>989.29</v>
      </c>
      <c r="H49" s="1">
        <v>57.74</v>
      </c>
    </row>
    <row r="50" spans="1:8">
      <c r="A50" s="1" t="s">
        <v>129</v>
      </c>
      <c r="B50" s="1" t="s">
        <v>130</v>
      </c>
      <c r="C50" s="1" t="s">
        <v>117</v>
      </c>
      <c r="D50" s="1" t="s">
        <v>12</v>
      </c>
      <c r="E50" s="1">
        <v>5515</v>
      </c>
      <c r="F50" s="1" t="s">
        <v>13</v>
      </c>
      <c r="G50" s="1">
        <v>431.29</v>
      </c>
      <c r="H50" s="1">
        <v>58.13</v>
      </c>
    </row>
    <row r="51" spans="1:8">
      <c r="A51" s="1" t="s">
        <v>131</v>
      </c>
      <c r="B51" s="1" t="s">
        <v>132</v>
      </c>
      <c r="C51" s="1" t="s">
        <v>117</v>
      </c>
      <c r="D51" s="1" t="s">
        <v>12</v>
      </c>
      <c r="E51" s="1">
        <v>1653</v>
      </c>
      <c r="F51" s="1" t="s">
        <v>13</v>
      </c>
      <c r="G51" s="1">
        <v>172.05</v>
      </c>
      <c r="H51" s="1">
        <v>43.68</v>
      </c>
    </row>
    <row r="52" spans="1:8">
      <c r="A52" s="1" t="s">
        <v>133</v>
      </c>
      <c r="B52" s="1" t="s">
        <v>134</v>
      </c>
      <c r="C52" s="1" t="s">
        <v>122</v>
      </c>
      <c r="D52" s="1" t="s">
        <v>12</v>
      </c>
      <c r="E52" s="1">
        <v>5998</v>
      </c>
      <c r="F52" s="1" t="s">
        <v>13</v>
      </c>
      <c r="G52" s="1">
        <v>475.33</v>
      </c>
      <c r="H52" s="1">
        <v>57.37</v>
      </c>
    </row>
    <row r="53" spans="1:8">
      <c r="A53" s="1" t="s">
        <v>135</v>
      </c>
      <c r="B53" s="1" t="s">
        <v>136</v>
      </c>
      <c r="C53" s="1" t="s">
        <v>117</v>
      </c>
      <c r="D53" s="1" t="s">
        <v>12</v>
      </c>
      <c r="E53" s="1">
        <v>5458</v>
      </c>
      <c r="F53" s="1" t="s">
        <v>137</v>
      </c>
      <c r="G53" s="1">
        <v>447.49</v>
      </c>
      <c r="H53" s="1">
        <v>34.450000000000003</v>
      </c>
    </row>
    <row r="54" spans="1:8">
      <c r="A54" s="1" t="s">
        <v>138</v>
      </c>
      <c r="B54" s="1" t="s">
        <v>139</v>
      </c>
      <c r="C54" s="1" t="s">
        <v>117</v>
      </c>
      <c r="D54" s="1" t="s">
        <v>12</v>
      </c>
      <c r="E54" s="1">
        <v>4613</v>
      </c>
      <c r="F54" s="1" t="s">
        <v>13</v>
      </c>
      <c r="G54" s="1">
        <v>388.45</v>
      </c>
      <c r="H54" s="1">
        <v>53.99</v>
      </c>
    </row>
    <row r="55" spans="1:8">
      <c r="A55" s="1" t="s">
        <v>141</v>
      </c>
      <c r="B55" s="1" t="s">
        <v>142</v>
      </c>
      <c r="C55" s="1" t="s">
        <v>140</v>
      </c>
      <c r="D55" s="1" t="s">
        <v>12</v>
      </c>
      <c r="E55" s="1">
        <v>11677</v>
      </c>
      <c r="F55" s="1" t="s">
        <v>13</v>
      </c>
      <c r="G55" s="1">
        <v>3012.04</v>
      </c>
      <c r="H55" s="1">
        <v>17.62</v>
      </c>
    </row>
    <row r="56" spans="1:8">
      <c r="A56" s="1" t="s">
        <v>143</v>
      </c>
      <c r="B56" s="1" t="s">
        <v>144</v>
      </c>
      <c r="C56" s="1" t="s">
        <v>140</v>
      </c>
      <c r="D56" s="1" t="s">
        <v>12</v>
      </c>
      <c r="E56" s="1">
        <v>12500</v>
      </c>
      <c r="F56" s="1" t="s">
        <v>13</v>
      </c>
      <c r="G56" s="1">
        <v>2578.17</v>
      </c>
      <c r="H56" s="1">
        <v>22.04</v>
      </c>
    </row>
    <row r="57" spans="1:8">
      <c r="A57" s="1" t="s">
        <v>145</v>
      </c>
      <c r="B57" s="1" t="s">
        <v>146</v>
      </c>
      <c r="C57" s="1" t="s">
        <v>140</v>
      </c>
      <c r="D57" s="1" t="s">
        <v>12</v>
      </c>
      <c r="E57" s="1">
        <v>9937</v>
      </c>
      <c r="F57" s="1" t="s">
        <v>13</v>
      </c>
      <c r="G57" s="1">
        <v>2401.41</v>
      </c>
      <c r="H57" s="1">
        <v>18.809999999999999</v>
      </c>
    </row>
    <row r="58" spans="1:8">
      <c r="A58" s="1" t="s">
        <v>147</v>
      </c>
      <c r="B58" s="1" t="s">
        <v>148</v>
      </c>
      <c r="C58" s="1" t="s">
        <v>140</v>
      </c>
      <c r="D58" s="1" t="s">
        <v>12</v>
      </c>
      <c r="E58" s="1">
        <v>18388</v>
      </c>
      <c r="F58" s="1" t="s">
        <v>13</v>
      </c>
      <c r="G58" s="1">
        <v>3883.68</v>
      </c>
      <c r="H58" s="1">
        <v>21.52</v>
      </c>
    </row>
    <row r="59" spans="1:8">
      <c r="A59" s="1" t="s">
        <v>149</v>
      </c>
      <c r="B59" s="1" t="s">
        <v>150</v>
      </c>
      <c r="C59" s="1" t="s">
        <v>140</v>
      </c>
      <c r="D59" s="1" t="s">
        <v>12</v>
      </c>
      <c r="E59" s="1">
        <v>9704</v>
      </c>
      <c r="F59" s="1" t="s">
        <v>13</v>
      </c>
      <c r="G59" s="1">
        <v>2019.06</v>
      </c>
      <c r="H59" s="1">
        <v>21.85</v>
      </c>
    </row>
    <row r="60" spans="1:8">
      <c r="A60" s="1" t="s">
        <v>151</v>
      </c>
      <c r="B60" s="1" t="s">
        <v>152</v>
      </c>
      <c r="C60" s="1" t="s">
        <v>140</v>
      </c>
      <c r="D60" s="1" t="s">
        <v>12</v>
      </c>
      <c r="E60" s="1">
        <v>11322</v>
      </c>
      <c r="F60" s="1" t="s">
        <v>13</v>
      </c>
      <c r="G60" s="1">
        <v>2515.7199999999998</v>
      </c>
      <c r="H60" s="1">
        <v>20.46</v>
      </c>
    </row>
    <row r="61" spans="1:8">
      <c r="A61" s="1" t="s">
        <v>153</v>
      </c>
      <c r="B61" s="1" t="s">
        <v>154</v>
      </c>
      <c r="C61" s="1" t="s">
        <v>140</v>
      </c>
      <c r="D61" s="1" t="s">
        <v>12</v>
      </c>
      <c r="E61" s="1">
        <v>8744</v>
      </c>
      <c r="F61" s="1" t="s">
        <v>13</v>
      </c>
      <c r="G61" s="1">
        <v>2040.23</v>
      </c>
      <c r="H61" s="1">
        <v>19.48</v>
      </c>
    </row>
    <row r="62" spans="1:8">
      <c r="A62" s="1" t="s">
        <v>155</v>
      </c>
      <c r="B62" s="1" t="s">
        <v>156</v>
      </c>
      <c r="C62" s="1" t="s">
        <v>140</v>
      </c>
      <c r="D62" s="1" t="s">
        <v>12</v>
      </c>
      <c r="E62" s="1">
        <v>12150</v>
      </c>
      <c r="F62" s="1" t="s">
        <v>13</v>
      </c>
      <c r="G62" s="1">
        <v>2642.14</v>
      </c>
      <c r="H62" s="1">
        <v>20.91</v>
      </c>
    </row>
    <row r="63" spans="1:8">
      <c r="A63" s="1" t="s">
        <v>157</v>
      </c>
      <c r="B63" s="1" t="s">
        <v>158</v>
      </c>
      <c r="C63" s="1" t="s">
        <v>140</v>
      </c>
      <c r="D63" s="1" t="s">
        <v>12</v>
      </c>
      <c r="E63" s="1">
        <v>17410</v>
      </c>
      <c r="F63" s="1" t="s">
        <v>13</v>
      </c>
      <c r="G63" s="1">
        <v>3519.22</v>
      </c>
      <c r="H63" s="1">
        <v>22.49</v>
      </c>
    </row>
    <row r="64" spans="1:8">
      <c r="A64" s="1" t="s">
        <v>159</v>
      </c>
      <c r="B64" s="1" t="s">
        <v>160</v>
      </c>
      <c r="C64" s="1" t="s">
        <v>140</v>
      </c>
      <c r="D64" s="1" t="s">
        <v>12</v>
      </c>
      <c r="E64" s="1">
        <v>11195</v>
      </c>
      <c r="F64" s="1" t="s">
        <v>13</v>
      </c>
      <c r="G64" s="1">
        <v>2688</v>
      </c>
      <c r="H64" s="1">
        <v>18.93</v>
      </c>
    </row>
    <row r="65" spans="1:8">
      <c r="A65" s="1" t="s">
        <v>161</v>
      </c>
      <c r="B65" s="1" t="s">
        <v>162</v>
      </c>
      <c r="C65" s="1" t="s">
        <v>140</v>
      </c>
      <c r="D65" s="1" t="s">
        <v>12</v>
      </c>
      <c r="E65" s="1">
        <v>24638</v>
      </c>
      <c r="F65" s="1" t="s">
        <v>13</v>
      </c>
      <c r="G65" s="1">
        <v>3659.51</v>
      </c>
      <c r="H65" s="1">
        <v>30.61</v>
      </c>
    </row>
    <row r="66" spans="1:8">
      <c r="A66" s="1" t="s">
        <v>163</v>
      </c>
      <c r="B66" s="1" t="s">
        <v>164</v>
      </c>
      <c r="C66" s="1" t="s">
        <v>140</v>
      </c>
      <c r="D66" s="1" t="s">
        <v>12</v>
      </c>
      <c r="E66" s="1">
        <v>10122</v>
      </c>
      <c r="F66" s="1" t="s">
        <v>13</v>
      </c>
      <c r="G66" s="1">
        <v>2424.86</v>
      </c>
      <c r="H66" s="1">
        <v>18.98</v>
      </c>
    </row>
    <row r="67" spans="1:8">
      <c r="A67" s="1" t="s">
        <v>165</v>
      </c>
      <c r="B67" s="1" t="s">
        <v>166</v>
      </c>
      <c r="C67" s="1" t="s">
        <v>140</v>
      </c>
      <c r="D67" s="1" t="s">
        <v>12</v>
      </c>
      <c r="E67" s="1">
        <v>7750</v>
      </c>
      <c r="F67" s="1" t="s">
        <v>13</v>
      </c>
      <c r="G67" s="1">
        <v>1927.92</v>
      </c>
      <c r="H67" s="1">
        <v>18.27</v>
      </c>
    </row>
    <row r="68" spans="1:8">
      <c r="A68" s="1" t="s">
        <v>167</v>
      </c>
      <c r="B68" s="1" t="s">
        <v>168</v>
      </c>
      <c r="C68" s="1" t="s">
        <v>140</v>
      </c>
      <c r="D68" s="1" t="s">
        <v>12</v>
      </c>
      <c r="E68" s="1">
        <v>11924</v>
      </c>
      <c r="F68" s="1" t="s">
        <v>13</v>
      </c>
      <c r="G68" s="1">
        <v>2947.11</v>
      </c>
      <c r="H68" s="1">
        <v>18.39</v>
      </c>
    </row>
    <row r="69" spans="1:8">
      <c r="A69" s="1" t="s">
        <v>169</v>
      </c>
      <c r="B69" s="1" t="s">
        <v>170</v>
      </c>
      <c r="C69" s="1" t="s">
        <v>140</v>
      </c>
      <c r="D69" s="1" t="s">
        <v>12</v>
      </c>
      <c r="E69" s="1">
        <v>12278</v>
      </c>
      <c r="F69" s="1" t="s">
        <v>13</v>
      </c>
      <c r="G69" s="1">
        <v>2825.37</v>
      </c>
      <c r="H69" s="1">
        <v>19.760000000000002</v>
      </c>
    </row>
    <row r="70" spans="1:8">
      <c r="A70" s="1" t="s">
        <v>171</v>
      </c>
      <c r="B70" s="1" t="s">
        <v>172</v>
      </c>
      <c r="C70" s="1" t="s">
        <v>140</v>
      </c>
      <c r="D70" s="1" t="s">
        <v>12</v>
      </c>
      <c r="E70" s="1">
        <v>10114</v>
      </c>
      <c r="F70" s="1" t="s">
        <v>13</v>
      </c>
      <c r="G70" s="1">
        <v>2338.91</v>
      </c>
      <c r="H70" s="1">
        <v>19.66</v>
      </c>
    </row>
    <row r="71" spans="1:8">
      <c r="A71" s="1" t="s">
        <v>173</v>
      </c>
      <c r="B71" s="1" t="s">
        <v>174</v>
      </c>
      <c r="C71" s="1" t="s">
        <v>140</v>
      </c>
      <c r="D71" s="1" t="s">
        <v>12</v>
      </c>
      <c r="E71" s="1">
        <v>86470</v>
      </c>
      <c r="F71" s="1" t="s">
        <v>137</v>
      </c>
      <c r="G71" s="1">
        <v>2630.67</v>
      </c>
      <c r="H71" s="1">
        <v>92.92</v>
      </c>
    </row>
    <row r="72" spans="1:8">
      <c r="A72" s="1" t="s">
        <v>175</v>
      </c>
      <c r="B72" s="1" t="s">
        <v>176</v>
      </c>
      <c r="C72" s="1" t="s">
        <v>140</v>
      </c>
      <c r="D72" s="1" t="s">
        <v>12</v>
      </c>
      <c r="E72" s="1">
        <v>10155</v>
      </c>
      <c r="F72" s="1" t="s">
        <v>13</v>
      </c>
      <c r="G72" s="1">
        <v>2464.69</v>
      </c>
      <c r="H72" s="1">
        <v>18.73</v>
      </c>
    </row>
    <row r="73" spans="1:8">
      <c r="A73" s="1" t="s">
        <v>177</v>
      </c>
      <c r="B73" s="1" t="s">
        <v>178</v>
      </c>
      <c r="C73" s="1" t="s">
        <v>140</v>
      </c>
      <c r="D73" s="1" t="s">
        <v>12</v>
      </c>
      <c r="E73" s="1">
        <v>3483</v>
      </c>
      <c r="F73" s="1" t="s">
        <v>13</v>
      </c>
      <c r="G73" s="1">
        <v>1904.62</v>
      </c>
      <c r="H73" s="1">
        <v>8.31</v>
      </c>
    </row>
    <row r="74" spans="1:8">
      <c r="A74" s="1" t="s">
        <v>179</v>
      </c>
      <c r="B74" s="1" t="s">
        <v>180</v>
      </c>
      <c r="C74" s="1" t="s">
        <v>140</v>
      </c>
      <c r="D74" s="1" t="s">
        <v>12</v>
      </c>
      <c r="E74" s="1">
        <v>22109</v>
      </c>
      <c r="F74" s="1" t="s">
        <v>13</v>
      </c>
      <c r="G74" s="1">
        <v>4636.16</v>
      </c>
      <c r="H74" s="1">
        <v>21.68</v>
      </c>
    </row>
    <row r="75" spans="1:8">
      <c r="A75" s="1" t="s">
        <v>181</v>
      </c>
      <c r="B75" s="1" t="s">
        <v>182</v>
      </c>
      <c r="C75" s="1" t="s">
        <v>140</v>
      </c>
      <c r="D75" s="1" t="s">
        <v>12</v>
      </c>
      <c r="E75" s="1">
        <v>10042</v>
      </c>
      <c r="F75" s="1" t="s">
        <v>13</v>
      </c>
      <c r="G75" s="1">
        <v>2345.33</v>
      </c>
      <c r="H75" s="1">
        <v>19.47</v>
      </c>
    </row>
    <row r="76" spans="1:8">
      <c r="A76" s="1" t="s">
        <v>183</v>
      </c>
      <c r="B76" s="1" t="s">
        <v>184</v>
      </c>
      <c r="C76" s="1" t="s">
        <v>140</v>
      </c>
      <c r="D76" s="1" t="s">
        <v>12</v>
      </c>
      <c r="E76" s="1">
        <v>5200</v>
      </c>
      <c r="F76" s="1" t="s">
        <v>13</v>
      </c>
      <c r="G76" s="1">
        <v>721.57</v>
      </c>
      <c r="H76" s="1">
        <v>32.76</v>
      </c>
    </row>
    <row r="77" spans="1:8">
      <c r="A77" s="1" t="s">
        <v>185</v>
      </c>
      <c r="B77" s="1" t="s">
        <v>186</v>
      </c>
      <c r="C77" s="1" t="s">
        <v>140</v>
      </c>
      <c r="D77" s="1" t="s">
        <v>12</v>
      </c>
      <c r="E77" s="1">
        <v>12369</v>
      </c>
      <c r="F77" s="1" t="s">
        <v>13</v>
      </c>
      <c r="G77" s="1">
        <v>3116.99</v>
      </c>
      <c r="H77" s="1">
        <v>18.04</v>
      </c>
    </row>
    <row r="78" spans="1:8">
      <c r="A78" s="1" t="s">
        <v>187</v>
      </c>
      <c r="B78" s="1" t="s">
        <v>188</v>
      </c>
      <c r="C78" s="1" t="s">
        <v>140</v>
      </c>
      <c r="D78" s="1" t="s">
        <v>12</v>
      </c>
      <c r="E78" s="1">
        <v>11597</v>
      </c>
      <c r="F78" s="1" t="s">
        <v>13</v>
      </c>
      <c r="G78" s="1">
        <v>2791.24</v>
      </c>
      <c r="H78" s="1">
        <v>18.89</v>
      </c>
    </row>
    <row r="79" spans="1:8">
      <c r="A79" s="1" t="s">
        <v>189</v>
      </c>
      <c r="B79" s="1" t="s">
        <v>190</v>
      </c>
      <c r="C79" s="1" t="s">
        <v>140</v>
      </c>
      <c r="D79" s="1" t="s">
        <v>12</v>
      </c>
      <c r="E79" s="1">
        <v>13909</v>
      </c>
      <c r="F79" s="1" t="s">
        <v>13</v>
      </c>
      <c r="G79" s="1">
        <v>3183.81</v>
      </c>
      <c r="H79" s="1">
        <v>19.86</v>
      </c>
    </row>
    <row r="80" spans="1:8">
      <c r="A80" s="1" t="s">
        <v>191</v>
      </c>
      <c r="B80" s="1" t="s">
        <v>192</v>
      </c>
      <c r="C80" s="1" t="s">
        <v>140</v>
      </c>
      <c r="D80" s="1" t="s">
        <v>12</v>
      </c>
      <c r="E80" s="1">
        <v>16376</v>
      </c>
      <c r="F80" s="1" t="s">
        <v>13</v>
      </c>
      <c r="G80" s="1">
        <v>3802.11</v>
      </c>
      <c r="H80" s="1">
        <v>19.579999999999998</v>
      </c>
    </row>
    <row r="81" spans="1:8">
      <c r="A81" s="1" t="s">
        <v>193</v>
      </c>
      <c r="B81" s="1" t="s">
        <v>194</v>
      </c>
      <c r="C81" s="1" t="s">
        <v>140</v>
      </c>
      <c r="D81" s="1" t="s">
        <v>12</v>
      </c>
      <c r="E81" s="1">
        <v>14123</v>
      </c>
      <c r="F81" s="1" t="s">
        <v>13</v>
      </c>
      <c r="G81" s="1">
        <v>3258.88</v>
      </c>
      <c r="H81" s="1">
        <v>19.7</v>
      </c>
    </row>
    <row r="82" spans="1:8">
      <c r="A82" s="1" t="s">
        <v>195</v>
      </c>
      <c r="B82" s="1" t="s">
        <v>196</v>
      </c>
      <c r="C82" s="1" t="s">
        <v>140</v>
      </c>
      <c r="D82" s="1" t="s">
        <v>12</v>
      </c>
      <c r="E82" s="1">
        <v>13980</v>
      </c>
      <c r="F82" s="1" t="s">
        <v>13</v>
      </c>
      <c r="G82" s="1">
        <v>3018.17</v>
      </c>
      <c r="H82" s="1">
        <v>21.06</v>
      </c>
    </row>
    <row r="83" spans="1:8">
      <c r="A83" s="1" t="s">
        <v>197</v>
      </c>
      <c r="B83" s="1" t="s">
        <v>198</v>
      </c>
      <c r="C83" s="1" t="s">
        <v>140</v>
      </c>
      <c r="D83" s="1" t="s">
        <v>12</v>
      </c>
      <c r="E83" s="1">
        <v>15900</v>
      </c>
      <c r="F83" s="1" t="s">
        <v>13</v>
      </c>
      <c r="G83" s="1">
        <v>3056.76</v>
      </c>
      <c r="H83" s="1">
        <v>23.65</v>
      </c>
    </row>
    <row r="84" spans="1:8">
      <c r="A84" s="1" t="s">
        <v>199</v>
      </c>
      <c r="B84" s="1" t="s">
        <v>200</v>
      </c>
      <c r="C84" s="1" t="s">
        <v>140</v>
      </c>
      <c r="D84" s="1" t="s">
        <v>12</v>
      </c>
      <c r="E84" s="1">
        <v>13715</v>
      </c>
      <c r="F84" s="1" t="s">
        <v>13</v>
      </c>
      <c r="G84" s="1">
        <v>3094.07</v>
      </c>
      <c r="H84" s="1">
        <v>20.149999999999999</v>
      </c>
    </row>
    <row r="85" spans="1:8">
      <c r="A85" s="1" t="s">
        <v>201</v>
      </c>
      <c r="B85" s="1" t="s">
        <v>202</v>
      </c>
      <c r="C85" s="1" t="s">
        <v>140</v>
      </c>
      <c r="D85" s="1" t="s">
        <v>12</v>
      </c>
      <c r="E85" s="1">
        <v>7887</v>
      </c>
      <c r="F85" s="1" t="s">
        <v>13</v>
      </c>
      <c r="G85" s="1">
        <v>1762.15</v>
      </c>
      <c r="H85" s="1">
        <v>20.350000000000001</v>
      </c>
    </row>
    <row r="86" spans="1:8">
      <c r="A86" s="1" t="s">
        <v>203</v>
      </c>
      <c r="B86" s="1" t="s">
        <v>204</v>
      </c>
      <c r="C86" s="1" t="s">
        <v>140</v>
      </c>
      <c r="D86" s="1" t="s">
        <v>12</v>
      </c>
      <c r="E86" s="1">
        <v>13157</v>
      </c>
      <c r="F86" s="1" t="s">
        <v>13</v>
      </c>
      <c r="G86" s="1">
        <v>3048.63</v>
      </c>
      <c r="H86" s="1">
        <v>19.62</v>
      </c>
    </row>
    <row r="87" spans="1:8">
      <c r="A87" s="1" t="s">
        <v>205</v>
      </c>
      <c r="B87" s="1" t="s">
        <v>206</v>
      </c>
      <c r="C87" s="1" t="s">
        <v>140</v>
      </c>
      <c r="D87" s="1" t="s">
        <v>12</v>
      </c>
      <c r="E87" s="1">
        <v>12778</v>
      </c>
      <c r="F87" s="1" t="s">
        <v>13</v>
      </c>
      <c r="G87" s="1">
        <v>2787.36</v>
      </c>
      <c r="H87" s="1">
        <v>20.84</v>
      </c>
    </row>
    <row r="88" spans="1:8">
      <c r="A88" s="1" t="s">
        <v>207</v>
      </c>
      <c r="B88" s="1" t="s">
        <v>208</v>
      </c>
      <c r="C88" s="1" t="s">
        <v>140</v>
      </c>
      <c r="D88" s="1" t="s">
        <v>12</v>
      </c>
      <c r="E88" s="1">
        <v>7147</v>
      </c>
      <c r="F88" s="1" t="s">
        <v>13</v>
      </c>
      <c r="G88" s="1">
        <v>1539.05</v>
      </c>
      <c r="H88" s="1">
        <v>21.11</v>
      </c>
    </row>
    <row r="89" spans="1:8">
      <c r="A89" s="1" t="s">
        <v>209</v>
      </c>
      <c r="B89" s="1" t="s">
        <v>210</v>
      </c>
      <c r="C89" s="1" t="s">
        <v>140</v>
      </c>
      <c r="D89" s="1" t="s">
        <v>12</v>
      </c>
      <c r="E89" s="1">
        <v>11111</v>
      </c>
      <c r="F89" s="1" t="s">
        <v>13</v>
      </c>
      <c r="G89" s="1">
        <v>2684.62</v>
      </c>
      <c r="H89" s="1">
        <v>18.82</v>
      </c>
    </row>
    <row r="90" spans="1:8">
      <c r="A90" s="1" t="s">
        <v>211</v>
      </c>
      <c r="B90" s="1" t="s">
        <v>212</v>
      </c>
      <c r="C90" s="1" t="s">
        <v>140</v>
      </c>
      <c r="D90" s="1" t="s">
        <v>12</v>
      </c>
      <c r="E90" s="1">
        <v>8701</v>
      </c>
      <c r="F90" s="1" t="s">
        <v>13</v>
      </c>
      <c r="G90" s="1">
        <v>2095.6799999999998</v>
      </c>
      <c r="H90" s="1">
        <v>18.87</v>
      </c>
    </row>
    <row r="91" spans="1:8">
      <c r="A91" s="1" t="s">
        <v>213</v>
      </c>
      <c r="B91" s="1" t="s">
        <v>214</v>
      </c>
      <c r="C91" s="1" t="s">
        <v>140</v>
      </c>
      <c r="D91" s="1" t="s">
        <v>12</v>
      </c>
      <c r="E91" s="1">
        <v>18391</v>
      </c>
      <c r="F91" s="1" t="s">
        <v>13</v>
      </c>
      <c r="G91" s="1">
        <v>3710.88</v>
      </c>
      <c r="H91" s="1">
        <v>22.53</v>
      </c>
    </row>
    <row r="92" spans="1:8">
      <c r="A92" s="1" t="s">
        <v>215</v>
      </c>
      <c r="B92" s="1" t="s">
        <v>216</v>
      </c>
      <c r="C92" s="1" t="s">
        <v>140</v>
      </c>
      <c r="D92" s="1" t="s">
        <v>12</v>
      </c>
      <c r="E92" s="1">
        <v>9472</v>
      </c>
      <c r="F92" s="1" t="s">
        <v>13</v>
      </c>
      <c r="G92" s="1">
        <v>2387.67</v>
      </c>
      <c r="H92" s="1">
        <v>18.03</v>
      </c>
    </row>
    <row r="93" spans="1:8">
      <c r="A93" s="1" t="s">
        <v>217</v>
      </c>
      <c r="B93" s="1" t="s">
        <v>218</v>
      </c>
      <c r="C93" s="1" t="s">
        <v>140</v>
      </c>
      <c r="D93" s="1" t="s">
        <v>12</v>
      </c>
      <c r="E93" s="1">
        <v>8087</v>
      </c>
      <c r="F93" s="1" t="s">
        <v>13</v>
      </c>
      <c r="G93" s="1">
        <v>1743.97</v>
      </c>
      <c r="H93" s="1">
        <v>21.08</v>
      </c>
    </row>
    <row r="94" spans="1:8">
      <c r="A94" s="1" t="s">
        <v>219</v>
      </c>
      <c r="B94" s="1" t="s">
        <v>220</v>
      </c>
      <c r="C94" s="1" t="s">
        <v>221</v>
      </c>
      <c r="D94" s="1" t="s">
        <v>12</v>
      </c>
      <c r="E94" s="1">
        <v>9123</v>
      </c>
      <c r="F94" s="1" t="s">
        <v>13</v>
      </c>
      <c r="G94" s="1">
        <v>2208.94</v>
      </c>
      <c r="H94" s="1">
        <v>18.78</v>
      </c>
    </row>
    <row r="95" spans="1:8">
      <c r="A95" s="1" t="s">
        <v>222</v>
      </c>
      <c r="B95" s="1" t="s">
        <v>223</v>
      </c>
      <c r="C95" s="1" t="s">
        <v>221</v>
      </c>
      <c r="D95" s="1" t="s">
        <v>12</v>
      </c>
      <c r="E95" s="1">
        <v>11437</v>
      </c>
      <c r="F95" s="1" t="s">
        <v>13</v>
      </c>
      <c r="G95" s="1">
        <v>2889.82</v>
      </c>
      <c r="H95" s="1">
        <v>17.989999999999998</v>
      </c>
    </row>
    <row r="96" spans="1:8">
      <c r="A96" s="1" t="s">
        <v>224</v>
      </c>
      <c r="B96" s="1" t="s">
        <v>225</v>
      </c>
      <c r="C96" s="1" t="s">
        <v>221</v>
      </c>
      <c r="D96" s="1" t="s">
        <v>12</v>
      </c>
      <c r="E96" s="1">
        <v>11094</v>
      </c>
      <c r="F96" s="1" t="s">
        <v>13</v>
      </c>
      <c r="G96" s="1">
        <v>2296.4299999999998</v>
      </c>
      <c r="H96" s="1">
        <v>21.96</v>
      </c>
    </row>
    <row r="97" spans="1:8">
      <c r="A97" s="1" t="s">
        <v>226</v>
      </c>
      <c r="B97" s="1" t="s">
        <v>227</v>
      </c>
      <c r="C97" s="1" t="s">
        <v>228</v>
      </c>
      <c r="D97" s="1" t="s">
        <v>12</v>
      </c>
      <c r="E97" s="1">
        <v>23376</v>
      </c>
      <c r="F97" s="1" t="s">
        <v>13</v>
      </c>
      <c r="G97" s="1">
        <v>4883.01</v>
      </c>
      <c r="H97" s="1">
        <v>21.76</v>
      </c>
    </row>
    <row r="98" spans="1:8">
      <c r="A98" s="1" t="s">
        <v>229</v>
      </c>
      <c r="B98" s="1" t="s">
        <v>230</v>
      </c>
      <c r="C98" s="1" t="s">
        <v>228</v>
      </c>
      <c r="D98" s="1" t="s">
        <v>12</v>
      </c>
      <c r="E98" s="1">
        <v>9089</v>
      </c>
      <c r="F98" s="1" t="s">
        <v>13</v>
      </c>
      <c r="G98" s="1">
        <v>2282.59</v>
      </c>
      <c r="H98" s="1">
        <v>18.100000000000001</v>
      </c>
    </row>
    <row r="99" spans="1:8">
      <c r="A99" s="1" t="s">
        <v>231</v>
      </c>
      <c r="B99" s="1" t="s">
        <v>232</v>
      </c>
      <c r="C99" s="1" t="s">
        <v>228</v>
      </c>
      <c r="D99" s="1" t="s">
        <v>12</v>
      </c>
      <c r="E99" s="1">
        <v>7442</v>
      </c>
      <c r="F99" s="1" t="s">
        <v>13</v>
      </c>
      <c r="G99" s="1">
        <v>1587.89</v>
      </c>
      <c r="H99" s="1">
        <v>21.31</v>
      </c>
    </row>
    <row r="100" spans="1:8">
      <c r="A100" s="1" t="s">
        <v>233</v>
      </c>
      <c r="B100" s="1" t="s">
        <v>234</v>
      </c>
      <c r="C100" s="1" t="s">
        <v>235</v>
      </c>
      <c r="D100" s="1" t="s">
        <v>12</v>
      </c>
      <c r="E100" s="1">
        <v>8828</v>
      </c>
      <c r="F100" s="1" t="s">
        <v>13</v>
      </c>
      <c r="G100" s="1">
        <v>2197.5100000000002</v>
      </c>
      <c r="H100" s="1">
        <v>18.260000000000002</v>
      </c>
    </row>
    <row r="101" spans="1:8">
      <c r="A101" s="1" t="s">
        <v>236</v>
      </c>
      <c r="B101" s="1" t="s">
        <v>237</v>
      </c>
      <c r="C101" s="1" t="s">
        <v>235</v>
      </c>
      <c r="D101" s="1" t="s">
        <v>12</v>
      </c>
      <c r="E101" s="1">
        <v>9148</v>
      </c>
      <c r="F101" s="1" t="s">
        <v>13</v>
      </c>
      <c r="G101" s="1">
        <v>2474.12</v>
      </c>
      <c r="H101" s="1">
        <v>16.809999999999999</v>
      </c>
    </row>
    <row r="102" spans="1:8">
      <c r="A102" s="1" t="s">
        <v>238</v>
      </c>
      <c r="B102" s="1" t="s">
        <v>239</v>
      </c>
      <c r="C102" s="1" t="s">
        <v>235</v>
      </c>
      <c r="D102" s="1" t="s">
        <v>12</v>
      </c>
      <c r="E102" s="1">
        <v>11359</v>
      </c>
      <c r="F102" s="1" t="s">
        <v>13</v>
      </c>
      <c r="G102" s="1">
        <v>2282.08</v>
      </c>
      <c r="H102" s="1">
        <v>22.63</v>
      </c>
    </row>
    <row r="103" spans="1:8">
      <c r="A103" s="1" t="s">
        <v>240</v>
      </c>
      <c r="B103" s="1" t="s">
        <v>241</v>
      </c>
      <c r="C103" s="1" t="s">
        <v>221</v>
      </c>
      <c r="D103" s="1" t="s">
        <v>12</v>
      </c>
      <c r="E103" s="1">
        <v>11585</v>
      </c>
      <c r="F103" s="1" t="s">
        <v>13</v>
      </c>
      <c r="G103" s="1">
        <v>2957.87</v>
      </c>
      <c r="H103" s="1">
        <v>17.809999999999999</v>
      </c>
    </row>
    <row r="104" spans="1:8">
      <c r="A104" s="1" t="s">
        <v>242</v>
      </c>
      <c r="B104" s="1" t="s">
        <v>243</v>
      </c>
      <c r="C104" s="1" t="s">
        <v>244</v>
      </c>
      <c r="D104" s="1" t="s">
        <v>12</v>
      </c>
      <c r="E104" s="1">
        <v>13041</v>
      </c>
      <c r="F104" s="1" t="s">
        <v>13</v>
      </c>
      <c r="G104" s="1">
        <v>3156.39</v>
      </c>
      <c r="H104" s="1">
        <v>18.78</v>
      </c>
    </row>
    <row r="105" spans="1:8">
      <c r="A105" s="1" t="s">
        <v>245</v>
      </c>
      <c r="B105" s="1" t="s">
        <v>246</v>
      </c>
      <c r="C105" s="1" t="s">
        <v>244</v>
      </c>
      <c r="D105" s="1" t="s">
        <v>12</v>
      </c>
      <c r="E105" s="1">
        <v>18113</v>
      </c>
      <c r="F105" s="1" t="s">
        <v>13</v>
      </c>
      <c r="G105" s="1">
        <v>3636.95</v>
      </c>
      <c r="H105" s="1">
        <v>22.64</v>
      </c>
    </row>
    <row r="106" spans="1:8">
      <c r="A106" s="1" t="s">
        <v>247</v>
      </c>
      <c r="B106" s="1" t="s">
        <v>248</v>
      </c>
      <c r="C106" s="1" t="s">
        <v>249</v>
      </c>
      <c r="D106" s="1" t="s">
        <v>12</v>
      </c>
      <c r="E106" s="1">
        <v>13010</v>
      </c>
      <c r="F106" s="1" t="s">
        <v>13</v>
      </c>
      <c r="G106" s="1">
        <v>2901.6</v>
      </c>
      <c r="H106" s="1">
        <v>20.38</v>
      </c>
    </row>
    <row r="107" spans="1:8">
      <c r="A107" s="1" t="s">
        <v>250</v>
      </c>
      <c r="B107" s="1" t="s">
        <v>251</v>
      </c>
      <c r="C107" s="1" t="s">
        <v>221</v>
      </c>
      <c r="D107" s="1" t="s">
        <v>12</v>
      </c>
      <c r="E107" s="1">
        <v>11798</v>
      </c>
      <c r="F107" s="1" t="s">
        <v>13</v>
      </c>
      <c r="G107" s="1">
        <v>2806.83</v>
      </c>
      <c r="H107" s="1">
        <v>19.11</v>
      </c>
    </row>
    <row r="108" spans="1:8">
      <c r="A108" s="1" t="s">
        <v>252</v>
      </c>
      <c r="B108" s="1" t="s">
        <v>253</v>
      </c>
      <c r="C108" s="1" t="s">
        <v>249</v>
      </c>
      <c r="D108" s="1" t="s">
        <v>12</v>
      </c>
      <c r="E108" s="1">
        <v>14472</v>
      </c>
      <c r="F108" s="1" t="s">
        <v>13</v>
      </c>
      <c r="G108" s="1">
        <v>3387.34</v>
      </c>
      <c r="H108" s="1">
        <v>19.420000000000002</v>
      </c>
    </row>
    <row r="109" spans="1:8">
      <c r="A109" s="1" t="s">
        <v>254</v>
      </c>
      <c r="B109" s="1" t="s">
        <v>255</v>
      </c>
      <c r="C109" s="1" t="s">
        <v>221</v>
      </c>
      <c r="D109" s="1" t="s">
        <v>12</v>
      </c>
      <c r="E109" s="1">
        <v>8001</v>
      </c>
      <c r="F109" s="1" t="s">
        <v>13</v>
      </c>
      <c r="G109" s="1">
        <v>1894.59</v>
      </c>
      <c r="H109" s="1">
        <v>19.2</v>
      </c>
    </row>
    <row r="110" spans="1:8">
      <c r="A110" s="1" t="s">
        <v>256</v>
      </c>
      <c r="B110" s="1" t="s">
        <v>257</v>
      </c>
      <c r="C110" s="1" t="s">
        <v>249</v>
      </c>
      <c r="D110" s="1" t="s">
        <v>12</v>
      </c>
      <c r="E110" s="1">
        <v>21126</v>
      </c>
      <c r="F110" s="1" t="s">
        <v>13</v>
      </c>
      <c r="G110" s="1">
        <v>4224.38</v>
      </c>
      <c r="H110" s="1">
        <v>22.73</v>
      </c>
    </row>
    <row r="111" spans="1:8">
      <c r="A111" s="1" t="s">
        <v>258</v>
      </c>
      <c r="B111" s="1" t="s">
        <v>259</v>
      </c>
      <c r="C111" s="1" t="s">
        <v>249</v>
      </c>
      <c r="D111" s="1" t="s">
        <v>12</v>
      </c>
      <c r="E111" s="1">
        <v>12607</v>
      </c>
      <c r="F111" s="1" t="s">
        <v>13</v>
      </c>
      <c r="G111" s="1">
        <v>2954.26</v>
      </c>
      <c r="H111" s="1">
        <v>19.399999999999999</v>
      </c>
    </row>
    <row r="112" spans="1:8">
      <c r="A112" s="1" t="s">
        <v>260</v>
      </c>
      <c r="B112" s="1" t="s">
        <v>261</v>
      </c>
      <c r="C112" s="1" t="s">
        <v>221</v>
      </c>
      <c r="D112" s="1" t="s">
        <v>12</v>
      </c>
      <c r="E112" s="1">
        <v>8054</v>
      </c>
      <c r="F112" s="1" t="s">
        <v>13</v>
      </c>
      <c r="G112" s="1">
        <v>2069.75</v>
      </c>
      <c r="H112" s="1">
        <v>17.690000000000001</v>
      </c>
    </row>
    <row r="113" spans="1:8">
      <c r="A113" s="1" t="s">
        <v>262</v>
      </c>
      <c r="B113" s="1" t="s">
        <v>263</v>
      </c>
      <c r="C113" s="1" t="s">
        <v>221</v>
      </c>
      <c r="D113" s="1" t="s">
        <v>12</v>
      </c>
      <c r="E113" s="1">
        <v>10936</v>
      </c>
      <c r="F113" s="1" t="s">
        <v>13</v>
      </c>
      <c r="G113" s="1">
        <v>3031.34</v>
      </c>
      <c r="H113" s="1">
        <v>16.399999999999999</v>
      </c>
    </row>
    <row r="114" spans="1:8">
      <c r="A114" s="1" t="s">
        <v>264</v>
      </c>
      <c r="B114" s="1" t="s">
        <v>265</v>
      </c>
      <c r="C114" s="1" t="s">
        <v>249</v>
      </c>
      <c r="D114" s="1" t="s">
        <v>12</v>
      </c>
      <c r="E114" s="1">
        <v>16179</v>
      </c>
      <c r="F114" s="1" t="s">
        <v>13</v>
      </c>
      <c r="G114" s="1">
        <v>3465.78</v>
      </c>
      <c r="H114" s="1">
        <v>21.22</v>
      </c>
    </row>
    <row r="115" spans="1:8">
      <c r="A115" s="1" t="s">
        <v>266</v>
      </c>
      <c r="B115" s="1" t="s">
        <v>267</v>
      </c>
      <c r="C115" s="1" t="s">
        <v>249</v>
      </c>
      <c r="D115" s="1" t="s">
        <v>12</v>
      </c>
      <c r="E115" s="1">
        <v>17891</v>
      </c>
      <c r="F115" s="1" t="s">
        <v>13</v>
      </c>
      <c r="G115" s="1">
        <v>3774.55</v>
      </c>
      <c r="H115" s="1">
        <v>21.55</v>
      </c>
    </row>
    <row r="116" spans="1:8">
      <c r="A116" s="1" t="s">
        <v>268</v>
      </c>
      <c r="B116" s="1" t="s">
        <v>269</v>
      </c>
      <c r="C116" s="1" t="s">
        <v>221</v>
      </c>
      <c r="D116" s="1" t="s">
        <v>12</v>
      </c>
      <c r="E116" s="1">
        <v>14506</v>
      </c>
      <c r="F116" s="1" t="s">
        <v>13</v>
      </c>
      <c r="G116" s="1">
        <v>2999.12</v>
      </c>
      <c r="H116" s="1">
        <v>21.99</v>
      </c>
    </row>
    <row r="117" spans="1:8">
      <c r="A117" s="1" t="s">
        <v>270</v>
      </c>
      <c r="B117" s="1" t="s">
        <v>271</v>
      </c>
      <c r="C117" s="1" t="s">
        <v>249</v>
      </c>
      <c r="D117" s="1" t="s">
        <v>12</v>
      </c>
      <c r="E117" s="1">
        <v>8589</v>
      </c>
      <c r="F117" s="1" t="s">
        <v>13</v>
      </c>
      <c r="G117" s="1">
        <v>2101.5700000000002</v>
      </c>
      <c r="H117" s="1">
        <v>18.579999999999998</v>
      </c>
    </row>
    <row r="118" spans="1:8">
      <c r="A118" s="1" t="s">
        <v>272</v>
      </c>
      <c r="B118" s="1" t="s">
        <v>273</v>
      </c>
      <c r="C118" s="1" t="s">
        <v>249</v>
      </c>
      <c r="D118" s="1" t="s">
        <v>12</v>
      </c>
      <c r="E118" s="1">
        <v>9214</v>
      </c>
      <c r="F118" s="1" t="s">
        <v>13</v>
      </c>
      <c r="G118" s="1">
        <v>2301.52</v>
      </c>
      <c r="H118" s="1">
        <v>18.2</v>
      </c>
    </row>
    <row r="119" spans="1:8">
      <c r="A119" s="1" t="s">
        <v>274</v>
      </c>
      <c r="B119" s="1" t="s">
        <v>275</v>
      </c>
      <c r="C119" s="1" t="s">
        <v>249</v>
      </c>
      <c r="D119" s="1" t="s">
        <v>12</v>
      </c>
      <c r="E119" s="1">
        <v>10546</v>
      </c>
      <c r="F119" s="1" t="s">
        <v>13</v>
      </c>
      <c r="G119" s="1">
        <v>2550.14</v>
      </c>
      <c r="H119" s="1">
        <v>18.8</v>
      </c>
    </row>
    <row r="120" spans="1:8">
      <c r="A120" s="1" t="s">
        <v>276</v>
      </c>
      <c r="B120" s="1" t="s">
        <v>277</v>
      </c>
      <c r="C120" s="1" t="s">
        <v>221</v>
      </c>
      <c r="D120" s="1" t="s">
        <v>12</v>
      </c>
      <c r="E120" s="1">
        <v>11363</v>
      </c>
      <c r="F120" s="1" t="s">
        <v>13</v>
      </c>
      <c r="G120" s="1">
        <v>2804.9</v>
      </c>
      <c r="H120" s="1">
        <v>18.420000000000002</v>
      </c>
    </row>
    <row r="121" spans="1:8">
      <c r="A121" s="1" t="s">
        <v>278</v>
      </c>
      <c r="B121" s="1" t="s">
        <v>279</v>
      </c>
      <c r="C121" s="1" t="s">
        <v>221</v>
      </c>
      <c r="D121" s="1" t="s">
        <v>12</v>
      </c>
      <c r="E121" s="1">
        <v>12881</v>
      </c>
      <c r="F121" s="1" t="s">
        <v>13</v>
      </c>
      <c r="G121" s="1">
        <v>2954.8</v>
      </c>
      <c r="H121" s="1">
        <v>19.82</v>
      </c>
    </row>
    <row r="122" spans="1:8">
      <c r="A122" s="1" t="s">
        <v>280</v>
      </c>
      <c r="B122" s="1" t="s">
        <v>281</v>
      </c>
      <c r="C122" s="1" t="s">
        <v>249</v>
      </c>
      <c r="D122" s="1" t="s">
        <v>12</v>
      </c>
      <c r="E122" s="1">
        <v>5995</v>
      </c>
      <c r="F122" s="1" t="s">
        <v>13</v>
      </c>
      <c r="G122" s="1">
        <v>1641.23</v>
      </c>
      <c r="H122" s="1">
        <v>16.61</v>
      </c>
    </row>
    <row r="123" spans="1:8">
      <c r="A123" s="1" t="s">
        <v>282</v>
      </c>
      <c r="B123" s="1" t="s">
        <v>283</v>
      </c>
      <c r="C123" s="1" t="s">
        <v>249</v>
      </c>
      <c r="D123" s="1" t="s">
        <v>12</v>
      </c>
      <c r="E123" s="1">
        <v>11232</v>
      </c>
      <c r="F123" s="1" t="s">
        <v>13</v>
      </c>
      <c r="G123" s="1">
        <v>2564.12</v>
      </c>
      <c r="H123" s="1">
        <v>19.91</v>
      </c>
    </row>
    <row r="124" spans="1:8">
      <c r="A124" s="1" t="s">
        <v>284</v>
      </c>
      <c r="B124" s="1" t="s">
        <v>285</v>
      </c>
      <c r="C124" s="1" t="s">
        <v>249</v>
      </c>
      <c r="D124" s="1" t="s">
        <v>12</v>
      </c>
      <c r="E124" s="1">
        <v>9149</v>
      </c>
      <c r="F124" s="1" t="s">
        <v>13</v>
      </c>
      <c r="G124" s="1">
        <v>2121.34</v>
      </c>
      <c r="H124" s="1">
        <v>19.61</v>
      </c>
    </row>
    <row r="125" spans="1:8">
      <c r="A125" s="1" t="s">
        <v>286</v>
      </c>
      <c r="B125" s="1" t="s">
        <v>287</v>
      </c>
      <c r="C125" s="1" t="s">
        <v>221</v>
      </c>
      <c r="D125" s="1" t="s">
        <v>12</v>
      </c>
      <c r="E125" s="1">
        <v>13486</v>
      </c>
      <c r="F125" s="1" t="s">
        <v>13</v>
      </c>
      <c r="G125" s="1">
        <v>3139.8</v>
      </c>
      <c r="H125" s="1">
        <v>19.53</v>
      </c>
    </row>
    <row r="126" spans="1:8">
      <c r="A126" s="1" t="s">
        <v>288</v>
      </c>
      <c r="B126" s="1" t="s">
        <v>289</v>
      </c>
      <c r="C126" s="1" t="s">
        <v>249</v>
      </c>
      <c r="D126" s="1" t="s">
        <v>12</v>
      </c>
      <c r="E126" s="1">
        <v>16234</v>
      </c>
      <c r="F126" s="1" t="s">
        <v>13</v>
      </c>
      <c r="G126" s="1">
        <v>3898</v>
      </c>
      <c r="H126" s="1">
        <v>18.93</v>
      </c>
    </row>
    <row r="127" spans="1:8">
      <c r="A127" s="1" t="s">
        <v>290</v>
      </c>
      <c r="B127" s="1" t="s">
        <v>291</v>
      </c>
      <c r="C127" s="1" t="s">
        <v>221</v>
      </c>
      <c r="D127" s="1" t="s">
        <v>12</v>
      </c>
      <c r="E127" s="1">
        <v>14361</v>
      </c>
      <c r="F127" s="1" t="s">
        <v>13</v>
      </c>
      <c r="G127" s="1">
        <v>3063.41</v>
      </c>
      <c r="H127" s="1">
        <v>21.31</v>
      </c>
    </row>
    <row r="128" spans="1:8">
      <c r="A128" s="1" t="s">
        <v>292</v>
      </c>
      <c r="B128" s="1" t="s">
        <v>293</v>
      </c>
      <c r="C128" s="1" t="s">
        <v>221</v>
      </c>
      <c r="D128" s="1" t="s">
        <v>12</v>
      </c>
      <c r="E128" s="1">
        <v>12672</v>
      </c>
      <c r="F128" s="1" t="s">
        <v>13</v>
      </c>
      <c r="G128" s="1">
        <v>3083.79</v>
      </c>
      <c r="H128" s="1">
        <v>18.68</v>
      </c>
    </row>
    <row r="129" spans="1:8">
      <c r="A129" s="1" t="s">
        <v>294</v>
      </c>
      <c r="B129" s="1" t="s">
        <v>295</v>
      </c>
      <c r="C129" s="1" t="s">
        <v>221</v>
      </c>
      <c r="D129" s="1" t="s">
        <v>12</v>
      </c>
      <c r="E129" s="1">
        <v>5232</v>
      </c>
      <c r="F129" s="1" t="s">
        <v>13</v>
      </c>
      <c r="G129" s="1">
        <v>1364.31</v>
      </c>
      <c r="H129" s="1">
        <v>17.43</v>
      </c>
    </row>
    <row r="130" spans="1:8">
      <c r="A130" s="1" t="s">
        <v>296</v>
      </c>
      <c r="B130" s="1" t="s">
        <v>297</v>
      </c>
      <c r="C130" s="1" t="s">
        <v>221</v>
      </c>
      <c r="D130" s="1" t="s">
        <v>12</v>
      </c>
      <c r="E130" s="1">
        <v>22338</v>
      </c>
      <c r="F130" s="1" t="s">
        <v>13</v>
      </c>
      <c r="G130" s="1">
        <v>4519.3500000000004</v>
      </c>
      <c r="H130" s="1">
        <v>22.47</v>
      </c>
    </row>
    <row r="131" spans="1:8">
      <c r="A131" s="1" t="s">
        <v>298</v>
      </c>
      <c r="B131" s="1" t="s">
        <v>299</v>
      </c>
      <c r="C131" s="1" t="s">
        <v>221</v>
      </c>
      <c r="D131" s="1" t="s">
        <v>12</v>
      </c>
      <c r="E131" s="1">
        <v>10208</v>
      </c>
      <c r="F131" s="1" t="s">
        <v>13</v>
      </c>
      <c r="G131" s="1">
        <v>2678.58</v>
      </c>
      <c r="H131" s="1">
        <v>17.329999999999998</v>
      </c>
    </row>
    <row r="132" spans="1:8">
      <c r="A132" s="1" t="s">
        <v>300</v>
      </c>
      <c r="B132" s="1" t="s">
        <v>301</v>
      </c>
      <c r="C132" s="1" t="s">
        <v>221</v>
      </c>
      <c r="D132" s="1" t="s">
        <v>12</v>
      </c>
      <c r="E132" s="1">
        <v>12681</v>
      </c>
      <c r="F132" s="1" t="s">
        <v>13</v>
      </c>
      <c r="G132" s="1">
        <v>3041.41</v>
      </c>
      <c r="H132" s="1">
        <v>18.95</v>
      </c>
    </row>
    <row r="133" spans="1:8">
      <c r="A133" s="1" t="s">
        <v>302</v>
      </c>
      <c r="B133" s="1" t="s">
        <v>303</v>
      </c>
      <c r="C133" s="1" t="s">
        <v>221</v>
      </c>
      <c r="D133" s="1" t="s">
        <v>12</v>
      </c>
      <c r="E133" s="1">
        <v>6215</v>
      </c>
      <c r="F133" s="1" t="s">
        <v>13</v>
      </c>
      <c r="G133" s="1">
        <v>1626.49</v>
      </c>
      <c r="H133" s="1">
        <v>17.37</v>
      </c>
    </row>
    <row r="134" spans="1:8">
      <c r="A134" s="1" t="s">
        <v>304</v>
      </c>
      <c r="B134" s="1" t="s">
        <v>305</v>
      </c>
      <c r="C134" s="1" t="s">
        <v>221</v>
      </c>
      <c r="D134" s="1" t="s">
        <v>12</v>
      </c>
      <c r="E134" s="1">
        <v>14387</v>
      </c>
      <c r="F134" s="1" t="s">
        <v>13</v>
      </c>
      <c r="G134" s="1">
        <v>2979.03</v>
      </c>
      <c r="H134" s="1">
        <v>21.96</v>
      </c>
    </row>
    <row r="135" spans="1:8">
      <c r="A135" s="1" t="s">
        <v>306</v>
      </c>
      <c r="B135" s="1" t="s">
        <v>307</v>
      </c>
      <c r="C135" s="1" t="s">
        <v>221</v>
      </c>
      <c r="D135" s="1" t="s">
        <v>12</v>
      </c>
      <c r="E135" s="1">
        <v>7175</v>
      </c>
      <c r="F135" s="1" t="s">
        <v>13</v>
      </c>
      <c r="G135" s="1">
        <v>1722.76</v>
      </c>
      <c r="H135" s="1">
        <v>18.93</v>
      </c>
    </row>
    <row r="136" spans="1:8">
      <c r="A136" s="1" t="s">
        <v>308</v>
      </c>
      <c r="B136" s="1" t="s">
        <v>309</v>
      </c>
      <c r="C136" s="1" t="s">
        <v>221</v>
      </c>
      <c r="D136" s="1" t="s">
        <v>12</v>
      </c>
      <c r="E136" s="1">
        <v>11762</v>
      </c>
      <c r="F136" s="1" t="s">
        <v>13</v>
      </c>
      <c r="G136" s="1">
        <v>2840</v>
      </c>
      <c r="H136" s="1">
        <v>18.829999999999998</v>
      </c>
    </row>
    <row r="137" spans="1:8">
      <c r="A137" s="1" t="s">
        <v>310</v>
      </c>
      <c r="B137" s="1" t="s">
        <v>311</v>
      </c>
      <c r="C137" s="1" t="s">
        <v>221</v>
      </c>
      <c r="D137" s="1" t="s">
        <v>12</v>
      </c>
      <c r="E137" s="1">
        <v>16263</v>
      </c>
      <c r="F137" s="1" t="s">
        <v>13</v>
      </c>
      <c r="G137" s="1">
        <v>3566.24</v>
      </c>
      <c r="H137" s="1">
        <v>20.73</v>
      </c>
    </row>
    <row r="138" spans="1:8">
      <c r="A138" s="1" t="s">
        <v>312</v>
      </c>
      <c r="B138" s="1" t="s">
        <v>313</v>
      </c>
      <c r="C138" s="1" t="s">
        <v>221</v>
      </c>
      <c r="D138" s="1" t="s">
        <v>12</v>
      </c>
      <c r="E138" s="1">
        <v>7284</v>
      </c>
      <c r="F138" s="1" t="s">
        <v>13</v>
      </c>
      <c r="G138" s="1">
        <v>1827.59</v>
      </c>
      <c r="H138" s="1">
        <v>18.12</v>
      </c>
    </row>
    <row r="139" spans="1:8">
      <c r="A139" s="1" t="s">
        <v>314</v>
      </c>
      <c r="B139" s="1" t="s">
        <v>315</v>
      </c>
      <c r="C139" s="1" t="s">
        <v>316</v>
      </c>
      <c r="D139" s="1" t="s">
        <v>12</v>
      </c>
      <c r="E139" s="1">
        <v>7786</v>
      </c>
      <c r="F139" s="1" t="s">
        <v>13</v>
      </c>
      <c r="G139" s="1">
        <v>1712.66</v>
      </c>
      <c r="H139" s="1">
        <v>20.67</v>
      </c>
    </row>
    <row r="140" spans="1:8">
      <c r="A140" s="1" t="s">
        <v>317</v>
      </c>
      <c r="B140" s="1" t="s">
        <v>318</v>
      </c>
      <c r="C140" s="1" t="s">
        <v>316</v>
      </c>
      <c r="D140" s="1" t="s">
        <v>12</v>
      </c>
      <c r="E140" s="1">
        <v>9742</v>
      </c>
      <c r="F140" s="1" t="s">
        <v>13</v>
      </c>
      <c r="G140" s="1">
        <v>2375.56</v>
      </c>
      <c r="H140" s="1">
        <v>18.64</v>
      </c>
    </row>
    <row r="141" spans="1:8">
      <c r="A141" s="1" t="s">
        <v>319</v>
      </c>
      <c r="B141" s="1" t="s">
        <v>320</v>
      </c>
      <c r="C141" s="1" t="s">
        <v>316</v>
      </c>
      <c r="D141" s="1" t="s">
        <v>12</v>
      </c>
      <c r="E141" s="1">
        <v>20226</v>
      </c>
      <c r="F141" s="1" t="s">
        <v>13</v>
      </c>
      <c r="G141" s="1">
        <v>4402.6400000000003</v>
      </c>
      <c r="H141" s="1">
        <v>20.89</v>
      </c>
    </row>
    <row r="142" spans="1:8">
      <c r="A142" s="1" t="s">
        <v>321</v>
      </c>
      <c r="B142" s="1" t="s">
        <v>322</v>
      </c>
      <c r="C142" s="1" t="s">
        <v>316</v>
      </c>
      <c r="D142" s="1" t="s">
        <v>12</v>
      </c>
      <c r="E142" s="1">
        <v>21068</v>
      </c>
      <c r="F142" s="1" t="s">
        <v>13</v>
      </c>
      <c r="G142" s="1">
        <v>4116.21</v>
      </c>
      <c r="H142" s="1">
        <v>23.27</v>
      </c>
    </row>
    <row r="143" spans="1:8">
      <c r="A143" s="1" t="s">
        <v>323</v>
      </c>
      <c r="B143" s="1" t="s">
        <v>324</v>
      </c>
      <c r="C143" s="1" t="s">
        <v>316</v>
      </c>
      <c r="D143" s="1" t="s">
        <v>12</v>
      </c>
      <c r="E143" s="1">
        <v>12965</v>
      </c>
      <c r="F143" s="1" t="s">
        <v>13</v>
      </c>
      <c r="G143" s="1">
        <v>2977.9</v>
      </c>
      <c r="H143" s="1">
        <v>19.79</v>
      </c>
    </row>
    <row r="144" spans="1:8">
      <c r="A144" s="1" t="s">
        <v>325</v>
      </c>
      <c r="B144" s="1" t="s">
        <v>326</v>
      </c>
      <c r="C144" s="1" t="s">
        <v>249</v>
      </c>
      <c r="D144" s="1" t="s">
        <v>12</v>
      </c>
      <c r="E144" s="1">
        <v>5710</v>
      </c>
      <c r="F144" s="1" t="s">
        <v>13</v>
      </c>
      <c r="G144" s="1">
        <v>1240.3399999999999</v>
      </c>
      <c r="H144" s="1">
        <v>20.93</v>
      </c>
    </row>
    <row r="145" spans="1:8">
      <c r="A145" s="1" t="s">
        <v>327</v>
      </c>
      <c r="B145" s="1" t="s">
        <v>328</v>
      </c>
      <c r="C145" s="1" t="s">
        <v>249</v>
      </c>
      <c r="D145" s="1" t="s">
        <v>12</v>
      </c>
      <c r="E145" s="1">
        <v>5090</v>
      </c>
      <c r="F145" s="1" t="s">
        <v>13</v>
      </c>
      <c r="G145" s="1">
        <v>1144.3900000000001</v>
      </c>
      <c r="H145" s="1">
        <v>20.22</v>
      </c>
    </row>
    <row r="146" spans="1:8">
      <c r="A146" s="1" t="s">
        <v>329</v>
      </c>
      <c r="B146" s="1" t="s">
        <v>330</v>
      </c>
      <c r="C146" s="1" t="s">
        <v>249</v>
      </c>
      <c r="D146" s="1" t="s">
        <v>12</v>
      </c>
      <c r="E146" s="1">
        <v>191</v>
      </c>
      <c r="F146" s="1" t="s">
        <v>13</v>
      </c>
      <c r="G146" s="1">
        <v>94.05</v>
      </c>
      <c r="H146" s="1">
        <v>9.23</v>
      </c>
    </row>
    <row r="147" spans="1:8">
      <c r="A147" s="1" t="s">
        <v>331</v>
      </c>
      <c r="B147" s="1" t="s">
        <v>332</v>
      </c>
      <c r="C147" s="1" t="s">
        <v>249</v>
      </c>
      <c r="D147" s="1" t="s">
        <v>12</v>
      </c>
      <c r="E147" s="1">
        <v>604</v>
      </c>
      <c r="F147" s="1" t="s">
        <v>13</v>
      </c>
      <c r="G147" s="1">
        <v>183.37</v>
      </c>
      <c r="H147" s="1">
        <v>14.97</v>
      </c>
    </row>
    <row r="148" spans="1:8">
      <c r="A148" s="1" t="s">
        <v>333</v>
      </c>
      <c r="B148" s="1" t="s">
        <v>334</v>
      </c>
      <c r="C148" s="1" t="s">
        <v>249</v>
      </c>
      <c r="D148" s="1" t="s">
        <v>12</v>
      </c>
      <c r="E148" s="1">
        <v>198</v>
      </c>
      <c r="F148" s="1" t="s">
        <v>13</v>
      </c>
      <c r="G148" s="1">
        <v>81.290000000000006</v>
      </c>
      <c r="H148" s="1">
        <v>11.07</v>
      </c>
    </row>
    <row r="149" spans="1:8">
      <c r="A149" s="1" t="s">
        <v>335</v>
      </c>
      <c r="B149" s="1" t="s">
        <v>336</v>
      </c>
      <c r="C149" s="1" t="s">
        <v>249</v>
      </c>
      <c r="D149" s="1" t="s">
        <v>12</v>
      </c>
      <c r="E149" s="1">
        <v>912</v>
      </c>
      <c r="F149" s="1" t="s">
        <v>13</v>
      </c>
      <c r="G149" s="1">
        <v>286.81</v>
      </c>
      <c r="H149" s="1">
        <v>14.46</v>
      </c>
    </row>
    <row r="150" spans="1:8">
      <c r="A150" s="1" t="s">
        <v>337</v>
      </c>
      <c r="B150" s="1" t="s">
        <v>338</v>
      </c>
      <c r="C150" s="1" t="s">
        <v>339</v>
      </c>
      <c r="D150" s="1" t="s">
        <v>12</v>
      </c>
      <c r="E150" s="1">
        <v>4038</v>
      </c>
      <c r="F150" s="1" t="s">
        <v>13</v>
      </c>
      <c r="G150" s="1">
        <v>572.62</v>
      </c>
      <c r="H150" s="1">
        <v>32.06</v>
      </c>
    </row>
    <row r="151" spans="1:8">
      <c r="A151" s="1" t="s">
        <v>340</v>
      </c>
      <c r="B151" s="1" t="s">
        <v>341</v>
      </c>
      <c r="C151" s="1" t="s">
        <v>339</v>
      </c>
      <c r="D151" s="1" t="s">
        <v>12</v>
      </c>
      <c r="E151" s="1">
        <v>2673</v>
      </c>
      <c r="F151" s="1" t="s">
        <v>13</v>
      </c>
      <c r="G151" s="1">
        <v>307.99</v>
      </c>
      <c r="H151" s="1">
        <v>39.450000000000003</v>
      </c>
    </row>
    <row r="152" spans="1:8">
      <c r="A152" s="1" t="s">
        <v>342</v>
      </c>
      <c r="B152" s="1" t="s">
        <v>343</v>
      </c>
      <c r="C152" s="1" t="s">
        <v>344</v>
      </c>
      <c r="D152" s="1" t="s">
        <v>12</v>
      </c>
      <c r="E152" s="1">
        <v>11532</v>
      </c>
      <c r="F152" s="1" t="s">
        <v>137</v>
      </c>
      <c r="G152" s="1">
        <v>1262.57</v>
      </c>
      <c r="H152" s="1">
        <v>25.8</v>
      </c>
    </row>
    <row r="153" spans="1:8">
      <c r="A153" s="1" t="s">
        <v>345</v>
      </c>
      <c r="B153" s="1" t="s">
        <v>346</v>
      </c>
      <c r="C153" s="1" t="s">
        <v>249</v>
      </c>
      <c r="D153" s="1" t="s">
        <v>12</v>
      </c>
      <c r="E153" s="1">
        <v>12193</v>
      </c>
      <c r="F153" s="1" t="s">
        <v>13</v>
      </c>
      <c r="G153" s="1">
        <v>2215.44</v>
      </c>
      <c r="H153" s="1">
        <v>25.02</v>
      </c>
    </row>
    <row r="154" spans="1:8">
      <c r="A154" s="1" t="s">
        <v>347</v>
      </c>
      <c r="B154" s="1" t="s">
        <v>348</v>
      </c>
      <c r="C154" s="1" t="s">
        <v>349</v>
      </c>
      <c r="D154" s="1" t="s">
        <v>12</v>
      </c>
      <c r="E154" s="1">
        <v>1075</v>
      </c>
      <c r="F154" s="1" t="s">
        <v>13</v>
      </c>
      <c r="G154" s="1">
        <v>223.22</v>
      </c>
      <c r="H154" s="1">
        <v>21.89</v>
      </c>
    </row>
    <row r="155" spans="1:8">
      <c r="A155" s="1" t="s">
        <v>350</v>
      </c>
      <c r="B155" s="1" t="s">
        <v>351</v>
      </c>
      <c r="C155" s="1" t="s">
        <v>352</v>
      </c>
      <c r="D155" s="1" t="s">
        <v>12</v>
      </c>
      <c r="E155" s="1">
        <v>16569</v>
      </c>
      <c r="F155" s="1" t="s">
        <v>13</v>
      </c>
      <c r="G155" s="1">
        <v>3337.08</v>
      </c>
      <c r="H155" s="1">
        <v>22.57</v>
      </c>
    </row>
    <row r="156" spans="1:8">
      <c r="A156" s="1" t="s">
        <v>353</v>
      </c>
      <c r="B156" s="1" t="s">
        <v>354</v>
      </c>
      <c r="C156" s="1" t="s">
        <v>352</v>
      </c>
      <c r="D156" s="1" t="s">
        <v>12</v>
      </c>
      <c r="E156" s="1">
        <v>7245</v>
      </c>
      <c r="F156" s="1" t="s">
        <v>13</v>
      </c>
      <c r="G156" s="1">
        <v>1458.06</v>
      </c>
      <c r="H156" s="1">
        <v>22.59</v>
      </c>
    </row>
    <row r="157" spans="1:8">
      <c r="A157" s="1" t="s">
        <v>355</v>
      </c>
      <c r="B157" s="1" t="s">
        <v>356</v>
      </c>
      <c r="C157" s="1" t="s">
        <v>357</v>
      </c>
      <c r="D157" s="1" t="s">
        <v>12</v>
      </c>
      <c r="E157" s="1">
        <v>9137</v>
      </c>
      <c r="F157" s="1" t="s">
        <v>13</v>
      </c>
      <c r="G157" s="1">
        <v>2273.25</v>
      </c>
      <c r="H157" s="1">
        <v>18.27</v>
      </c>
    </row>
    <row r="158" spans="1:8">
      <c r="A158" s="1" t="s">
        <v>358</v>
      </c>
      <c r="B158" s="1" t="s">
        <v>359</v>
      </c>
      <c r="C158" s="1" t="s">
        <v>352</v>
      </c>
      <c r="D158" s="1" t="s">
        <v>12</v>
      </c>
      <c r="E158" s="1">
        <v>7088</v>
      </c>
      <c r="F158" s="1" t="s">
        <v>13</v>
      </c>
      <c r="G158" s="1">
        <v>1565.6</v>
      </c>
      <c r="H158" s="1">
        <v>20.58</v>
      </c>
    </row>
    <row r="159" spans="1:8">
      <c r="A159" s="1" t="s">
        <v>360</v>
      </c>
      <c r="B159" s="1" t="s">
        <v>361</v>
      </c>
      <c r="C159" s="1" t="s">
        <v>352</v>
      </c>
      <c r="D159" s="1" t="s">
        <v>12</v>
      </c>
      <c r="E159" s="1">
        <v>9730</v>
      </c>
      <c r="F159" s="1" t="s">
        <v>13</v>
      </c>
      <c r="G159" s="1">
        <v>2106.1999999999998</v>
      </c>
      <c r="H159" s="1">
        <v>21</v>
      </c>
    </row>
    <row r="160" spans="1:8">
      <c r="A160" s="1" t="s">
        <v>362</v>
      </c>
      <c r="B160" s="1" t="s">
        <v>363</v>
      </c>
      <c r="C160" s="1" t="s">
        <v>352</v>
      </c>
      <c r="D160" s="1" t="s">
        <v>12</v>
      </c>
      <c r="E160" s="1">
        <v>12740</v>
      </c>
      <c r="F160" s="1" t="s">
        <v>13</v>
      </c>
      <c r="G160" s="1">
        <v>2804.09</v>
      </c>
      <c r="H160" s="1">
        <v>20.65</v>
      </c>
    </row>
    <row r="161" spans="1:8">
      <c r="A161" s="1" t="s">
        <v>364</v>
      </c>
      <c r="B161" s="1" t="s">
        <v>365</v>
      </c>
      <c r="C161" s="1" t="s">
        <v>366</v>
      </c>
      <c r="D161" s="1" t="s">
        <v>12</v>
      </c>
      <c r="E161" s="1">
        <v>10677</v>
      </c>
      <c r="F161" s="1" t="s">
        <v>13</v>
      </c>
      <c r="G161" s="1">
        <v>2264.87</v>
      </c>
      <c r="H161" s="1">
        <v>21.43</v>
      </c>
    </row>
    <row r="162" spans="1:8">
      <c r="A162" s="1" t="s">
        <v>367</v>
      </c>
      <c r="B162" s="1" t="s">
        <v>368</v>
      </c>
      <c r="C162" s="1" t="s">
        <v>352</v>
      </c>
      <c r="D162" s="1" t="s">
        <v>12</v>
      </c>
      <c r="E162" s="1">
        <v>11463</v>
      </c>
      <c r="F162" s="1" t="s">
        <v>13</v>
      </c>
      <c r="G162" s="1">
        <v>2420.4</v>
      </c>
      <c r="H162" s="1">
        <v>21.53</v>
      </c>
    </row>
    <row r="163" spans="1:8">
      <c r="A163" s="1" t="s">
        <v>369</v>
      </c>
      <c r="B163" s="1" t="s">
        <v>370</v>
      </c>
      <c r="C163" s="1" t="s">
        <v>371</v>
      </c>
      <c r="D163" s="1" t="s">
        <v>12</v>
      </c>
      <c r="E163" s="1">
        <v>14034</v>
      </c>
      <c r="F163" s="1" t="s">
        <v>13</v>
      </c>
      <c r="G163" s="1">
        <v>2815.71</v>
      </c>
      <c r="H163" s="1">
        <v>22.66</v>
      </c>
    </row>
    <row r="164" spans="1:8">
      <c r="A164" s="1" t="s">
        <v>372</v>
      </c>
      <c r="B164" s="1" t="s">
        <v>373</v>
      </c>
      <c r="C164" s="1" t="s">
        <v>357</v>
      </c>
      <c r="D164" s="1" t="s">
        <v>12</v>
      </c>
      <c r="E164" s="1">
        <v>14287</v>
      </c>
      <c r="F164" s="1" t="s">
        <v>13</v>
      </c>
      <c r="G164" s="1">
        <v>3373.4</v>
      </c>
      <c r="H164" s="1">
        <v>19.25</v>
      </c>
    </row>
    <row r="165" spans="1:8">
      <c r="A165" s="1" t="s">
        <v>374</v>
      </c>
      <c r="B165" s="1" t="s">
        <v>375</v>
      </c>
      <c r="C165" s="1" t="s">
        <v>357</v>
      </c>
      <c r="D165" s="1" t="s">
        <v>12</v>
      </c>
      <c r="E165" s="1">
        <v>8265</v>
      </c>
      <c r="F165" s="1" t="s">
        <v>13</v>
      </c>
      <c r="G165" s="1">
        <v>2166.6</v>
      </c>
      <c r="H165" s="1">
        <v>17.34</v>
      </c>
    </row>
    <row r="166" spans="1:8">
      <c r="A166" s="1" t="s">
        <v>376</v>
      </c>
      <c r="B166" s="1" t="s">
        <v>377</v>
      </c>
      <c r="C166" s="1" t="s">
        <v>357</v>
      </c>
      <c r="D166" s="1" t="s">
        <v>12</v>
      </c>
      <c r="E166" s="1">
        <v>10260</v>
      </c>
      <c r="F166" s="1" t="s">
        <v>13</v>
      </c>
      <c r="G166" s="1">
        <v>2518.81</v>
      </c>
      <c r="H166" s="1">
        <v>18.52</v>
      </c>
    </row>
    <row r="167" spans="1:8">
      <c r="A167" s="1" t="s">
        <v>378</v>
      </c>
      <c r="B167" s="1" t="s">
        <v>379</v>
      </c>
      <c r="C167" s="1" t="s">
        <v>357</v>
      </c>
      <c r="D167" s="1" t="s">
        <v>12</v>
      </c>
      <c r="E167" s="1">
        <v>12031</v>
      </c>
      <c r="F167" s="1" t="s">
        <v>13</v>
      </c>
      <c r="G167" s="1">
        <v>2945.18</v>
      </c>
      <c r="H167" s="1">
        <v>18.57</v>
      </c>
    </row>
    <row r="168" spans="1:8">
      <c r="A168" s="1" t="s">
        <v>380</v>
      </c>
      <c r="B168" s="1" t="s">
        <v>381</v>
      </c>
      <c r="C168" s="1" t="s">
        <v>357</v>
      </c>
      <c r="D168" s="1" t="s">
        <v>12</v>
      </c>
      <c r="E168" s="1">
        <v>8083</v>
      </c>
      <c r="F168" s="1" t="s">
        <v>13</v>
      </c>
      <c r="G168" s="1">
        <v>1923.85</v>
      </c>
      <c r="H168" s="1">
        <v>19.100000000000001</v>
      </c>
    </row>
    <row r="169" spans="1:8">
      <c r="A169" s="1" t="s">
        <v>382</v>
      </c>
      <c r="B169" s="1" t="s">
        <v>383</v>
      </c>
      <c r="C169" s="1" t="s">
        <v>357</v>
      </c>
      <c r="D169" s="1" t="s">
        <v>12</v>
      </c>
      <c r="E169" s="1">
        <v>9373</v>
      </c>
      <c r="F169" s="1" t="s">
        <v>13</v>
      </c>
      <c r="G169" s="1">
        <v>2493.64</v>
      </c>
      <c r="H169" s="1">
        <v>17.09</v>
      </c>
    </row>
    <row r="170" spans="1:8">
      <c r="A170" s="1" t="s">
        <v>384</v>
      </c>
      <c r="B170" s="1" t="s">
        <v>385</v>
      </c>
      <c r="C170" s="1" t="s">
        <v>357</v>
      </c>
      <c r="D170" s="1" t="s">
        <v>12</v>
      </c>
      <c r="E170" s="1">
        <v>15321</v>
      </c>
      <c r="F170" s="1" t="s">
        <v>13</v>
      </c>
      <c r="G170" s="1">
        <v>3451.27</v>
      </c>
      <c r="H170" s="1">
        <v>20.18</v>
      </c>
    </row>
    <row r="171" spans="1:8">
      <c r="A171" s="1" t="s">
        <v>386</v>
      </c>
      <c r="B171" s="1" t="s">
        <v>387</v>
      </c>
      <c r="C171" s="1" t="s">
        <v>357</v>
      </c>
      <c r="D171" s="1" t="s">
        <v>12</v>
      </c>
      <c r="E171" s="1">
        <v>11967</v>
      </c>
      <c r="F171" s="1" t="s">
        <v>13</v>
      </c>
      <c r="G171" s="1">
        <v>2885.25</v>
      </c>
      <c r="H171" s="1">
        <v>18.86</v>
      </c>
    </row>
    <row r="172" spans="1:8">
      <c r="A172" s="1" t="s">
        <v>388</v>
      </c>
      <c r="B172" s="1" t="s">
        <v>389</v>
      </c>
      <c r="C172" s="1" t="s">
        <v>357</v>
      </c>
      <c r="D172" s="1" t="s">
        <v>12</v>
      </c>
      <c r="E172" s="1">
        <v>10859</v>
      </c>
      <c r="F172" s="1" t="s">
        <v>13</v>
      </c>
      <c r="G172" s="1">
        <v>2517.89</v>
      </c>
      <c r="H172" s="1">
        <v>19.61</v>
      </c>
    </row>
    <row r="173" spans="1:8">
      <c r="A173" s="1" t="s">
        <v>390</v>
      </c>
      <c r="B173" s="1" t="s">
        <v>391</v>
      </c>
      <c r="C173" s="1" t="s">
        <v>357</v>
      </c>
      <c r="D173" s="1" t="s">
        <v>12</v>
      </c>
      <c r="E173" s="1">
        <v>15059</v>
      </c>
      <c r="F173" s="1" t="s">
        <v>13</v>
      </c>
      <c r="G173" s="1">
        <v>3562.62</v>
      </c>
      <c r="H173" s="1">
        <v>19.22</v>
      </c>
    </row>
    <row r="174" spans="1:8">
      <c r="A174" s="1" t="s">
        <v>392</v>
      </c>
      <c r="B174" s="1" t="s">
        <v>393</v>
      </c>
      <c r="C174" s="1" t="s">
        <v>357</v>
      </c>
      <c r="D174" s="1" t="s">
        <v>12</v>
      </c>
      <c r="E174" s="1">
        <v>14906</v>
      </c>
      <c r="F174" s="1" t="s">
        <v>13</v>
      </c>
      <c r="G174" s="1">
        <v>3404.85</v>
      </c>
      <c r="H174" s="1">
        <v>19.899999999999999</v>
      </c>
    </row>
    <row r="175" spans="1:8">
      <c r="A175" s="1" t="s">
        <v>394</v>
      </c>
      <c r="B175" s="1" t="s">
        <v>395</v>
      </c>
      <c r="C175" s="1" t="s">
        <v>357</v>
      </c>
      <c r="D175" s="1" t="s">
        <v>12</v>
      </c>
      <c r="E175" s="1">
        <v>15894</v>
      </c>
      <c r="F175" s="1" t="s">
        <v>13</v>
      </c>
      <c r="G175" s="1">
        <v>3466.9</v>
      </c>
      <c r="H175" s="1">
        <v>20.84</v>
      </c>
    </row>
    <row r="176" spans="1:8">
      <c r="A176" s="1" t="s">
        <v>396</v>
      </c>
      <c r="B176" s="1" t="s">
        <v>397</v>
      </c>
      <c r="C176" s="1" t="s">
        <v>357</v>
      </c>
      <c r="D176" s="1" t="s">
        <v>12</v>
      </c>
      <c r="E176" s="1">
        <v>14018</v>
      </c>
      <c r="F176" s="1" t="s">
        <v>13</v>
      </c>
      <c r="G176" s="1">
        <v>3332.61</v>
      </c>
      <c r="H176" s="1">
        <v>19.12</v>
      </c>
    </row>
    <row r="177" spans="1:8">
      <c r="A177" s="1" t="s">
        <v>398</v>
      </c>
      <c r="B177" s="1" t="s">
        <v>399</v>
      </c>
      <c r="C177" s="1" t="s">
        <v>357</v>
      </c>
      <c r="D177" s="1" t="s">
        <v>12</v>
      </c>
      <c r="E177" s="1">
        <v>21469</v>
      </c>
      <c r="F177" s="1" t="s">
        <v>13</v>
      </c>
      <c r="G177" s="1">
        <v>4179.47</v>
      </c>
      <c r="H177" s="1">
        <v>23.35</v>
      </c>
    </row>
    <row r="178" spans="1:8">
      <c r="A178" s="1" t="s">
        <v>400</v>
      </c>
      <c r="B178" s="1" t="s">
        <v>401</v>
      </c>
      <c r="C178" s="1" t="s">
        <v>402</v>
      </c>
      <c r="D178" s="1" t="s">
        <v>12</v>
      </c>
      <c r="E178" s="1">
        <v>16508</v>
      </c>
      <c r="F178" s="1" t="s">
        <v>13</v>
      </c>
      <c r="G178" s="1">
        <v>3509.68</v>
      </c>
      <c r="H178" s="1">
        <v>21.38</v>
      </c>
    </row>
    <row r="179" spans="1:8">
      <c r="A179" s="1" t="s">
        <v>403</v>
      </c>
      <c r="B179" s="1" t="s">
        <v>404</v>
      </c>
      <c r="C179" s="1" t="s">
        <v>352</v>
      </c>
      <c r="D179" s="1" t="s">
        <v>12</v>
      </c>
      <c r="E179" s="1">
        <v>11981</v>
      </c>
      <c r="F179" s="1" t="s">
        <v>13</v>
      </c>
      <c r="G179" s="1">
        <v>2828.62</v>
      </c>
      <c r="H179" s="1">
        <v>19.260000000000002</v>
      </c>
    </row>
    <row r="180" spans="1:8">
      <c r="A180" s="1" t="s">
        <v>405</v>
      </c>
      <c r="B180" s="1" t="s">
        <v>406</v>
      </c>
      <c r="C180" s="1" t="s">
        <v>352</v>
      </c>
      <c r="D180" s="1" t="s">
        <v>12</v>
      </c>
      <c r="E180" s="1">
        <v>11903</v>
      </c>
      <c r="F180" s="1" t="s">
        <v>13</v>
      </c>
      <c r="G180" s="1">
        <v>2412.73</v>
      </c>
      <c r="H180" s="1">
        <v>22.43</v>
      </c>
    </row>
    <row r="181" spans="1:8">
      <c r="A181" s="1" t="s">
        <v>407</v>
      </c>
      <c r="B181" s="1" t="s">
        <v>408</v>
      </c>
      <c r="C181" s="1" t="s">
        <v>352</v>
      </c>
      <c r="D181" s="1" t="s">
        <v>12</v>
      </c>
      <c r="E181" s="1">
        <v>11706</v>
      </c>
      <c r="F181" s="1" t="s">
        <v>13</v>
      </c>
      <c r="G181" s="1">
        <v>2415.96</v>
      </c>
      <c r="H181" s="1">
        <v>22.03</v>
      </c>
    </row>
    <row r="182" spans="1:8">
      <c r="A182" s="1" t="s">
        <v>409</v>
      </c>
      <c r="B182" s="1" t="s">
        <v>410</v>
      </c>
      <c r="C182" s="1" t="s">
        <v>352</v>
      </c>
      <c r="D182" s="1" t="s">
        <v>12</v>
      </c>
      <c r="E182" s="1">
        <v>12301</v>
      </c>
      <c r="F182" s="1" t="s">
        <v>13</v>
      </c>
      <c r="G182" s="1">
        <v>2849.25</v>
      </c>
      <c r="H182" s="1">
        <v>19.63</v>
      </c>
    </row>
    <row r="183" spans="1:8">
      <c r="A183" s="1" t="s">
        <v>411</v>
      </c>
      <c r="B183" s="1" t="s">
        <v>412</v>
      </c>
      <c r="C183" s="1" t="s">
        <v>352</v>
      </c>
      <c r="D183" s="1" t="s">
        <v>12</v>
      </c>
      <c r="E183" s="1">
        <v>9366</v>
      </c>
      <c r="F183" s="1" t="s">
        <v>13</v>
      </c>
      <c r="G183" s="1">
        <v>1986.44</v>
      </c>
      <c r="H183" s="1">
        <v>21.43</v>
      </c>
    </row>
    <row r="184" spans="1:8">
      <c r="A184" s="1" t="s">
        <v>413</v>
      </c>
      <c r="B184" s="1" t="s">
        <v>414</v>
      </c>
      <c r="C184" s="1" t="s">
        <v>415</v>
      </c>
      <c r="D184" s="1" t="s">
        <v>12</v>
      </c>
      <c r="E184" s="1">
        <v>8643</v>
      </c>
      <c r="F184" s="1" t="s">
        <v>13</v>
      </c>
      <c r="G184" s="1">
        <v>2146.87</v>
      </c>
      <c r="H184" s="1">
        <v>18.3</v>
      </c>
    </row>
    <row r="185" spans="1:8">
      <c r="A185" s="1" t="s">
        <v>416</v>
      </c>
      <c r="B185" s="1" t="s">
        <v>417</v>
      </c>
      <c r="C185" s="1" t="s">
        <v>418</v>
      </c>
      <c r="D185" s="1" t="s">
        <v>12</v>
      </c>
      <c r="E185" s="1">
        <v>13664</v>
      </c>
      <c r="F185" s="1" t="s">
        <v>13</v>
      </c>
      <c r="G185" s="1">
        <v>3177.79</v>
      </c>
      <c r="H185" s="1">
        <v>19.55</v>
      </c>
    </row>
    <row r="186" spans="1:8">
      <c r="A186" s="1" t="s">
        <v>419</v>
      </c>
      <c r="B186" s="1" t="s">
        <v>420</v>
      </c>
      <c r="C186" s="1" t="s">
        <v>421</v>
      </c>
      <c r="D186" s="1" t="s">
        <v>12</v>
      </c>
      <c r="E186" s="1">
        <v>11132</v>
      </c>
      <c r="F186" s="1" t="s">
        <v>13</v>
      </c>
      <c r="G186" s="1">
        <v>2888.5</v>
      </c>
      <c r="H186" s="1">
        <v>17.52</v>
      </c>
    </row>
    <row r="187" spans="1:8">
      <c r="A187" s="1" t="s">
        <v>422</v>
      </c>
      <c r="B187" s="1" t="s">
        <v>423</v>
      </c>
      <c r="C187" s="1" t="s">
        <v>418</v>
      </c>
      <c r="D187" s="1" t="s">
        <v>12</v>
      </c>
      <c r="E187" s="1">
        <v>12906</v>
      </c>
      <c r="F187" s="1" t="s">
        <v>13</v>
      </c>
      <c r="G187" s="1">
        <v>3456</v>
      </c>
      <c r="H187" s="1">
        <v>16.98</v>
      </c>
    </row>
    <row r="188" spans="1:8">
      <c r="A188" s="1" t="s">
        <v>424</v>
      </c>
      <c r="B188" s="1" t="s">
        <v>425</v>
      </c>
      <c r="C188" s="1" t="s">
        <v>418</v>
      </c>
      <c r="D188" s="1" t="s">
        <v>12</v>
      </c>
      <c r="E188" s="1">
        <v>14257</v>
      </c>
      <c r="F188" s="1" t="s">
        <v>13</v>
      </c>
      <c r="G188" s="1">
        <v>3047.01</v>
      </c>
      <c r="H188" s="1">
        <v>21.27</v>
      </c>
    </row>
    <row r="189" spans="1:8">
      <c r="A189" s="1" t="s">
        <v>426</v>
      </c>
      <c r="B189" s="1" t="s">
        <v>427</v>
      </c>
      <c r="C189" s="1" t="s">
        <v>428</v>
      </c>
      <c r="D189" s="1" t="s">
        <v>12</v>
      </c>
      <c r="E189" s="1">
        <v>10294</v>
      </c>
      <c r="F189" s="1" t="s">
        <v>13</v>
      </c>
      <c r="G189" s="1">
        <v>2381.8000000000002</v>
      </c>
      <c r="H189" s="1">
        <v>19.649999999999999</v>
      </c>
    </row>
    <row r="190" spans="1:8">
      <c r="A190" s="1" t="s">
        <v>429</v>
      </c>
      <c r="B190" s="1" t="s">
        <v>430</v>
      </c>
      <c r="C190" s="1" t="s">
        <v>418</v>
      </c>
      <c r="D190" s="1" t="s">
        <v>12</v>
      </c>
      <c r="E190" s="1">
        <v>13595</v>
      </c>
      <c r="F190" s="1" t="s">
        <v>13</v>
      </c>
      <c r="G190" s="1">
        <v>3644.97</v>
      </c>
      <c r="H190" s="1">
        <v>16.96</v>
      </c>
    </row>
    <row r="191" spans="1:8">
      <c r="A191" s="1" t="s">
        <v>431</v>
      </c>
      <c r="B191" s="1" t="s">
        <v>432</v>
      </c>
      <c r="C191" s="1" t="s">
        <v>418</v>
      </c>
      <c r="D191" s="1" t="s">
        <v>12</v>
      </c>
      <c r="E191" s="1">
        <v>11968</v>
      </c>
      <c r="F191" s="1" t="s">
        <v>13</v>
      </c>
      <c r="G191" s="1">
        <v>2878.99</v>
      </c>
      <c r="H191" s="1">
        <v>18.899999999999999</v>
      </c>
    </row>
    <row r="192" spans="1:8">
      <c r="A192" s="1" t="s">
        <v>433</v>
      </c>
      <c r="B192" s="1" t="s">
        <v>434</v>
      </c>
      <c r="C192" s="1" t="s">
        <v>418</v>
      </c>
      <c r="D192" s="1" t="s">
        <v>12</v>
      </c>
      <c r="E192" s="1">
        <v>8522</v>
      </c>
      <c r="F192" s="1" t="s">
        <v>13</v>
      </c>
      <c r="G192" s="1">
        <v>2288.19</v>
      </c>
      <c r="H192" s="1">
        <v>16.93</v>
      </c>
    </row>
    <row r="193" spans="1:8">
      <c r="A193" s="1" t="s">
        <v>435</v>
      </c>
      <c r="B193" s="1" t="s">
        <v>436</v>
      </c>
      <c r="C193" s="1" t="s">
        <v>418</v>
      </c>
      <c r="D193" s="1" t="s">
        <v>12</v>
      </c>
      <c r="E193" s="1">
        <v>14147</v>
      </c>
      <c r="F193" s="1" t="s">
        <v>13</v>
      </c>
      <c r="G193" s="1">
        <v>3599.53</v>
      </c>
      <c r="H193" s="1">
        <v>17.87</v>
      </c>
    </row>
    <row r="194" spans="1:8">
      <c r="A194" s="1" t="s">
        <v>437</v>
      </c>
      <c r="B194" s="1" t="s">
        <v>438</v>
      </c>
      <c r="C194" s="1" t="s">
        <v>418</v>
      </c>
      <c r="D194" s="1" t="s">
        <v>12</v>
      </c>
      <c r="E194" s="1">
        <v>17826</v>
      </c>
      <c r="F194" s="1" t="s">
        <v>13</v>
      </c>
      <c r="G194" s="1">
        <v>4690.1499999999996</v>
      </c>
      <c r="H194" s="1">
        <v>17.28</v>
      </c>
    </row>
    <row r="195" spans="1:8">
      <c r="A195" s="1" t="s">
        <v>439</v>
      </c>
      <c r="B195" s="1" t="s">
        <v>440</v>
      </c>
      <c r="C195" s="1" t="s">
        <v>418</v>
      </c>
      <c r="D195" s="1" t="s">
        <v>12</v>
      </c>
      <c r="E195" s="1">
        <v>6811</v>
      </c>
      <c r="F195" s="1" t="s">
        <v>13</v>
      </c>
      <c r="G195" s="1">
        <v>1790.94</v>
      </c>
      <c r="H195" s="1">
        <v>17.29</v>
      </c>
    </row>
    <row r="196" spans="1:8">
      <c r="A196" s="1" t="s">
        <v>441</v>
      </c>
      <c r="B196" s="1" t="s">
        <v>442</v>
      </c>
      <c r="C196" s="1" t="s">
        <v>249</v>
      </c>
      <c r="D196" s="1" t="s">
        <v>12</v>
      </c>
      <c r="E196" s="1">
        <v>11969</v>
      </c>
      <c r="F196" s="1" t="s">
        <v>13</v>
      </c>
      <c r="G196" s="1">
        <v>2615.87</v>
      </c>
      <c r="H196" s="1">
        <v>20.8</v>
      </c>
    </row>
    <row r="197" spans="1:8">
      <c r="A197" s="1" t="s">
        <v>443</v>
      </c>
      <c r="B197" s="1" t="s">
        <v>444</v>
      </c>
      <c r="C197" s="1" t="s">
        <v>249</v>
      </c>
      <c r="D197" s="1" t="s">
        <v>12</v>
      </c>
      <c r="E197" s="1">
        <v>9013</v>
      </c>
      <c r="F197" s="1" t="s">
        <v>13</v>
      </c>
      <c r="G197" s="1">
        <v>2030.69</v>
      </c>
      <c r="H197" s="1">
        <v>20.18</v>
      </c>
    </row>
    <row r="198" spans="1:8">
      <c r="A198" s="1" t="s">
        <v>445</v>
      </c>
      <c r="B198" s="1" t="s">
        <v>446</v>
      </c>
      <c r="C198" s="1" t="s">
        <v>249</v>
      </c>
      <c r="D198" s="1" t="s">
        <v>12</v>
      </c>
      <c r="E198" s="1">
        <v>20070</v>
      </c>
      <c r="F198" s="1" t="s">
        <v>13</v>
      </c>
      <c r="G198" s="1">
        <v>4098.21</v>
      </c>
      <c r="H198" s="1">
        <v>22.26</v>
      </c>
    </row>
    <row r="199" spans="1:8">
      <c r="A199" s="1" t="s">
        <v>447</v>
      </c>
      <c r="B199" s="1" t="s">
        <v>448</v>
      </c>
      <c r="C199" s="1" t="s">
        <v>249</v>
      </c>
      <c r="D199" s="1" t="s">
        <v>12</v>
      </c>
      <c r="E199" s="1">
        <v>7342</v>
      </c>
      <c r="F199" s="1" t="s">
        <v>13</v>
      </c>
      <c r="G199" s="1">
        <v>1730.16</v>
      </c>
      <c r="H199" s="1">
        <v>19.29</v>
      </c>
    </row>
    <row r="200" spans="1:8">
      <c r="A200" s="1" t="s">
        <v>449</v>
      </c>
      <c r="B200" s="1" t="s">
        <v>450</v>
      </c>
      <c r="C200" s="1" t="s">
        <v>357</v>
      </c>
      <c r="D200" s="1" t="s">
        <v>12</v>
      </c>
      <c r="E200" s="1">
        <v>15729</v>
      </c>
      <c r="F200" s="1" t="s">
        <v>13</v>
      </c>
      <c r="G200" s="1">
        <v>3461.86</v>
      </c>
      <c r="H200" s="1">
        <v>20.66</v>
      </c>
    </row>
    <row r="201" spans="1:8">
      <c r="A201" s="1" t="s">
        <v>451</v>
      </c>
      <c r="B201" s="1" t="s">
        <v>452</v>
      </c>
      <c r="C201" s="1" t="s">
        <v>357</v>
      </c>
      <c r="D201" s="1" t="s">
        <v>12</v>
      </c>
      <c r="E201" s="1">
        <v>10900</v>
      </c>
      <c r="F201" s="1" t="s">
        <v>13</v>
      </c>
      <c r="G201" s="1">
        <v>2522.88</v>
      </c>
      <c r="H201" s="1">
        <v>19.64</v>
      </c>
    </row>
    <row r="202" spans="1:8">
      <c r="A202" s="1" t="s">
        <v>453</v>
      </c>
      <c r="B202" s="1" t="s">
        <v>454</v>
      </c>
      <c r="C202" s="1" t="s">
        <v>357</v>
      </c>
      <c r="D202" s="1" t="s">
        <v>12</v>
      </c>
      <c r="E202" s="1">
        <v>8585</v>
      </c>
      <c r="F202" s="1" t="s">
        <v>13</v>
      </c>
      <c r="G202" s="1">
        <v>2123.65</v>
      </c>
      <c r="H202" s="1">
        <v>18.38</v>
      </c>
    </row>
    <row r="203" spans="1:8">
      <c r="A203" s="1" t="s">
        <v>455</v>
      </c>
      <c r="B203" s="1" t="s">
        <v>456</v>
      </c>
      <c r="C203" s="1" t="s">
        <v>357</v>
      </c>
      <c r="D203" s="1" t="s">
        <v>12</v>
      </c>
      <c r="E203" s="1">
        <v>12146</v>
      </c>
      <c r="F203" s="1" t="s">
        <v>13</v>
      </c>
      <c r="G203" s="1">
        <v>2637.57</v>
      </c>
      <c r="H203" s="1">
        <v>20.93</v>
      </c>
    </row>
    <row r="204" spans="1:8">
      <c r="A204" s="1" t="s">
        <v>457</v>
      </c>
      <c r="B204" s="1" t="s">
        <v>458</v>
      </c>
      <c r="C204" s="1" t="s">
        <v>357</v>
      </c>
      <c r="D204" s="1" t="s">
        <v>12</v>
      </c>
      <c r="E204" s="1">
        <v>20943</v>
      </c>
      <c r="F204" s="1" t="s">
        <v>13</v>
      </c>
      <c r="G204" s="1">
        <v>5020.8</v>
      </c>
      <c r="H204" s="1">
        <v>18.96</v>
      </c>
    </row>
    <row r="205" spans="1:8">
      <c r="A205" s="1" t="s">
        <v>459</v>
      </c>
      <c r="B205" s="1" t="s">
        <v>460</v>
      </c>
      <c r="C205" s="1" t="s">
        <v>357</v>
      </c>
      <c r="D205" s="1" t="s">
        <v>12</v>
      </c>
      <c r="E205" s="1">
        <v>14819</v>
      </c>
      <c r="F205" s="1" t="s">
        <v>13</v>
      </c>
      <c r="G205" s="1">
        <v>3525.66</v>
      </c>
      <c r="H205" s="1">
        <v>19.11</v>
      </c>
    </row>
    <row r="206" spans="1:8">
      <c r="A206" s="1" t="s">
        <v>461</v>
      </c>
      <c r="B206" s="1" t="s">
        <v>462</v>
      </c>
      <c r="C206" s="1" t="s">
        <v>352</v>
      </c>
      <c r="D206" s="1" t="s">
        <v>12</v>
      </c>
      <c r="E206" s="1">
        <v>13097</v>
      </c>
      <c r="F206" s="1" t="s">
        <v>13</v>
      </c>
      <c r="G206" s="1">
        <v>3173.48</v>
      </c>
      <c r="H206" s="1">
        <v>18.760000000000002</v>
      </c>
    </row>
    <row r="207" spans="1:8">
      <c r="A207" s="1" t="s">
        <v>463</v>
      </c>
      <c r="B207" s="1" t="s">
        <v>464</v>
      </c>
      <c r="C207" s="1" t="s">
        <v>418</v>
      </c>
      <c r="D207" s="1" t="s">
        <v>12</v>
      </c>
      <c r="E207" s="1">
        <v>23697</v>
      </c>
      <c r="F207" s="1" t="s">
        <v>13</v>
      </c>
      <c r="G207" s="1">
        <v>5928.09</v>
      </c>
      <c r="H207" s="1">
        <v>18.170000000000002</v>
      </c>
    </row>
    <row r="208" spans="1:8">
      <c r="A208" s="1" t="s">
        <v>465</v>
      </c>
      <c r="B208" s="1" t="s">
        <v>466</v>
      </c>
      <c r="C208" s="1" t="s">
        <v>418</v>
      </c>
      <c r="D208" s="1" t="s">
        <v>12</v>
      </c>
      <c r="E208" s="1">
        <v>23275</v>
      </c>
      <c r="F208" s="1" t="s">
        <v>13</v>
      </c>
      <c r="G208" s="1">
        <v>5360.29</v>
      </c>
      <c r="H208" s="1">
        <v>19.739999999999998</v>
      </c>
    </row>
    <row r="209" spans="1:8">
      <c r="A209" s="1" t="s">
        <v>467</v>
      </c>
      <c r="B209" s="1" t="s">
        <v>468</v>
      </c>
      <c r="C209" s="1" t="s">
        <v>469</v>
      </c>
      <c r="D209" s="1" t="s">
        <v>12</v>
      </c>
      <c r="E209" s="1">
        <v>14439</v>
      </c>
      <c r="F209" s="1" t="s">
        <v>13</v>
      </c>
      <c r="G209" s="1">
        <v>3675.98</v>
      </c>
      <c r="H209" s="1">
        <v>17.86</v>
      </c>
    </row>
    <row r="210" spans="1:8">
      <c r="A210" s="1" t="s">
        <v>470</v>
      </c>
      <c r="B210" s="1" t="s">
        <v>471</v>
      </c>
      <c r="C210" s="1" t="s">
        <v>418</v>
      </c>
      <c r="D210" s="1" t="s">
        <v>12</v>
      </c>
      <c r="E210" s="1">
        <v>20943</v>
      </c>
      <c r="F210" s="1" t="s">
        <v>13</v>
      </c>
      <c r="G210" s="1">
        <v>4297.63</v>
      </c>
      <c r="H210" s="1">
        <v>22.15</v>
      </c>
    </row>
    <row r="211" spans="1:8">
      <c r="A211" s="1" t="s">
        <v>472</v>
      </c>
      <c r="B211" s="1" t="s">
        <v>473</v>
      </c>
      <c r="C211" s="1" t="s">
        <v>418</v>
      </c>
      <c r="D211" s="1" t="s">
        <v>12</v>
      </c>
      <c r="E211" s="1">
        <v>12486</v>
      </c>
      <c r="F211" s="1" t="s">
        <v>13</v>
      </c>
      <c r="G211" s="1">
        <v>3379.12</v>
      </c>
      <c r="H211" s="1">
        <v>16.8</v>
      </c>
    </row>
    <row r="212" spans="1:8">
      <c r="A212" s="1" t="s">
        <v>474</v>
      </c>
      <c r="B212" s="1" t="s">
        <v>475</v>
      </c>
      <c r="C212" s="1" t="s">
        <v>418</v>
      </c>
      <c r="D212" s="1" t="s">
        <v>12</v>
      </c>
      <c r="E212" s="1">
        <v>9643</v>
      </c>
      <c r="F212" s="1" t="s">
        <v>13</v>
      </c>
      <c r="G212" s="1">
        <v>2153.12</v>
      </c>
      <c r="H212" s="1">
        <v>20.36</v>
      </c>
    </row>
    <row r="213" spans="1:8">
      <c r="A213" s="1" t="s">
        <v>476</v>
      </c>
      <c r="B213" s="1" t="s">
        <v>477</v>
      </c>
      <c r="C213" s="1" t="s">
        <v>418</v>
      </c>
      <c r="D213" s="1" t="s">
        <v>12</v>
      </c>
      <c r="E213" s="1">
        <v>12449</v>
      </c>
      <c r="F213" s="1" t="s">
        <v>13</v>
      </c>
      <c r="G213" s="1">
        <v>3017.8</v>
      </c>
      <c r="H213" s="1">
        <v>18.75</v>
      </c>
    </row>
    <row r="214" spans="1:8">
      <c r="A214" s="1" t="s">
        <v>478</v>
      </c>
      <c r="B214" s="1" t="s">
        <v>479</v>
      </c>
      <c r="C214" s="1" t="s">
        <v>418</v>
      </c>
      <c r="D214" s="1" t="s">
        <v>12</v>
      </c>
      <c r="E214" s="1">
        <v>9819</v>
      </c>
      <c r="F214" s="1" t="s">
        <v>13</v>
      </c>
      <c r="G214" s="1">
        <v>2373.3200000000002</v>
      </c>
      <c r="H214" s="1">
        <v>18.809999999999999</v>
      </c>
    </row>
    <row r="215" spans="1:8">
      <c r="A215" s="1" t="s">
        <v>480</v>
      </c>
      <c r="B215" s="1" t="s">
        <v>481</v>
      </c>
      <c r="C215" s="1" t="s">
        <v>221</v>
      </c>
      <c r="D215" s="1" t="s">
        <v>12</v>
      </c>
      <c r="E215" s="1">
        <v>12188</v>
      </c>
      <c r="F215" s="1" t="s">
        <v>13</v>
      </c>
      <c r="G215" s="1">
        <v>2985.8</v>
      </c>
      <c r="H215" s="1">
        <v>18.559999999999999</v>
      </c>
    </row>
    <row r="216" spans="1:8">
      <c r="A216" s="1" t="s">
        <v>482</v>
      </c>
      <c r="B216" s="1" t="s">
        <v>483</v>
      </c>
      <c r="C216" s="1" t="s">
        <v>221</v>
      </c>
      <c r="D216" s="1" t="s">
        <v>12</v>
      </c>
      <c r="E216" s="1">
        <v>8595</v>
      </c>
      <c r="F216" s="1" t="s">
        <v>13</v>
      </c>
      <c r="G216" s="1">
        <v>2245.2600000000002</v>
      </c>
      <c r="H216" s="1">
        <v>17.399999999999999</v>
      </c>
    </row>
    <row r="217" spans="1:8">
      <c r="A217" s="1" t="s">
        <v>484</v>
      </c>
      <c r="B217" s="1" t="s">
        <v>485</v>
      </c>
      <c r="C217" s="1" t="s">
        <v>221</v>
      </c>
      <c r="D217" s="1" t="s">
        <v>12</v>
      </c>
      <c r="E217" s="1">
        <v>12355</v>
      </c>
      <c r="F217" s="1" t="s">
        <v>13</v>
      </c>
      <c r="G217" s="1">
        <v>2995.56</v>
      </c>
      <c r="H217" s="1">
        <v>18.75</v>
      </c>
    </row>
    <row r="218" spans="1:8">
      <c r="A218" s="1" t="s">
        <v>486</v>
      </c>
      <c r="B218" s="1" t="s">
        <v>487</v>
      </c>
      <c r="C218" s="1" t="s">
        <v>221</v>
      </c>
      <c r="D218" s="1" t="s">
        <v>12</v>
      </c>
      <c r="E218" s="1">
        <v>8980</v>
      </c>
      <c r="F218" s="1" t="s">
        <v>13</v>
      </c>
      <c r="G218" s="1">
        <v>2060.54</v>
      </c>
      <c r="H218" s="1">
        <v>19.809999999999999</v>
      </c>
    </row>
    <row r="219" spans="1:8">
      <c r="A219" s="1" t="s">
        <v>488</v>
      </c>
      <c r="B219" s="1" t="s">
        <v>489</v>
      </c>
      <c r="C219" s="1" t="s">
        <v>316</v>
      </c>
      <c r="D219" s="1" t="s">
        <v>12</v>
      </c>
      <c r="E219" s="1">
        <v>8017</v>
      </c>
      <c r="F219" s="1" t="s">
        <v>13</v>
      </c>
      <c r="G219" s="1">
        <v>1861.36</v>
      </c>
      <c r="H219" s="1">
        <v>19.579999999999998</v>
      </c>
    </row>
    <row r="220" spans="1:8">
      <c r="A220" s="1" t="s">
        <v>490</v>
      </c>
      <c r="B220" s="1" t="s">
        <v>491</v>
      </c>
      <c r="C220" s="1" t="s">
        <v>221</v>
      </c>
      <c r="D220" s="1" t="s">
        <v>12</v>
      </c>
      <c r="E220" s="1">
        <v>11797</v>
      </c>
      <c r="F220" s="1" t="s">
        <v>13</v>
      </c>
      <c r="G220" s="1">
        <v>2664.92</v>
      </c>
      <c r="H220" s="1">
        <v>20.12</v>
      </c>
    </row>
    <row r="221" spans="1:8">
      <c r="A221" s="1" t="s">
        <v>492</v>
      </c>
      <c r="B221" s="1" t="s">
        <v>493</v>
      </c>
      <c r="C221" s="1" t="s">
        <v>221</v>
      </c>
      <c r="D221" s="1" t="s">
        <v>12</v>
      </c>
      <c r="E221" s="1">
        <v>12037</v>
      </c>
      <c r="F221" s="1" t="s">
        <v>13</v>
      </c>
      <c r="G221" s="1">
        <v>2817.68</v>
      </c>
      <c r="H221" s="1">
        <v>19.420000000000002</v>
      </c>
    </row>
    <row r="222" spans="1:8">
      <c r="A222" s="1" t="s">
        <v>494</v>
      </c>
      <c r="B222" s="1" t="s">
        <v>495</v>
      </c>
      <c r="C222" s="1" t="s">
        <v>316</v>
      </c>
      <c r="D222" s="1" t="s">
        <v>12</v>
      </c>
      <c r="E222" s="1">
        <v>5991</v>
      </c>
      <c r="F222" s="1" t="s">
        <v>13</v>
      </c>
      <c r="G222" s="1">
        <v>1282.1600000000001</v>
      </c>
      <c r="H222" s="1">
        <v>21.24</v>
      </c>
    </row>
    <row r="223" spans="1:8">
      <c r="A223" s="1" t="s">
        <v>496</v>
      </c>
      <c r="B223" s="1" t="s">
        <v>497</v>
      </c>
      <c r="C223" s="1" t="s">
        <v>221</v>
      </c>
      <c r="D223" s="1" t="s">
        <v>12</v>
      </c>
      <c r="E223" s="1">
        <v>18407</v>
      </c>
      <c r="F223" s="1" t="s">
        <v>13</v>
      </c>
      <c r="G223" s="1">
        <v>4000.39</v>
      </c>
      <c r="H223" s="1">
        <v>20.92</v>
      </c>
    </row>
    <row r="224" spans="1:8">
      <c r="A224" s="1" t="s">
        <v>498</v>
      </c>
      <c r="B224" s="1" t="s">
        <v>499</v>
      </c>
      <c r="C224" s="1" t="s">
        <v>221</v>
      </c>
      <c r="D224" s="1" t="s">
        <v>12</v>
      </c>
      <c r="E224" s="1">
        <v>16234</v>
      </c>
      <c r="F224" s="1" t="s">
        <v>13</v>
      </c>
      <c r="G224" s="1">
        <v>3461.89</v>
      </c>
      <c r="H224" s="1">
        <v>21.32</v>
      </c>
    </row>
    <row r="225" spans="1:8">
      <c r="A225" s="1" t="s">
        <v>500</v>
      </c>
      <c r="B225" s="1" t="s">
        <v>501</v>
      </c>
      <c r="C225" s="1" t="s">
        <v>228</v>
      </c>
      <c r="D225" s="1" t="s">
        <v>12</v>
      </c>
      <c r="E225" s="1">
        <v>9745</v>
      </c>
      <c r="F225" s="1" t="s">
        <v>13</v>
      </c>
      <c r="G225" s="1">
        <v>2254.0700000000002</v>
      </c>
      <c r="H225" s="1">
        <v>19.649999999999999</v>
      </c>
    </row>
    <row r="226" spans="1:8">
      <c r="A226" s="1" t="s">
        <v>502</v>
      </c>
      <c r="B226" s="1" t="s">
        <v>503</v>
      </c>
      <c r="C226" s="1" t="s">
        <v>228</v>
      </c>
      <c r="D226" s="1" t="s">
        <v>12</v>
      </c>
      <c r="E226" s="1">
        <v>17590</v>
      </c>
      <c r="F226" s="1" t="s">
        <v>13</v>
      </c>
      <c r="G226" s="1">
        <v>3833.15</v>
      </c>
      <c r="H226" s="1">
        <v>20.86</v>
      </c>
    </row>
    <row r="227" spans="1:8">
      <c r="A227" s="1" t="s">
        <v>504</v>
      </c>
      <c r="B227" s="1" t="s">
        <v>505</v>
      </c>
      <c r="C227" s="1" t="s">
        <v>316</v>
      </c>
      <c r="D227" s="1" t="s">
        <v>12</v>
      </c>
      <c r="E227" s="1">
        <v>8282</v>
      </c>
      <c r="F227" s="1" t="s">
        <v>13</v>
      </c>
      <c r="G227" s="1">
        <v>2097.2800000000002</v>
      </c>
      <c r="H227" s="1">
        <v>17.95</v>
      </c>
    </row>
    <row r="228" spans="1:8">
      <c r="A228" s="1" t="s">
        <v>506</v>
      </c>
      <c r="B228" s="1" t="s">
        <v>507</v>
      </c>
      <c r="C228" s="1" t="s">
        <v>228</v>
      </c>
      <c r="D228" s="1" t="s">
        <v>12</v>
      </c>
      <c r="E228" s="1">
        <v>8423</v>
      </c>
      <c r="F228" s="1" t="s">
        <v>13</v>
      </c>
      <c r="G228" s="1">
        <v>1985.09</v>
      </c>
      <c r="H228" s="1">
        <v>19.29</v>
      </c>
    </row>
    <row r="229" spans="1:8">
      <c r="A229" s="1" t="s">
        <v>508</v>
      </c>
      <c r="B229" s="1" t="s">
        <v>509</v>
      </c>
      <c r="C229" s="1" t="s">
        <v>228</v>
      </c>
      <c r="D229" s="1" t="s">
        <v>12</v>
      </c>
      <c r="E229" s="1">
        <v>11322</v>
      </c>
      <c r="F229" s="1" t="s">
        <v>13</v>
      </c>
      <c r="G229" s="1">
        <v>2566.09</v>
      </c>
      <c r="H229" s="1">
        <v>20.059999999999999</v>
      </c>
    </row>
    <row r="230" spans="1:8">
      <c r="A230" s="1" t="s">
        <v>510</v>
      </c>
      <c r="B230" s="1" t="s">
        <v>511</v>
      </c>
      <c r="C230" s="1" t="s">
        <v>316</v>
      </c>
      <c r="D230" s="1" t="s">
        <v>12</v>
      </c>
      <c r="E230" s="1">
        <v>9848</v>
      </c>
      <c r="F230" s="1" t="s">
        <v>13</v>
      </c>
      <c r="G230" s="1">
        <v>2339.2199999999998</v>
      </c>
      <c r="H230" s="1">
        <v>19.14</v>
      </c>
    </row>
    <row r="231" spans="1:8">
      <c r="A231" s="1" t="s">
        <v>512</v>
      </c>
      <c r="B231" s="1" t="s">
        <v>513</v>
      </c>
      <c r="C231" s="1" t="s">
        <v>221</v>
      </c>
      <c r="D231" s="1" t="s">
        <v>12</v>
      </c>
      <c r="E231" s="1">
        <v>17630</v>
      </c>
      <c r="F231" s="1" t="s">
        <v>13</v>
      </c>
      <c r="G231" s="1">
        <v>3903.04</v>
      </c>
      <c r="H231" s="1">
        <v>20.53</v>
      </c>
    </row>
    <row r="232" spans="1:8">
      <c r="A232" s="1" t="s">
        <v>514</v>
      </c>
      <c r="B232" s="1" t="s">
        <v>515</v>
      </c>
      <c r="C232" s="1" t="s">
        <v>221</v>
      </c>
      <c r="D232" s="1" t="s">
        <v>12</v>
      </c>
      <c r="E232" s="1">
        <v>11509</v>
      </c>
      <c r="F232" s="1" t="s">
        <v>13</v>
      </c>
      <c r="G232" s="1">
        <v>2784.97</v>
      </c>
      <c r="H232" s="1">
        <v>18.79</v>
      </c>
    </row>
    <row r="233" spans="1:8">
      <c r="A233" s="1" t="s">
        <v>516</v>
      </c>
      <c r="B233" s="1" t="s">
        <v>517</v>
      </c>
      <c r="C233" s="1" t="s">
        <v>518</v>
      </c>
      <c r="D233" s="1" t="s">
        <v>12</v>
      </c>
      <c r="E233" s="1">
        <v>5404</v>
      </c>
      <c r="F233" s="1" t="s">
        <v>13</v>
      </c>
      <c r="G233" s="1">
        <v>1517.54</v>
      </c>
      <c r="H233" s="1">
        <v>16.190000000000001</v>
      </c>
    </row>
    <row r="234" spans="1:8">
      <c r="A234" s="1" t="s">
        <v>519</v>
      </c>
      <c r="B234" s="1" t="s">
        <v>520</v>
      </c>
      <c r="C234" s="1" t="s">
        <v>221</v>
      </c>
      <c r="D234" s="1" t="s">
        <v>12</v>
      </c>
      <c r="E234" s="1">
        <v>11038</v>
      </c>
      <c r="F234" s="1" t="s">
        <v>13</v>
      </c>
      <c r="G234" s="1">
        <v>2184.5100000000002</v>
      </c>
      <c r="H234" s="1">
        <v>22.97</v>
      </c>
    </row>
    <row r="235" spans="1:8">
      <c r="A235" s="1" t="s">
        <v>521</v>
      </c>
      <c r="B235" s="1" t="s">
        <v>522</v>
      </c>
      <c r="C235" s="1" t="s">
        <v>316</v>
      </c>
      <c r="D235" s="1" t="s">
        <v>12</v>
      </c>
      <c r="E235" s="1">
        <v>4584</v>
      </c>
      <c r="F235" s="1" t="s">
        <v>13</v>
      </c>
      <c r="G235" s="1">
        <v>1066.56</v>
      </c>
      <c r="H235" s="1">
        <v>19.54</v>
      </c>
    </row>
    <row r="236" spans="1:8">
      <c r="A236" s="1" t="s">
        <v>523</v>
      </c>
      <c r="B236" s="1" t="s">
        <v>524</v>
      </c>
      <c r="C236" s="1" t="s">
        <v>221</v>
      </c>
      <c r="D236" s="1" t="s">
        <v>12</v>
      </c>
      <c r="E236" s="1">
        <v>4794</v>
      </c>
      <c r="F236" s="1" t="s">
        <v>13</v>
      </c>
      <c r="G236" s="1">
        <v>969.16</v>
      </c>
      <c r="H236" s="1">
        <v>22.49</v>
      </c>
    </row>
    <row r="237" spans="1:8">
      <c r="A237" s="1" t="s">
        <v>525</v>
      </c>
      <c r="B237" s="1" t="s">
        <v>526</v>
      </c>
      <c r="C237" s="1" t="s">
        <v>316</v>
      </c>
      <c r="D237" s="1" t="s">
        <v>12</v>
      </c>
      <c r="E237" s="1">
        <v>1113</v>
      </c>
      <c r="F237" s="1" t="s">
        <v>13</v>
      </c>
      <c r="G237" s="1">
        <v>1129.3800000000001</v>
      </c>
      <c r="H237" s="1">
        <v>4.4800000000000004</v>
      </c>
    </row>
    <row r="238" spans="1:8">
      <c r="A238" s="1" t="s">
        <v>527</v>
      </c>
      <c r="B238" s="1" t="s">
        <v>528</v>
      </c>
      <c r="C238" s="1" t="s">
        <v>221</v>
      </c>
      <c r="D238" s="1" t="s">
        <v>12</v>
      </c>
      <c r="E238" s="1">
        <v>14187</v>
      </c>
      <c r="F238" s="1" t="s">
        <v>13</v>
      </c>
      <c r="G238" s="1">
        <v>3080.24</v>
      </c>
      <c r="H238" s="1">
        <v>20.94</v>
      </c>
    </row>
    <row r="239" spans="1:8">
      <c r="A239" s="1" t="s">
        <v>529</v>
      </c>
      <c r="B239" s="1" t="s">
        <v>530</v>
      </c>
      <c r="C239" s="1" t="s">
        <v>221</v>
      </c>
      <c r="D239" s="1" t="s">
        <v>12</v>
      </c>
      <c r="E239" s="1">
        <v>6692</v>
      </c>
      <c r="F239" s="1" t="s">
        <v>13</v>
      </c>
      <c r="G239" s="1">
        <v>1329.14</v>
      </c>
      <c r="H239" s="1">
        <v>22.89</v>
      </c>
    </row>
    <row r="240" spans="1:8">
      <c r="A240" s="1" t="s">
        <v>531</v>
      </c>
      <c r="B240" s="1" t="s">
        <v>532</v>
      </c>
      <c r="C240" s="1" t="s">
        <v>316</v>
      </c>
      <c r="D240" s="1" t="s">
        <v>12</v>
      </c>
      <c r="E240" s="1">
        <v>19112</v>
      </c>
      <c r="F240" s="1" t="s">
        <v>13</v>
      </c>
      <c r="G240" s="1">
        <v>1993.05</v>
      </c>
      <c r="H240" s="1">
        <v>43.59</v>
      </c>
    </row>
    <row r="241" spans="1:8">
      <c r="A241" s="1" t="s">
        <v>533</v>
      </c>
      <c r="B241" s="1" t="s">
        <v>534</v>
      </c>
      <c r="C241" s="1" t="s">
        <v>221</v>
      </c>
      <c r="D241" s="1" t="s">
        <v>12</v>
      </c>
      <c r="E241" s="1">
        <v>3246</v>
      </c>
      <c r="F241" s="1" t="s">
        <v>13</v>
      </c>
      <c r="G241" s="1">
        <v>647.77</v>
      </c>
      <c r="H241" s="1">
        <v>22.78</v>
      </c>
    </row>
    <row r="242" spans="1:8">
      <c r="A242" s="1" t="s">
        <v>535</v>
      </c>
      <c r="B242" s="1" t="s">
        <v>536</v>
      </c>
      <c r="C242" s="1" t="s">
        <v>221</v>
      </c>
      <c r="D242" s="1" t="s">
        <v>12</v>
      </c>
      <c r="E242" s="1">
        <v>164</v>
      </c>
      <c r="F242" s="1" t="s">
        <v>13</v>
      </c>
      <c r="G242" s="1">
        <v>36.950000000000003</v>
      </c>
      <c r="H242" s="1">
        <v>20.18</v>
      </c>
    </row>
    <row r="243" spans="1:8">
      <c r="A243" s="1" t="s">
        <v>537</v>
      </c>
      <c r="B243" s="1" t="s">
        <v>538</v>
      </c>
      <c r="C243" s="1" t="s">
        <v>221</v>
      </c>
      <c r="D243" s="1" t="s">
        <v>12</v>
      </c>
      <c r="E243" s="1">
        <v>15183</v>
      </c>
      <c r="F243" s="1" t="s">
        <v>13</v>
      </c>
      <c r="G243" s="1">
        <v>2993.78</v>
      </c>
      <c r="H243" s="1">
        <v>23.06</v>
      </c>
    </row>
    <row r="244" spans="1:8">
      <c r="A244" s="1" t="s">
        <v>539</v>
      </c>
      <c r="B244" s="1" t="s">
        <v>540</v>
      </c>
      <c r="C244" s="1" t="s">
        <v>316</v>
      </c>
      <c r="D244" s="1" t="s">
        <v>12</v>
      </c>
      <c r="E244" s="1">
        <v>13252</v>
      </c>
      <c r="F244" s="1" t="s">
        <v>13</v>
      </c>
      <c r="G244" s="1">
        <v>3072.18</v>
      </c>
      <c r="H244" s="1">
        <v>19.61</v>
      </c>
    </row>
    <row r="245" spans="1:8">
      <c r="A245" s="1" t="s">
        <v>541</v>
      </c>
      <c r="B245" s="1" t="s">
        <v>538</v>
      </c>
      <c r="C245" s="1" t="s">
        <v>221</v>
      </c>
      <c r="D245" s="1" t="s">
        <v>12</v>
      </c>
      <c r="E245" s="1">
        <v>10103</v>
      </c>
      <c r="F245" s="1" t="s">
        <v>13</v>
      </c>
      <c r="G245" s="1">
        <v>2715.28</v>
      </c>
      <c r="H245" s="1">
        <v>16.920000000000002</v>
      </c>
    </row>
    <row r="246" spans="1:8">
      <c r="A246" s="1" t="s">
        <v>542</v>
      </c>
      <c r="B246" s="1" t="s">
        <v>543</v>
      </c>
      <c r="C246" s="1" t="s">
        <v>316</v>
      </c>
      <c r="D246" s="1" t="s">
        <v>12</v>
      </c>
      <c r="E246" s="1">
        <v>9747</v>
      </c>
      <c r="F246" s="1" t="s">
        <v>13</v>
      </c>
      <c r="G246" s="1">
        <v>2273</v>
      </c>
      <c r="H246" s="1">
        <v>19.489999999999998</v>
      </c>
    </row>
    <row r="247" spans="1:8">
      <c r="A247" s="1" t="s">
        <v>544</v>
      </c>
      <c r="B247" s="1" t="s">
        <v>545</v>
      </c>
      <c r="C247" s="1" t="s">
        <v>221</v>
      </c>
      <c r="D247" s="1" t="s">
        <v>12</v>
      </c>
      <c r="E247" s="1">
        <v>4151</v>
      </c>
      <c r="F247" s="1" t="s">
        <v>13</v>
      </c>
      <c r="G247" s="1">
        <v>1047.9000000000001</v>
      </c>
      <c r="H247" s="1">
        <v>18.010000000000002</v>
      </c>
    </row>
    <row r="248" spans="1:8">
      <c r="A248" s="1" t="s">
        <v>546</v>
      </c>
      <c r="B248" s="1" t="s">
        <v>547</v>
      </c>
      <c r="C248" s="1" t="s">
        <v>221</v>
      </c>
      <c r="D248" s="1" t="s">
        <v>12</v>
      </c>
      <c r="E248" s="1">
        <v>9186</v>
      </c>
      <c r="F248" s="1" t="s">
        <v>13</v>
      </c>
      <c r="G248" s="1">
        <v>1996.3</v>
      </c>
      <c r="H248" s="1">
        <v>20.92</v>
      </c>
    </row>
    <row r="249" spans="1:8">
      <c r="A249" s="1" t="s">
        <v>548</v>
      </c>
      <c r="B249" s="1" t="s">
        <v>549</v>
      </c>
      <c r="C249" s="1" t="s">
        <v>316</v>
      </c>
      <c r="D249" s="1" t="s">
        <v>12</v>
      </c>
      <c r="E249" s="1">
        <v>8372</v>
      </c>
      <c r="F249" s="1" t="s">
        <v>13</v>
      </c>
      <c r="G249" s="1">
        <v>1817.73</v>
      </c>
      <c r="H249" s="1">
        <v>20.94</v>
      </c>
    </row>
    <row r="250" spans="1:8">
      <c r="A250" s="1" t="s">
        <v>550</v>
      </c>
      <c r="B250" s="1" t="s">
        <v>551</v>
      </c>
      <c r="C250" s="1" t="s">
        <v>249</v>
      </c>
      <c r="D250" s="1" t="s">
        <v>12</v>
      </c>
      <c r="E250" s="1">
        <v>15522</v>
      </c>
      <c r="F250" s="1" t="s">
        <v>13</v>
      </c>
      <c r="G250" s="1">
        <v>3149.99</v>
      </c>
      <c r="H250" s="1">
        <v>22.4</v>
      </c>
    </row>
    <row r="251" spans="1:8">
      <c r="A251" s="1" t="s">
        <v>552</v>
      </c>
      <c r="B251" s="1" t="s">
        <v>553</v>
      </c>
      <c r="C251" s="1" t="s">
        <v>316</v>
      </c>
      <c r="D251" s="1" t="s">
        <v>12</v>
      </c>
      <c r="E251" s="1">
        <v>9071</v>
      </c>
      <c r="F251" s="1" t="s">
        <v>13</v>
      </c>
      <c r="G251" s="1">
        <v>2097.54</v>
      </c>
      <c r="H251" s="1">
        <v>19.66</v>
      </c>
    </row>
    <row r="252" spans="1:8">
      <c r="A252" s="1" t="s">
        <v>554</v>
      </c>
      <c r="B252" s="1" t="s">
        <v>555</v>
      </c>
      <c r="C252" s="1" t="s">
        <v>316</v>
      </c>
      <c r="D252" s="1" t="s">
        <v>12</v>
      </c>
      <c r="E252" s="1">
        <v>17677</v>
      </c>
      <c r="F252" s="1" t="s">
        <v>13</v>
      </c>
      <c r="G252" s="1">
        <v>3637.09</v>
      </c>
      <c r="H252" s="1">
        <v>22.09</v>
      </c>
    </row>
    <row r="253" spans="1:8">
      <c r="A253" s="1" t="s">
        <v>556</v>
      </c>
      <c r="B253" s="1" t="s">
        <v>557</v>
      </c>
      <c r="C253" s="1" t="s">
        <v>316</v>
      </c>
      <c r="D253" s="1" t="s">
        <v>12</v>
      </c>
      <c r="E253" s="1">
        <v>13582</v>
      </c>
      <c r="F253" s="1" t="s">
        <v>13</v>
      </c>
      <c r="G253" s="1">
        <v>3157.31</v>
      </c>
      <c r="H253" s="1">
        <v>19.559999999999999</v>
      </c>
    </row>
    <row r="254" spans="1:8">
      <c r="A254" s="1" t="s">
        <v>558</v>
      </c>
      <c r="B254" s="1" t="s">
        <v>559</v>
      </c>
      <c r="C254" s="1" t="s">
        <v>221</v>
      </c>
      <c r="D254" s="1" t="s">
        <v>12</v>
      </c>
      <c r="E254" s="1">
        <v>10551</v>
      </c>
      <c r="F254" s="1" t="s">
        <v>13</v>
      </c>
      <c r="G254" s="1">
        <v>2657.37</v>
      </c>
      <c r="H254" s="1">
        <v>18.05</v>
      </c>
    </row>
    <row r="255" spans="1:8">
      <c r="A255" s="1" t="s">
        <v>560</v>
      </c>
      <c r="B255" s="1" t="s">
        <v>561</v>
      </c>
      <c r="C255" s="1" t="s">
        <v>221</v>
      </c>
      <c r="D255" s="1" t="s">
        <v>12</v>
      </c>
      <c r="E255" s="1">
        <v>4919</v>
      </c>
      <c r="F255" s="1" t="s">
        <v>13</v>
      </c>
      <c r="G255" s="1">
        <v>1330.03</v>
      </c>
      <c r="H255" s="1">
        <v>16.809999999999999</v>
      </c>
    </row>
    <row r="256" spans="1:8">
      <c r="A256" s="1" t="s">
        <v>562</v>
      </c>
      <c r="B256" s="1" t="s">
        <v>563</v>
      </c>
      <c r="C256" s="1" t="s">
        <v>564</v>
      </c>
      <c r="D256" s="1" t="s">
        <v>12</v>
      </c>
      <c r="E256" s="1">
        <v>5944</v>
      </c>
      <c r="F256" s="1" t="s">
        <v>13</v>
      </c>
      <c r="G256" s="1">
        <v>1033.31</v>
      </c>
      <c r="H256" s="1">
        <v>26.15</v>
      </c>
    </row>
    <row r="257" spans="1:8">
      <c r="A257" s="1" t="s">
        <v>565</v>
      </c>
      <c r="B257" s="1" t="s">
        <v>566</v>
      </c>
      <c r="C257" s="1" t="s">
        <v>567</v>
      </c>
      <c r="D257" s="1" t="s">
        <v>12</v>
      </c>
      <c r="E257" s="1">
        <v>4315</v>
      </c>
      <c r="F257" s="1" t="s">
        <v>13</v>
      </c>
      <c r="G257" s="1">
        <v>797.3</v>
      </c>
      <c r="H257" s="1">
        <v>24.6</v>
      </c>
    </row>
    <row r="258" spans="1:8">
      <c r="A258" s="1" t="s">
        <v>568</v>
      </c>
      <c r="B258" s="1" t="s">
        <v>569</v>
      </c>
      <c r="C258" s="1" t="s">
        <v>570</v>
      </c>
      <c r="D258" s="1" t="s">
        <v>12</v>
      </c>
      <c r="E258" s="1">
        <v>9155</v>
      </c>
      <c r="F258" s="1" t="s">
        <v>13</v>
      </c>
      <c r="G258" s="1">
        <v>1536.68</v>
      </c>
      <c r="H258" s="1">
        <v>27.08</v>
      </c>
    </row>
    <row r="259" spans="1:8">
      <c r="A259" s="1" t="s">
        <v>571</v>
      </c>
      <c r="B259" s="1" t="s">
        <v>572</v>
      </c>
      <c r="C259" s="1" t="s">
        <v>573</v>
      </c>
      <c r="D259" s="1" t="s">
        <v>12</v>
      </c>
      <c r="E259" s="1">
        <v>2287</v>
      </c>
      <c r="F259" s="1" t="s">
        <v>13</v>
      </c>
      <c r="G259" s="1">
        <v>429.09</v>
      </c>
      <c r="H259" s="1">
        <v>24.23</v>
      </c>
    </row>
    <row r="260" spans="1:8">
      <c r="A260" s="1" t="s">
        <v>574</v>
      </c>
      <c r="B260" s="1" t="s">
        <v>575</v>
      </c>
      <c r="C260" s="1" t="s">
        <v>576</v>
      </c>
      <c r="D260" s="1" t="s">
        <v>12</v>
      </c>
      <c r="E260" s="1">
        <v>8343</v>
      </c>
      <c r="F260" s="1" t="s">
        <v>13</v>
      </c>
      <c r="G260" s="1">
        <v>1455.32</v>
      </c>
      <c r="H260" s="1">
        <v>26.06</v>
      </c>
    </row>
    <row r="261" spans="1:8">
      <c r="A261" s="1" t="s">
        <v>577</v>
      </c>
      <c r="B261" s="1" t="s">
        <v>578</v>
      </c>
      <c r="C261" s="1" t="s">
        <v>579</v>
      </c>
      <c r="D261" s="1" t="s">
        <v>12</v>
      </c>
      <c r="E261" s="1">
        <v>2663</v>
      </c>
      <c r="F261" s="1" t="s">
        <v>13</v>
      </c>
      <c r="G261" s="1">
        <v>503.83</v>
      </c>
      <c r="H261" s="1">
        <v>24.03</v>
      </c>
    </row>
    <row r="262" spans="1:8">
      <c r="A262" s="1" t="s">
        <v>580</v>
      </c>
      <c r="B262" s="1" t="s">
        <v>581</v>
      </c>
      <c r="C262" s="1" t="s">
        <v>564</v>
      </c>
      <c r="D262" s="1" t="s">
        <v>12</v>
      </c>
      <c r="E262" s="1">
        <v>2272</v>
      </c>
      <c r="F262" s="1" t="s">
        <v>13</v>
      </c>
      <c r="G262" s="1">
        <v>389.9</v>
      </c>
      <c r="H262" s="1">
        <v>26.49</v>
      </c>
    </row>
    <row r="263" spans="1:8">
      <c r="A263" s="1" t="s">
        <v>582</v>
      </c>
      <c r="B263" s="1" t="s">
        <v>583</v>
      </c>
      <c r="C263" s="1" t="s">
        <v>584</v>
      </c>
      <c r="D263" s="1" t="s">
        <v>12</v>
      </c>
      <c r="E263" s="1">
        <v>684</v>
      </c>
      <c r="F263" s="1" t="s">
        <v>13</v>
      </c>
      <c r="G263" s="1">
        <v>218.81</v>
      </c>
      <c r="H263" s="1">
        <v>14.21</v>
      </c>
    </row>
    <row r="264" spans="1:8">
      <c r="A264" s="1" t="s">
        <v>585</v>
      </c>
      <c r="B264" s="1" t="s">
        <v>586</v>
      </c>
      <c r="C264" s="1" t="s">
        <v>587</v>
      </c>
      <c r="D264" s="1" t="s">
        <v>12</v>
      </c>
      <c r="E264" s="1">
        <v>9399</v>
      </c>
      <c r="F264" s="1" t="s">
        <v>13</v>
      </c>
      <c r="G264" s="1">
        <v>1409.94</v>
      </c>
      <c r="H264" s="1">
        <v>30.31</v>
      </c>
    </row>
    <row r="265" spans="1:8">
      <c r="A265" s="1" t="s">
        <v>588</v>
      </c>
      <c r="B265" s="1" t="s">
        <v>589</v>
      </c>
      <c r="C265" s="1" t="s">
        <v>587</v>
      </c>
      <c r="D265" s="1" t="s">
        <v>12</v>
      </c>
      <c r="E265" s="1">
        <v>1417</v>
      </c>
      <c r="F265" s="1" t="s">
        <v>13</v>
      </c>
      <c r="G265" s="1">
        <v>284</v>
      </c>
      <c r="H265" s="1">
        <v>22.68</v>
      </c>
    </row>
    <row r="266" spans="1:8">
      <c r="A266" s="1" t="s">
        <v>590</v>
      </c>
      <c r="B266" s="1" t="s">
        <v>591</v>
      </c>
      <c r="C266" s="1" t="s">
        <v>587</v>
      </c>
      <c r="D266" s="1" t="s">
        <v>12</v>
      </c>
      <c r="E266" s="1">
        <v>2222</v>
      </c>
      <c r="F266" s="1" t="s">
        <v>13</v>
      </c>
      <c r="G266" s="1">
        <v>434.24</v>
      </c>
      <c r="H266" s="1">
        <v>23.26</v>
      </c>
    </row>
    <row r="267" spans="1:8">
      <c r="A267" s="1" t="s">
        <v>592</v>
      </c>
      <c r="B267" s="1" t="s">
        <v>593</v>
      </c>
      <c r="C267" s="1" t="s">
        <v>594</v>
      </c>
      <c r="D267" s="1" t="s">
        <v>12</v>
      </c>
      <c r="E267" s="1">
        <v>4840</v>
      </c>
      <c r="F267" s="1" t="s">
        <v>13</v>
      </c>
      <c r="G267" s="1">
        <v>804.25</v>
      </c>
      <c r="H267" s="1">
        <v>27.36</v>
      </c>
    </row>
    <row r="268" spans="1:8">
      <c r="A268" s="1" t="s">
        <v>595</v>
      </c>
      <c r="B268" s="1" t="s">
        <v>596</v>
      </c>
      <c r="C268" s="1" t="s">
        <v>594</v>
      </c>
      <c r="D268" s="1" t="s">
        <v>12</v>
      </c>
      <c r="E268" s="1">
        <v>3587</v>
      </c>
      <c r="F268" s="1" t="s">
        <v>13</v>
      </c>
      <c r="G268" s="1">
        <v>555.96</v>
      </c>
      <c r="H268" s="1">
        <v>29.33</v>
      </c>
    </row>
    <row r="269" spans="1:8">
      <c r="A269" s="1" t="s">
        <v>597</v>
      </c>
      <c r="B269" s="1" t="s">
        <v>598</v>
      </c>
      <c r="C269" s="1" t="s">
        <v>599</v>
      </c>
      <c r="D269" s="1" t="s">
        <v>12</v>
      </c>
      <c r="E269" s="1">
        <v>1908</v>
      </c>
      <c r="F269" s="1" t="s">
        <v>13</v>
      </c>
      <c r="G269" s="1">
        <v>234.71</v>
      </c>
      <c r="H269" s="1">
        <v>36.96</v>
      </c>
    </row>
    <row r="270" spans="1:8">
      <c r="A270" s="1" t="s">
        <v>600</v>
      </c>
      <c r="B270" s="1" t="s">
        <v>601</v>
      </c>
      <c r="C270" s="1" t="s">
        <v>599</v>
      </c>
      <c r="D270" s="1" t="s">
        <v>12</v>
      </c>
      <c r="E270" s="1">
        <v>2110</v>
      </c>
      <c r="F270" s="1" t="s">
        <v>13</v>
      </c>
      <c r="G270" s="1">
        <v>233.83</v>
      </c>
      <c r="H270" s="1">
        <v>41.02</v>
      </c>
    </row>
    <row r="271" spans="1:8">
      <c r="A271" s="1" t="s">
        <v>602</v>
      </c>
      <c r="B271" s="1" t="s">
        <v>603</v>
      </c>
      <c r="C271" s="1" t="s">
        <v>599</v>
      </c>
      <c r="D271" s="1" t="s">
        <v>12</v>
      </c>
      <c r="E271" s="1">
        <v>4805</v>
      </c>
      <c r="F271" s="1" t="s">
        <v>13</v>
      </c>
      <c r="G271" s="1">
        <v>460.13</v>
      </c>
      <c r="H271" s="1">
        <v>47.47</v>
      </c>
    </row>
    <row r="272" spans="1:8">
      <c r="A272" s="1" t="s">
        <v>604</v>
      </c>
      <c r="B272" s="1" t="s">
        <v>605</v>
      </c>
      <c r="C272" s="1" t="s">
        <v>599</v>
      </c>
      <c r="D272" s="1" t="s">
        <v>12</v>
      </c>
      <c r="E272" s="1">
        <v>4008</v>
      </c>
      <c r="F272" s="1" t="s">
        <v>13</v>
      </c>
      <c r="G272" s="1">
        <v>396.77</v>
      </c>
      <c r="H272" s="1">
        <v>45.92</v>
      </c>
    </row>
    <row r="273" spans="1:8">
      <c r="A273" s="1" t="s">
        <v>606</v>
      </c>
      <c r="B273" s="1" t="s">
        <v>607</v>
      </c>
      <c r="C273" s="1" t="s">
        <v>599</v>
      </c>
      <c r="D273" s="1" t="s">
        <v>12</v>
      </c>
      <c r="E273" s="1">
        <v>4013</v>
      </c>
      <c r="F273" s="1" t="s">
        <v>13</v>
      </c>
      <c r="G273" s="1">
        <v>348.89</v>
      </c>
      <c r="H273" s="1">
        <v>52.29</v>
      </c>
    </row>
    <row r="274" spans="1:8">
      <c r="A274" s="1" t="s">
        <v>608</v>
      </c>
      <c r="B274" s="1" t="s">
        <v>609</v>
      </c>
      <c r="C274" s="1" t="s">
        <v>599</v>
      </c>
      <c r="D274" s="1" t="s">
        <v>12</v>
      </c>
      <c r="E274" s="1">
        <v>10919</v>
      </c>
      <c r="F274" s="1" t="s">
        <v>13</v>
      </c>
      <c r="G274" s="1">
        <v>1007.06</v>
      </c>
      <c r="H274" s="1">
        <v>49.29</v>
      </c>
    </row>
    <row r="275" spans="1:8">
      <c r="A275" s="1" t="s">
        <v>610</v>
      </c>
      <c r="B275" s="1" t="s">
        <v>611</v>
      </c>
      <c r="C275" s="1" t="s">
        <v>599</v>
      </c>
      <c r="D275" s="1" t="s">
        <v>12</v>
      </c>
      <c r="E275" s="1">
        <v>4570</v>
      </c>
      <c r="F275" s="1" t="s">
        <v>13</v>
      </c>
      <c r="G275" s="1">
        <v>404.49</v>
      </c>
      <c r="H275" s="1">
        <v>51.36</v>
      </c>
    </row>
    <row r="276" spans="1:8">
      <c r="A276" s="1" t="s">
        <v>612</v>
      </c>
      <c r="B276" s="1" t="s">
        <v>613</v>
      </c>
      <c r="C276" s="1" t="s">
        <v>599</v>
      </c>
      <c r="D276" s="1" t="s">
        <v>12</v>
      </c>
      <c r="E276" s="1">
        <v>1637</v>
      </c>
      <c r="F276" s="1" t="s">
        <v>13</v>
      </c>
      <c r="G276" s="1">
        <v>138.11000000000001</v>
      </c>
      <c r="H276" s="1">
        <v>53.88</v>
      </c>
    </row>
    <row r="277" spans="1:8">
      <c r="A277" s="1" t="s">
        <v>614</v>
      </c>
      <c r="B277" s="1" t="s">
        <v>615</v>
      </c>
      <c r="C277" s="1" t="s">
        <v>599</v>
      </c>
      <c r="D277" s="1" t="s">
        <v>12</v>
      </c>
      <c r="E277" s="1">
        <v>569</v>
      </c>
      <c r="F277" s="1" t="s">
        <v>13</v>
      </c>
      <c r="G277" s="1">
        <v>78.599999999999994</v>
      </c>
      <c r="H277" s="1">
        <v>32.909999999999997</v>
      </c>
    </row>
    <row r="278" spans="1:8">
      <c r="A278" s="1" t="s">
        <v>616</v>
      </c>
      <c r="B278" s="1" t="s">
        <v>617</v>
      </c>
      <c r="C278" s="1" t="s">
        <v>599</v>
      </c>
      <c r="D278" s="1" t="s">
        <v>12</v>
      </c>
      <c r="E278" s="1">
        <v>2927</v>
      </c>
      <c r="F278" s="1" t="s">
        <v>13</v>
      </c>
      <c r="G278" s="1">
        <v>263.79000000000002</v>
      </c>
      <c r="H278" s="1">
        <v>50.44</v>
      </c>
    </row>
    <row r="279" spans="1:8">
      <c r="A279" s="1" t="s">
        <v>618</v>
      </c>
      <c r="B279" s="1" t="s">
        <v>619</v>
      </c>
      <c r="C279" s="1" t="s">
        <v>599</v>
      </c>
      <c r="D279" s="1" t="s">
        <v>12</v>
      </c>
      <c r="E279" s="1">
        <v>691</v>
      </c>
      <c r="F279" s="1" t="s">
        <v>13</v>
      </c>
      <c r="G279" s="1">
        <v>74.83</v>
      </c>
      <c r="H279" s="1">
        <v>41.98</v>
      </c>
    </row>
    <row r="280" spans="1:8" hidden="1">
      <c r="A280" s="1" t="s">
        <v>620</v>
      </c>
      <c r="B280" s="1" t="s">
        <v>621</v>
      </c>
      <c r="C280" s="1" t="s">
        <v>622</v>
      </c>
      <c r="D280" s="1" t="s">
        <v>12</v>
      </c>
      <c r="E280" s="1">
        <v>433</v>
      </c>
      <c r="F280" s="1" t="s">
        <v>623</v>
      </c>
      <c r="G280" s="1">
        <v>4996.84</v>
      </c>
      <c r="H280" s="1">
        <v>0</v>
      </c>
    </row>
    <row r="281" spans="1:8">
      <c r="A281" s="1" t="s">
        <v>624</v>
      </c>
      <c r="B281" s="1" t="s">
        <v>625</v>
      </c>
      <c r="C281" s="1" t="s">
        <v>599</v>
      </c>
      <c r="D281" s="1" t="s">
        <v>12</v>
      </c>
      <c r="E281" s="1">
        <v>1284</v>
      </c>
      <c r="F281" s="1" t="s">
        <v>13</v>
      </c>
      <c r="G281" s="1">
        <v>125.96</v>
      </c>
      <c r="H281" s="1">
        <v>46.34</v>
      </c>
    </row>
    <row r="282" spans="1:8">
      <c r="A282" s="1" t="s">
        <v>626</v>
      </c>
      <c r="B282" s="1" t="s">
        <v>627</v>
      </c>
      <c r="C282" s="1" t="s">
        <v>599</v>
      </c>
      <c r="D282" s="1" t="s">
        <v>12</v>
      </c>
      <c r="E282" s="1">
        <v>3812</v>
      </c>
      <c r="F282" s="1" t="s">
        <v>13</v>
      </c>
      <c r="G282" s="1">
        <v>342.67</v>
      </c>
      <c r="H282" s="1">
        <v>50.57</v>
      </c>
    </row>
    <row r="283" spans="1:8">
      <c r="A283" s="1" t="s">
        <v>628</v>
      </c>
      <c r="B283" s="1" t="s">
        <v>629</v>
      </c>
      <c r="C283" s="1" t="s">
        <v>599</v>
      </c>
      <c r="D283" s="1" t="s">
        <v>12</v>
      </c>
      <c r="E283" s="1">
        <v>2611</v>
      </c>
      <c r="F283" s="1" t="s">
        <v>13</v>
      </c>
      <c r="G283" s="1">
        <v>280.11</v>
      </c>
      <c r="H283" s="1">
        <v>42.38</v>
      </c>
    </row>
    <row r="284" spans="1:8">
      <c r="A284" s="1" t="s">
        <v>630</v>
      </c>
      <c r="B284" s="1" t="s">
        <v>631</v>
      </c>
      <c r="C284" s="1" t="s">
        <v>599</v>
      </c>
      <c r="D284" s="1" t="s">
        <v>12</v>
      </c>
      <c r="E284" s="1">
        <v>2343</v>
      </c>
      <c r="F284" s="1" t="s">
        <v>13</v>
      </c>
      <c r="G284" s="1">
        <v>220.58</v>
      </c>
      <c r="H284" s="1">
        <v>48.29</v>
      </c>
    </row>
    <row r="285" spans="1:8">
      <c r="A285" s="1" t="s">
        <v>632</v>
      </c>
      <c r="B285" s="1" t="s">
        <v>633</v>
      </c>
      <c r="C285" s="1" t="s">
        <v>599</v>
      </c>
      <c r="D285" s="1" t="s">
        <v>12</v>
      </c>
      <c r="E285" s="1">
        <v>3951</v>
      </c>
      <c r="F285" s="1" t="s">
        <v>13</v>
      </c>
      <c r="G285" s="1">
        <v>427.57</v>
      </c>
      <c r="H285" s="1">
        <v>42.01</v>
      </c>
    </row>
    <row r="286" spans="1:8">
      <c r="A286" s="1" t="s">
        <v>634</v>
      </c>
      <c r="B286" s="1" t="s">
        <v>635</v>
      </c>
      <c r="C286" s="1" t="s">
        <v>599</v>
      </c>
      <c r="D286" s="1" t="s">
        <v>12</v>
      </c>
      <c r="E286" s="1">
        <v>7306</v>
      </c>
      <c r="F286" s="1" t="s">
        <v>13</v>
      </c>
      <c r="G286" s="1">
        <v>510.45</v>
      </c>
      <c r="H286" s="1">
        <v>65.069999999999993</v>
      </c>
    </row>
    <row r="287" spans="1:8">
      <c r="A287" s="1" t="s">
        <v>636</v>
      </c>
      <c r="B287" s="1" t="s">
        <v>637</v>
      </c>
      <c r="C287" s="1" t="s">
        <v>11</v>
      </c>
      <c r="D287" s="1" t="s">
        <v>12</v>
      </c>
      <c r="E287" s="1">
        <v>345</v>
      </c>
      <c r="F287" s="1" t="s">
        <v>13</v>
      </c>
      <c r="G287" s="1">
        <v>64.61</v>
      </c>
      <c r="H287" s="1">
        <v>24.27</v>
      </c>
    </row>
    <row r="288" spans="1:8">
      <c r="A288" s="1" t="s">
        <v>638</v>
      </c>
      <c r="B288" s="1" t="s">
        <v>639</v>
      </c>
      <c r="C288" s="1" t="s">
        <v>11</v>
      </c>
      <c r="D288" s="1" t="s">
        <v>12</v>
      </c>
      <c r="E288" s="1">
        <v>8959</v>
      </c>
      <c r="F288" s="1" t="s">
        <v>13</v>
      </c>
      <c r="G288" s="1">
        <v>718.72</v>
      </c>
      <c r="H288" s="1">
        <v>56.67</v>
      </c>
    </row>
    <row r="289" spans="1:8">
      <c r="A289" s="1" t="s">
        <v>640</v>
      </c>
      <c r="B289" s="1" t="s">
        <v>641</v>
      </c>
      <c r="C289" s="1" t="s">
        <v>11</v>
      </c>
      <c r="D289" s="1" t="s">
        <v>12</v>
      </c>
      <c r="E289" s="1">
        <v>10397</v>
      </c>
      <c r="F289" s="1" t="s">
        <v>13</v>
      </c>
      <c r="G289" s="1">
        <v>839.07</v>
      </c>
      <c r="H289" s="1">
        <v>56.33</v>
      </c>
    </row>
    <row r="290" spans="1:8">
      <c r="A290" s="1" t="s">
        <v>642</v>
      </c>
      <c r="B290" s="1" t="s">
        <v>643</v>
      </c>
      <c r="C290" s="1" t="s">
        <v>117</v>
      </c>
      <c r="D290" s="1" t="s">
        <v>12</v>
      </c>
      <c r="E290" s="1">
        <v>6635</v>
      </c>
      <c r="F290" s="1" t="s">
        <v>13</v>
      </c>
      <c r="G290" s="1">
        <v>548.87</v>
      </c>
      <c r="H290" s="1">
        <v>54.96</v>
      </c>
    </row>
    <row r="291" spans="1:8">
      <c r="A291" s="1" t="s">
        <v>644</v>
      </c>
      <c r="B291" s="1" t="s">
        <v>645</v>
      </c>
      <c r="C291" s="1" t="s">
        <v>117</v>
      </c>
      <c r="D291" s="1" t="s">
        <v>12</v>
      </c>
      <c r="E291" s="1">
        <v>4589</v>
      </c>
      <c r="F291" s="1" t="s">
        <v>13</v>
      </c>
      <c r="G291" s="1">
        <v>333.19</v>
      </c>
      <c r="H291" s="1">
        <v>62.61</v>
      </c>
    </row>
    <row r="292" spans="1:8">
      <c r="A292" s="1" t="s">
        <v>646</v>
      </c>
      <c r="B292" s="1" t="s">
        <v>647</v>
      </c>
      <c r="C292" s="1" t="s">
        <v>122</v>
      </c>
      <c r="D292" s="1" t="s">
        <v>12</v>
      </c>
      <c r="E292" s="1">
        <v>4934</v>
      </c>
      <c r="F292" s="1" t="s">
        <v>13</v>
      </c>
      <c r="G292" s="1">
        <v>379</v>
      </c>
      <c r="H292" s="1">
        <v>59.18</v>
      </c>
    </row>
    <row r="293" spans="1:8">
      <c r="A293" s="1" t="s">
        <v>648</v>
      </c>
      <c r="B293" s="1" t="s">
        <v>649</v>
      </c>
      <c r="C293" s="1" t="s">
        <v>117</v>
      </c>
      <c r="D293" s="1" t="s">
        <v>12</v>
      </c>
      <c r="E293" s="1">
        <v>5944</v>
      </c>
      <c r="F293" s="1" t="s">
        <v>13</v>
      </c>
      <c r="G293" s="1">
        <v>558.53</v>
      </c>
      <c r="H293" s="1">
        <v>48.38</v>
      </c>
    </row>
    <row r="294" spans="1:8">
      <c r="A294" s="1" t="s">
        <v>650</v>
      </c>
      <c r="B294" s="1" t="s">
        <v>651</v>
      </c>
      <c r="C294" s="1" t="s">
        <v>599</v>
      </c>
      <c r="D294" s="1" t="s">
        <v>12</v>
      </c>
      <c r="E294" s="1">
        <v>4629</v>
      </c>
      <c r="F294" s="1" t="s">
        <v>13</v>
      </c>
      <c r="G294" s="1">
        <v>403.55</v>
      </c>
      <c r="H294" s="1">
        <v>52.15</v>
      </c>
    </row>
    <row r="295" spans="1:8">
      <c r="A295" s="1" t="s">
        <v>652</v>
      </c>
      <c r="B295" s="1" t="s">
        <v>653</v>
      </c>
      <c r="C295" s="1" t="s">
        <v>599</v>
      </c>
      <c r="D295" s="1" t="s">
        <v>12</v>
      </c>
      <c r="E295" s="1">
        <v>2669</v>
      </c>
      <c r="F295" s="1" t="s">
        <v>13</v>
      </c>
      <c r="G295" s="1">
        <v>241.2</v>
      </c>
      <c r="H295" s="1">
        <v>50.3</v>
      </c>
    </row>
    <row r="296" spans="1:8">
      <c r="A296" s="1" t="s">
        <v>654</v>
      </c>
      <c r="B296" s="1" t="s">
        <v>655</v>
      </c>
      <c r="C296" s="1" t="s">
        <v>599</v>
      </c>
      <c r="D296" s="1" t="s">
        <v>12</v>
      </c>
      <c r="E296" s="1">
        <v>8563</v>
      </c>
      <c r="F296" s="1" t="s">
        <v>13</v>
      </c>
      <c r="G296" s="1">
        <v>808.2</v>
      </c>
      <c r="H296" s="1">
        <v>48.17</v>
      </c>
    </row>
    <row r="297" spans="1:8">
      <c r="A297" s="1" t="s">
        <v>656</v>
      </c>
      <c r="B297" s="1" t="s">
        <v>657</v>
      </c>
      <c r="C297" s="1" t="s">
        <v>599</v>
      </c>
      <c r="D297" s="1" t="s">
        <v>12</v>
      </c>
      <c r="E297" s="1">
        <v>7841</v>
      </c>
      <c r="F297" s="1" t="s">
        <v>13</v>
      </c>
      <c r="G297" s="1">
        <v>625.89</v>
      </c>
      <c r="H297" s="1">
        <v>56.95</v>
      </c>
    </row>
    <row r="298" spans="1:8">
      <c r="A298" s="1" t="s">
        <v>658</v>
      </c>
      <c r="B298" s="1" t="s">
        <v>659</v>
      </c>
      <c r="C298" s="1" t="s">
        <v>660</v>
      </c>
      <c r="D298" s="1" t="s">
        <v>12</v>
      </c>
      <c r="E298" s="1">
        <v>5916</v>
      </c>
      <c r="F298" s="1" t="s">
        <v>13</v>
      </c>
      <c r="G298" s="1">
        <v>500.74</v>
      </c>
      <c r="H298" s="1">
        <v>53.71</v>
      </c>
    </row>
    <row r="299" spans="1:8">
      <c r="A299" s="1" t="s">
        <v>661</v>
      </c>
      <c r="B299" s="1" t="s">
        <v>662</v>
      </c>
      <c r="C299" s="1" t="s">
        <v>122</v>
      </c>
      <c r="D299" s="1" t="s">
        <v>12</v>
      </c>
      <c r="E299" s="1">
        <v>5854</v>
      </c>
      <c r="F299" s="1" t="s">
        <v>13</v>
      </c>
      <c r="G299" s="1">
        <v>478.94</v>
      </c>
      <c r="H299" s="1">
        <v>55.57</v>
      </c>
    </row>
    <row r="300" spans="1:8">
      <c r="A300" s="1" t="s">
        <v>663</v>
      </c>
      <c r="B300" s="1" t="s">
        <v>664</v>
      </c>
      <c r="C300" s="1" t="s">
        <v>117</v>
      </c>
      <c r="D300" s="1" t="s">
        <v>12</v>
      </c>
      <c r="E300" s="1">
        <v>9872</v>
      </c>
      <c r="F300" s="1" t="s">
        <v>13</v>
      </c>
      <c r="G300" s="1">
        <v>750.7</v>
      </c>
      <c r="H300" s="1">
        <v>59.78</v>
      </c>
    </row>
    <row r="301" spans="1:8">
      <c r="A301" s="1" t="s">
        <v>665</v>
      </c>
      <c r="B301" s="1" t="s">
        <v>666</v>
      </c>
      <c r="C301" s="1" t="s">
        <v>122</v>
      </c>
      <c r="D301" s="1" t="s">
        <v>12</v>
      </c>
      <c r="E301" s="1">
        <v>5112</v>
      </c>
      <c r="F301" s="1" t="s">
        <v>13</v>
      </c>
      <c r="G301" s="1">
        <v>421.3</v>
      </c>
      <c r="H301" s="1">
        <v>55.16</v>
      </c>
    </row>
    <row r="302" spans="1:8" hidden="1">
      <c r="A302" s="1" t="s">
        <v>667</v>
      </c>
      <c r="B302" s="1" t="s">
        <v>667</v>
      </c>
      <c r="C302" s="1" t="s">
        <v>668</v>
      </c>
      <c r="D302" s="1" t="s">
        <v>669</v>
      </c>
      <c r="E302" s="1">
        <v>0</v>
      </c>
      <c r="F302" s="1" t="s">
        <v>623</v>
      </c>
      <c r="G302" s="1">
        <v>0</v>
      </c>
      <c r="H302" s="1">
        <v>0</v>
      </c>
    </row>
    <row r="303" spans="1:8" hidden="1">
      <c r="A303" s="1" t="s">
        <v>670</v>
      </c>
      <c r="B303" s="1" t="s">
        <v>671</v>
      </c>
      <c r="C303" s="1" t="s">
        <v>672</v>
      </c>
      <c r="D303" s="1" t="s">
        <v>12</v>
      </c>
      <c r="E303" s="1">
        <v>0</v>
      </c>
      <c r="F303" s="1" t="s">
        <v>623</v>
      </c>
      <c r="G303" s="1">
        <v>0</v>
      </c>
      <c r="H303" s="1">
        <v>0</v>
      </c>
    </row>
    <row r="304" spans="1:8" hidden="1">
      <c r="A304" s="1" t="s">
        <v>673</v>
      </c>
      <c r="B304" s="1" t="s">
        <v>674</v>
      </c>
      <c r="C304" s="1" t="s">
        <v>675</v>
      </c>
      <c r="D304" s="1" t="s">
        <v>12</v>
      </c>
      <c r="E304" s="1">
        <v>371</v>
      </c>
      <c r="F304" s="1" t="s">
        <v>623</v>
      </c>
      <c r="G304" s="1">
        <v>2213.5700000000002</v>
      </c>
      <c r="H304" s="1">
        <v>0</v>
      </c>
    </row>
    <row r="305" spans="1:8">
      <c r="A305" s="1" t="s">
        <v>676</v>
      </c>
      <c r="B305" s="1" t="s">
        <v>677</v>
      </c>
      <c r="C305" s="1" t="s">
        <v>678</v>
      </c>
      <c r="D305" s="1" t="s">
        <v>12</v>
      </c>
      <c r="E305" s="1">
        <v>8726</v>
      </c>
      <c r="F305" s="1" t="s">
        <v>13</v>
      </c>
      <c r="G305" s="1">
        <v>851.6</v>
      </c>
      <c r="H305" s="1">
        <v>46.58</v>
      </c>
    </row>
    <row r="306" spans="1:8">
      <c r="A306" s="1" t="s">
        <v>679</v>
      </c>
      <c r="B306" s="1" t="s">
        <v>680</v>
      </c>
      <c r="C306" s="1" t="s">
        <v>681</v>
      </c>
      <c r="D306" s="1" t="s">
        <v>12</v>
      </c>
      <c r="E306" s="1">
        <v>660</v>
      </c>
      <c r="F306" s="1" t="s">
        <v>13</v>
      </c>
      <c r="G306" s="1">
        <v>3644.06</v>
      </c>
      <c r="H306" s="1">
        <v>0.82</v>
      </c>
    </row>
    <row r="307" spans="1:8">
      <c r="A307" s="1" t="s">
        <v>682</v>
      </c>
      <c r="B307" s="1" t="s">
        <v>683</v>
      </c>
      <c r="C307" s="1" t="s">
        <v>678</v>
      </c>
      <c r="D307" s="1" t="s">
        <v>12</v>
      </c>
      <c r="E307" s="1">
        <v>2560</v>
      </c>
      <c r="F307" s="1" t="s">
        <v>13</v>
      </c>
      <c r="G307" s="1">
        <v>281.23</v>
      </c>
      <c r="H307" s="1">
        <v>41.38</v>
      </c>
    </row>
    <row r="308" spans="1:8">
      <c r="A308" s="1" t="s">
        <v>684</v>
      </c>
      <c r="B308" s="1" t="s">
        <v>685</v>
      </c>
      <c r="C308" s="1" t="s">
        <v>678</v>
      </c>
      <c r="D308" s="1" t="s">
        <v>12</v>
      </c>
      <c r="E308" s="1">
        <v>341</v>
      </c>
      <c r="F308" s="1" t="s">
        <v>13</v>
      </c>
      <c r="G308" s="1">
        <v>82.88</v>
      </c>
      <c r="H308" s="1">
        <v>18.7</v>
      </c>
    </row>
    <row r="309" spans="1:8">
      <c r="A309" s="1" t="s">
        <v>686</v>
      </c>
      <c r="B309" s="1" t="s">
        <v>687</v>
      </c>
      <c r="C309" s="1" t="s">
        <v>678</v>
      </c>
      <c r="D309" s="1" t="s">
        <v>12</v>
      </c>
      <c r="E309" s="1">
        <v>7044</v>
      </c>
      <c r="F309" s="1" t="s">
        <v>13</v>
      </c>
      <c r="G309" s="1">
        <v>779.07</v>
      </c>
      <c r="H309" s="1">
        <v>41.1</v>
      </c>
    </row>
    <row r="310" spans="1:8">
      <c r="A310" s="1" t="s">
        <v>688</v>
      </c>
      <c r="B310" s="1" t="s">
        <v>689</v>
      </c>
      <c r="C310" s="1" t="s">
        <v>678</v>
      </c>
      <c r="D310" s="1" t="s">
        <v>12</v>
      </c>
      <c r="E310" s="1">
        <v>1102</v>
      </c>
      <c r="F310" s="1" t="s">
        <v>13</v>
      </c>
      <c r="G310" s="1">
        <v>154.97</v>
      </c>
      <c r="H310" s="1">
        <v>32.33</v>
      </c>
    </row>
    <row r="311" spans="1:8">
      <c r="A311" s="1" t="s">
        <v>690</v>
      </c>
      <c r="B311" s="1" t="s">
        <v>691</v>
      </c>
      <c r="C311" s="1" t="s">
        <v>692</v>
      </c>
      <c r="D311" s="1" t="s">
        <v>12</v>
      </c>
      <c r="E311" s="1">
        <v>5461</v>
      </c>
      <c r="F311" s="1" t="s">
        <v>13</v>
      </c>
      <c r="G311" s="1">
        <v>577.17999999999995</v>
      </c>
      <c r="H311" s="1">
        <v>43.01</v>
      </c>
    </row>
    <row r="312" spans="1:8" hidden="1">
      <c r="A312" s="1" t="s">
        <v>693</v>
      </c>
      <c r="B312" s="1" t="s">
        <v>694</v>
      </c>
      <c r="C312" s="1" t="s">
        <v>695</v>
      </c>
      <c r="D312" s="1" t="s">
        <v>12</v>
      </c>
      <c r="E312" s="1">
        <v>569</v>
      </c>
      <c r="F312" s="1" t="s">
        <v>623</v>
      </c>
      <c r="G312" s="1">
        <v>3768.23</v>
      </c>
      <c r="H312" s="1">
        <v>0</v>
      </c>
    </row>
    <row r="313" spans="1:8">
      <c r="A313" s="1" t="s">
        <v>696</v>
      </c>
      <c r="B313" s="1" t="s">
        <v>697</v>
      </c>
      <c r="C313" s="1" t="s">
        <v>698</v>
      </c>
      <c r="D313" s="1" t="s">
        <v>12</v>
      </c>
      <c r="E313" s="1">
        <v>8512</v>
      </c>
      <c r="F313" s="1" t="s">
        <v>13</v>
      </c>
      <c r="G313" s="1">
        <v>903.11</v>
      </c>
      <c r="H313" s="1">
        <v>42.85</v>
      </c>
    </row>
    <row r="314" spans="1:8" hidden="1">
      <c r="A314" s="1" t="s">
        <v>699</v>
      </c>
      <c r="B314" s="1" t="s">
        <v>700</v>
      </c>
      <c r="C314" s="1" t="s">
        <v>695</v>
      </c>
      <c r="D314" s="1" t="s">
        <v>12</v>
      </c>
      <c r="E314" s="1">
        <v>314</v>
      </c>
      <c r="F314" s="1" t="s">
        <v>623</v>
      </c>
      <c r="G314" s="1">
        <v>2300.2199999999998</v>
      </c>
      <c r="H314" s="1">
        <v>0</v>
      </c>
    </row>
    <row r="315" spans="1:8" hidden="1">
      <c r="A315" s="1" t="s">
        <v>701</v>
      </c>
      <c r="B315" s="1" t="s">
        <v>702</v>
      </c>
      <c r="C315" s="1" t="s">
        <v>695</v>
      </c>
      <c r="D315" s="1" t="s">
        <v>12</v>
      </c>
      <c r="E315" s="1">
        <v>487</v>
      </c>
      <c r="F315" s="1" t="s">
        <v>623</v>
      </c>
      <c r="G315" s="1">
        <v>3866.55</v>
      </c>
      <c r="H315" s="1">
        <v>0</v>
      </c>
    </row>
    <row r="316" spans="1:8">
      <c r="A316" s="1" t="s">
        <v>703</v>
      </c>
      <c r="B316" s="1" t="s">
        <v>704</v>
      </c>
      <c r="C316" s="1" t="s">
        <v>705</v>
      </c>
      <c r="D316" s="1" t="s">
        <v>12</v>
      </c>
      <c r="E316" s="1">
        <v>6070</v>
      </c>
      <c r="F316" s="1" t="s">
        <v>13</v>
      </c>
      <c r="G316" s="1">
        <v>753.46</v>
      </c>
      <c r="H316" s="1">
        <v>36.619999999999997</v>
      </c>
    </row>
    <row r="317" spans="1:8" hidden="1">
      <c r="A317" s="1" t="s">
        <v>706</v>
      </c>
      <c r="B317" s="1" t="s">
        <v>707</v>
      </c>
      <c r="C317" s="1" t="s">
        <v>695</v>
      </c>
      <c r="D317" s="1" t="s">
        <v>12</v>
      </c>
      <c r="E317" s="1">
        <v>296</v>
      </c>
      <c r="F317" s="1" t="s">
        <v>623</v>
      </c>
      <c r="G317" s="1">
        <v>2704.71</v>
      </c>
      <c r="H317" s="1">
        <v>0</v>
      </c>
    </row>
    <row r="318" spans="1:8" hidden="1">
      <c r="A318" s="1" t="s">
        <v>708</v>
      </c>
      <c r="B318" s="1" t="s">
        <v>709</v>
      </c>
      <c r="C318" s="1" t="s">
        <v>695</v>
      </c>
      <c r="D318" s="1" t="s">
        <v>12</v>
      </c>
      <c r="E318" s="1">
        <v>449</v>
      </c>
      <c r="F318" s="1" t="s">
        <v>623</v>
      </c>
      <c r="G318" s="1">
        <v>3305.97</v>
      </c>
      <c r="H318" s="1">
        <v>0</v>
      </c>
    </row>
    <row r="319" spans="1:8" hidden="1">
      <c r="A319" s="1" t="s">
        <v>710</v>
      </c>
      <c r="B319" s="1" t="s">
        <v>711</v>
      </c>
      <c r="C319" s="1" t="s">
        <v>695</v>
      </c>
      <c r="D319" s="1" t="s">
        <v>12</v>
      </c>
      <c r="E319" s="1">
        <v>264</v>
      </c>
      <c r="F319" s="1" t="s">
        <v>623</v>
      </c>
      <c r="G319" s="1">
        <v>2162.1999999999998</v>
      </c>
      <c r="H319" s="1">
        <v>0</v>
      </c>
    </row>
    <row r="320" spans="1:8" hidden="1">
      <c r="A320" s="1" t="s">
        <v>712</v>
      </c>
      <c r="B320" s="1" t="s">
        <v>713</v>
      </c>
      <c r="C320" s="1" t="s">
        <v>695</v>
      </c>
      <c r="D320" s="1" t="s">
        <v>12</v>
      </c>
      <c r="E320" s="1">
        <v>649</v>
      </c>
      <c r="F320" s="1" t="s">
        <v>623</v>
      </c>
      <c r="G320" s="1">
        <v>3828.93</v>
      </c>
      <c r="H320" s="1">
        <v>0</v>
      </c>
    </row>
    <row r="321" spans="1:8" hidden="1">
      <c r="A321" s="1" t="s">
        <v>714</v>
      </c>
      <c r="B321" s="1" t="s">
        <v>715</v>
      </c>
      <c r="C321" s="1" t="s">
        <v>695</v>
      </c>
      <c r="D321" s="1" t="s">
        <v>12</v>
      </c>
      <c r="E321" s="1">
        <v>77</v>
      </c>
      <c r="F321" s="1" t="s">
        <v>623</v>
      </c>
      <c r="G321" s="1">
        <v>516.59</v>
      </c>
      <c r="H321" s="1">
        <v>0</v>
      </c>
    </row>
    <row r="322" spans="1:8">
      <c r="A322" s="1" t="s">
        <v>716</v>
      </c>
      <c r="B322" s="1" t="s">
        <v>717</v>
      </c>
      <c r="C322" s="1" t="s">
        <v>678</v>
      </c>
      <c r="D322" s="1" t="s">
        <v>12</v>
      </c>
      <c r="E322" s="1">
        <v>9660</v>
      </c>
      <c r="F322" s="1" t="s">
        <v>13</v>
      </c>
      <c r="G322" s="1">
        <v>1134.68</v>
      </c>
      <c r="H322" s="1">
        <v>38.700000000000003</v>
      </c>
    </row>
    <row r="323" spans="1:8" hidden="1">
      <c r="A323" s="1" t="s">
        <v>718</v>
      </c>
      <c r="B323" s="1" t="s">
        <v>719</v>
      </c>
      <c r="C323" s="1" t="s">
        <v>695</v>
      </c>
      <c r="D323" s="1" t="s">
        <v>12</v>
      </c>
      <c r="E323" s="1">
        <v>361</v>
      </c>
      <c r="F323" s="1" t="s">
        <v>623</v>
      </c>
      <c r="G323" s="1">
        <v>1774.81</v>
      </c>
      <c r="H323" s="1">
        <v>0</v>
      </c>
    </row>
    <row r="324" spans="1:8" hidden="1">
      <c r="A324" s="1" t="s">
        <v>720</v>
      </c>
      <c r="B324" s="1" t="s">
        <v>721</v>
      </c>
      <c r="C324" s="1" t="s">
        <v>695</v>
      </c>
      <c r="D324" s="1" t="s">
        <v>12</v>
      </c>
      <c r="E324" s="1">
        <v>497</v>
      </c>
      <c r="F324" s="1" t="s">
        <v>623</v>
      </c>
      <c r="G324" s="1">
        <v>3033.96</v>
      </c>
      <c r="H324" s="1">
        <v>0</v>
      </c>
    </row>
    <row r="325" spans="1:8">
      <c r="A325" s="1" t="s">
        <v>722</v>
      </c>
      <c r="B325" s="1" t="s">
        <v>723</v>
      </c>
      <c r="C325" s="1" t="s">
        <v>678</v>
      </c>
      <c r="D325" s="1" t="s">
        <v>12</v>
      </c>
      <c r="E325" s="1">
        <v>4142</v>
      </c>
      <c r="F325" s="1" t="s">
        <v>13</v>
      </c>
      <c r="G325" s="1">
        <v>503.92</v>
      </c>
      <c r="H325" s="1">
        <v>37.369999999999997</v>
      </c>
    </row>
    <row r="326" spans="1:8">
      <c r="A326" s="1" t="s">
        <v>724</v>
      </c>
      <c r="B326" s="1" t="s">
        <v>725</v>
      </c>
      <c r="C326" s="1" t="s">
        <v>678</v>
      </c>
      <c r="D326" s="1" t="s">
        <v>12</v>
      </c>
      <c r="E326" s="1">
        <v>5661</v>
      </c>
      <c r="F326" s="1" t="s">
        <v>13</v>
      </c>
      <c r="G326" s="1">
        <v>624.41999999999996</v>
      </c>
      <c r="H326" s="1">
        <v>41.21</v>
      </c>
    </row>
    <row r="327" spans="1:8">
      <c r="A327" s="1" t="s">
        <v>726</v>
      </c>
      <c r="B327" s="1" t="s">
        <v>727</v>
      </c>
      <c r="C327" s="1" t="s">
        <v>678</v>
      </c>
      <c r="D327" s="1" t="s">
        <v>12</v>
      </c>
      <c r="E327" s="1">
        <v>5750</v>
      </c>
      <c r="F327" s="1" t="s">
        <v>13</v>
      </c>
      <c r="G327" s="1">
        <v>749.13</v>
      </c>
      <c r="H327" s="1">
        <v>34.89</v>
      </c>
    </row>
    <row r="328" spans="1:8">
      <c r="A328" s="1" t="s">
        <v>728</v>
      </c>
      <c r="B328" s="1" t="s">
        <v>729</v>
      </c>
      <c r="C328" s="1" t="s">
        <v>678</v>
      </c>
      <c r="D328" s="1" t="s">
        <v>12</v>
      </c>
      <c r="E328" s="1">
        <v>3735</v>
      </c>
      <c r="F328" s="1" t="s">
        <v>13</v>
      </c>
      <c r="G328" s="1">
        <v>384.44</v>
      </c>
      <c r="H328" s="1">
        <v>44.17</v>
      </c>
    </row>
    <row r="329" spans="1:8">
      <c r="A329" s="1" t="s">
        <v>730</v>
      </c>
      <c r="B329" s="1" t="s">
        <v>731</v>
      </c>
      <c r="C329" s="1" t="s">
        <v>678</v>
      </c>
      <c r="D329" s="1" t="s">
        <v>12</v>
      </c>
      <c r="E329" s="1">
        <v>12766</v>
      </c>
      <c r="F329" s="1" t="s">
        <v>13</v>
      </c>
      <c r="G329" s="1">
        <v>1253.1099999999999</v>
      </c>
      <c r="H329" s="1">
        <v>46.31</v>
      </c>
    </row>
    <row r="330" spans="1:8">
      <c r="A330" s="1" t="s">
        <v>732</v>
      </c>
      <c r="B330" s="1" t="s">
        <v>733</v>
      </c>
      <c r="C330" s="1" t="s">
        <v>734</v>
      </c>
      <c r="D330" s="1" t="s">
        <v>12</v>
      </c>
      <c r="E330" s="1">
        <v>4192</v>
      </c>
      <c r="F330" s="1" t="s">
        <v>13</v>
      </c>
      <c r="G330" s="1">
        <v>354.11</v>
      </c>
      <c r="H330" s="1">
        <v>53.82</v>
      </c>
    </row>
    <row r="331" spans="1:8">
      <c r="A331" s="1" t="s">
        <v>735</v>
      </c>
      <c r="B331" s="1" t="s">
        <v>736</v>
      </c>
      <c r="C331" s="1" t="s">
        <v>737</v>
      </c>
      <c r="D331" s="1" t="s">
        <v>12</v>
      </c>
      <c r="E331" s="1">
        <v>10945</v>
      </c>
      <c r="F331" s="1" t="s">
        <v>13</v>
      </c>
      <c r="G331" s="1">
        <v>1027.08</v>
      </c>
      <c r="H331" s="1">
        <v>48.45</v>
      </c>
    </row>
    <row r="332" spans="1:8">
      <c r="A332" s="1" t="s">
        <v>738</v>
      </c>
      <c r="B332" s="1" t="s">
        <v>739</v>
      </c>
      <c r="C332" s="1" t="s">
        <v>737</v>
      </c>
      <c r="D332" s="1" t="s">
        <v>12</v>
      </c>
      <c r="E332" s="1">
        <v>6800</v>
      </c>
      <c r="F332" s="1" t="s">
        <v>13</v>
      </c>
      <c r="G332" s="1">
        <v>595.39</v>
      </c>
      <c r="H332" s="1">
        <v>51.92</v>
      </c>
    </row>
    <row r="333" spans="1:8">
      <c r="A333" s="1" t="s">
        <v>740</v>
      </c>
      <c r="B333" s="1" t="s">
        <v>741</v>
      </c>
      <c r="C333" s="1" t="s">
        <v>737</v>
      </c>
      <c r="D333" s="1" t="s">
        <v>12</v>
      </c>
      <c r="E333" s="1">
        <v>8918</v>
      </c>
      <c r="F333" s="1" t="s">
        <v>13</v>
      </c>
      <c r="G333" s="1">
        <v>819.82</v>
      </c>
      <c r="H333" s="1">
        <v>49.45</v>
      </c>
    </row>
    <row r="334" spans="1:8">
      <c r="A334" s="1" t="s">
        <v>742</v>
      </c>
      <c r="B334" s="1" t="s">
        <v>743</v>
      </c>
      <c r="C334" s="1" t="s">
        <v>737</v>
      </c>
      <c r="D334" s="1" t="s">
        <v>12</v>
      </c>
      <c r="E334" s="1">
        <v>13437</v>
      </c>
      <c r="F334" s="1" t="s">
        <v>13</v>
      </c>
      <c r="G334" s="1">
        <v>1177.49</v>
      </c>
      <c r="H334" s="1">
        <v>51.88</v>
      </c>
    </row>
    <row r="335" spans="1:8">
      <c r="A335" s="1" t="s">
        <v>744</v>
      </c>
      <c r="B335" s="1" t="s">
        <v>745</v>
      </c>
      <c r="C335" s="1" t="s">
        <v>737</v>
      </c>
      <c r="D335" s="1" t="s">
        <v>12</v>
      </c>
      <c r="E335" s="1">
        <v>6771</v>
      </c>
      <c r="F335" s="1" t="s">
        <v>13</v>
      </c>
      <c r="G335" s="1">
        <v>618.01</v>
      </c>
      <c r="H335" s="1">
        <v>49.81</v>
      </c>
    </row>
    <row r="336" spans="1:8">
      <c r="A336" s="1" t="s">
        <v>746</v>
      </c>
      <c r="B336" s="1" t="s">
        <v>747</v>
      </c>
      <c r="C336" s="1" t="s">
        <v>737</v>
      </c>
      <c r="D336" s="1" t="s">
        <v>12</v>
      </c>
      <c r="E336" s="1">
        <v>15141</v>
      </c>
      <c r="F336" s="1" t="s">
        <v>13</v>
      </c>
      <c r="G336" s="1">
        <v>1308.04</v>
      </c>
      <c r="H336" s="1">
        <v>52.62</v>
      </c>
    </row>
    <row r="337" spans="1:8">
      <c r="A337" s="1" t="s">
        <v>748</v>
      </c>
      <c r="B337" s="1" t="s">
        <v>749</v>
      </c>
      <c r="C337" s="1" t="s">
        <v>750</v>
      </c>
      <c r="D337" s="1" t="s">
        <v>12</v>
      </c>
      <c r="E337" s="1">
        <v>7661</v>
      </c>
      <c r="F337" s="1" t="s">
        <v>13</v>
      </c>
      <c r="G337" s="1">
        <v>881.99</v>
      </c>
      <c r="H337" s="1">
        <v>39.49</v>
      </c>
    </row>
    <row r="338" spans="1:8">
      <c r="A338" s="1" t="s">
        <v>751</v>
      </c>
      <c r="B338" s="1" t="s">
        <v>752</v>
      </c>
      <c r="C338" s="1" t="s">
        <v>678</v>
      </c>
      <c r="D338" s="1" t="s">
        <v>12</v>
      </c>
      <c r="E338" s="1">
        <v>10668</v>
      </c>
      <c r="F338" s="1" t="s">
        <v>13</v>
      </c>
      <c r="G338" s="1">
        <v>1047.68</v>
      </c>
      <c r="H338" s="1">
        <v>46.29</v>
      </c>
    </row>
    <row r="339" spans="1:8" hidden="1">
      <c r="A339" s="1" t="s">
        <v>753</v>
      </c>
      <c r="B339" s="1" t="s">
        <v>754</v>
      </c>
      <c r="C339" s="1" t="s">
        <v>755</v>
      </c>
      <c r="D339" s="1" t="s">
        <v>12</v>
      </c>
      <c r="E339" s="1">
        <v>0</v>
      </c>
      <c r="F339" s="1" t="s">
        <v>623</v>
      </c>
      <c r="G339" s="1">
        <v>0</v>
      </c>
      <c r="H339" s="1">
        <v>0</v>
      </c>
    </row>
    <row r="340" spans="1:8" hidden="1">
      <c r="A340" s="1" t="s">
        <v>756</v>
      </c>
      <c r="B340" s="1" t="s">
        <v>757</v>
      </c>
      <c r="C340" s="1" t="s">
        <v>755</v>
      </c>
      <c r="D340" s="1" t="s">
        <v>12</v>
      </c>
      <c r="E340" s="1">
        <v>0</v>
      </c>
      <c r="F340" s="1" t="s">
        <v>623</v>
      </c>
      <c r="G340" s="1">
        <v>0</v>
      </c>
      <c r="H340" s="1">
        <v>0</v>
      </c>
    </row>
    <row r="341" spans="1:8">
      <c r="A341" s="1" t="s">
        <v>759</v>
      </c>
      <c r="B341" s="1" t="s">
        <v>760</v>
      </c>
      <c r="C341" s="1" t="s">
        <v>758</v>
      </c>
      <c r="D341" s="1" t="s">
        <v>12</v>
      </c>
      <c r="E341" s="1">
        <v>5885</v>
      </c>
      <c r="F341" s="1" t="s">
        <v>13</v>
      </c>
      <c r="G341" s="1">
        <v>827.88</v>
      </c>
      <c r="H341" s="1">
        <v>32.32</v>
      </c>
    </row>
    <row r="342" spans="1:8">
      <c r="A342" s="1" t="s">
        <v>761</v>
      </c>
      <c r="B342" s="1" t="s">
        <v>762</v>
      </c>
      <c r="C342" s="1" t="s">
        <v>678</v>
      </c>
      <c r="D342" s="1" t="s">
        <v>12</v>
      </c>
      <c r="E342" s="1">
        <v>2258</v>
      </c>
      <c r="F342" s="1" t="s">
        <v>13</v>
      </c>
      <c r="G342" s="1">
        <v>279.14</v>
      </c>
      <c r="H342" s="1">
        <v>36.770000000000003</v>
      </c>
    </row>
    <row r="343" spans="1:8">
      <c r="A343" s="1" t="s">
        <v>763</v>
      </c>
      <c r="B343" s="1" t="s">
        <v>764</v>
      </c>
      <c r="C343" s="1" t="s">
        <v>678</v>
      </c>
      <c r="D343" s="1" t="s">
        <v>12</v>
      </c>
      <c r="E343" s="1">
        <v>4707</v>
      </c>
      <c r="F343" s="1" t="s">
        <v>13</v>
      </c>
      <c r="G343" s="1">
        <v>529.41999999999996</v>
      </c>
      <c r="H343" s="1">
        <v>40.42</v>
      </c>
    </row>
    <row r="344" spans="1:8">
      <c r="A344" s="1" t="s">
        <v>765</v>
      </c>
      <c r="B344" s="1" t="s">
        <v>766</v>
      </c>
      <c r="C344" s="1" t="s">
        <v>678</v>
      </c>
      <c r="D344" s="1" t="s">
        <v>12</v>
      </c>
      <c r="E344" s="1">
        <v>12106</v>
      </c>
      <c r="F344" s="1" t="s">
        <v>13</v>
      </c>
      <c r="G344" s="1">
        <v>1209.67</v>
      </c>
      <c r="H344" s="1">
        <v>45.5</v>
      </c>
    </row>
    <row r="345" spans="1:8">
      <c r="A345" s="1" t="s">
        <v>767</v>
      </c>
      <c r="B345" s="1" t="s">
        <v>768</v>
      </c>
      <c r="C345" s="1" t="s">
        <v>678</v>
      </c>
      <c r="D345" s="1" t="s">
        <v>12</v>
      </c>
      <c r="E345" s="1">
        <v>3419</v>
      </c>
      <c r="F345" s="1" t="s">
        <v>13</v>
      </c>
      <c r="G345" s="1">
        <v>368.16</v>
      </c>
      <c r="H345" s="1">
        <v>42.22</v>
      </c>
    </row>
    <row r="346" spans="1:8">
      <c r="A346" s="1" t="s">
        <v>769</v>
      </c>
      <c r="B346" s="1" t="s">
        <v>770</v>
      </c>
      <c r="C346" s="1" t="s">
        <v>678</v>
      </c>
      <c r="D346" s="1" t="s">
        <v>12</v>
      </c>
      <c r="E346" s="1">
        <v>9146</v>
      </c>
      <c r="F346" s="1" t="s">
        <v>13</v>
      </c>
      <c r="G346" s="1">
        <v>865.9</v>
      </c>
      <c r="H346" s="1">
        <v>48.02</v>
      </c>
    </row>
    <row r="347" spans="1:8">
      <c r="A347" s="1" t="s">
        <v>771</v>
      </c>
      <c r="B347" s="1" t="s">
        <v>772</v>
      </c>
      <c r="C347" s="1" t="s">
        <v>678</v>
      </c>
      <c r="D347" s="1" t="s">
        <v>12</v>
      </c>
      <c r="E347" s="1">
        <v>6272</v>
      </c>
      <c r="F347" s="1" t="s">
        <v>13</v>
      </c>
      <c r="G347" s="1">
        <v>794.97</v>
      </c>
      <c r="H347" s="1">
        <v>35.869999999999997</v>
      </c>
    </row>
    <row r="348" spans="1:8">
      <c r="A348" s="1" t="s">
        <v>773</v>
      </c>
      <c r="B348" s="1" t="s">
        <v>774</v>
      </c>
      <c r="C348" s="1" t="s">
        <v>678</v>
      </c>
      <c r="D348" s="1" t="s">
        <v>12</v>
      </c>
      <c r="E348" s="1">
        <v>9289</v>
      </c>
      <c r="F348" s="1" t="s">
        <v>13</v>
      </c>
      <c r="G348" s="1">
        <v>1020.84</v>
      </c>
      <c r="H348" s="1">
        <v>41.37</v>
      </c>
    </row>
    <row r="349" spans="1:8">
      <c r="A349" s="1" t="s">
        <v>775</v>
      </c>
      <c r="B349" s="1" t="s">
        <v>776</v>
      </c>
      <c r="C349" s="1" t="s">
        <v>678</v>
      </c>
      <c r="D349" s="1" t="s">
        <v>12</v>
      </c>
      <c r="E349" s="1">
        <v>6762</v>
      </c>
      <c r="F349" s="1" t="s">
        <v>13</v>
      </c>
      <c r="G349" s="1">
        <v>796.42</v>
      </c>
      <c r="H349" s="1">
        <v>38.6</v>
      </c>
    </row>
    <row r="350" spans="1:8">
      <c r="A350" s="1" t="s">
        <v>777</v>
      </c>
      <c r="B350" s="1" t="s">
        <v>778</v>
      </c>
      <c r="C350" s="1" t="s">
        <v>678</v>
      </c>
      <c r="D350" s="1" t="s">
        <v>12</v>
      </c>
      <c r="E350" s="1">
        <v>7901</v>
      </c>
      <c r="F350" s="1" t="s">
        <v>13</v>
      </c>
      <c r="G350" s="1">
        <v>810.39</v>
      </c>
      <c r="H350" s="1">
        <v>44.32</v>
      </c>
    </row>
    <row r="351" spans="1:8">
      <c r="A351" s="1" t="s">
        <v>779</v>
      </c>
      <c r="B351" s="1" t="s">
        <v>780</v>
      </c>
      <c r="C351" s="1" t="s">
        <v>678</v>
      </c>
      <c r="D351" s="1" t="s">
        <v>12</v>
      </c>
      <c r="E351" s="1">
        <v>3541</v>
      </c>
      <c r="F351" s="1" t="s">
        <v>13</v>
      </c>
      <c r="G351" s="1">
        <v>419.67</v>
      </c>
      <c r="H351" s="1">
        <v>38.36</v>
      </c>
    </row>
    <row r="352" spans="1:8">
      <c r="A352" s="1" t="s">
        <v>781</v>
      </c>
      <c r="B352" s="1" t="s">
        <v>782</v>
      </c>
      <c r="C352" s="1" t="s">
        <v>678</v>
      </c>
      <c r="D352" s="1" t="s">
        <v>12</v>
      </c>
      <c r="E352" s="1">
        <v>1307</v>
      </c>
      <c r="F352" s="1" t="s">
        <v>13</v>
      </c>
      <c r="G352" s="1">
        <v>188.48</v>
      </c>
      <c r="H352" s="1">
        <v>31.52</v>
      </c>
    </row>
    <row r="353" spans="1:8">
      <c r="A353" s="1" t="s">
        <v>783</v>
      </c>
      <c r="B353" s="1" t="s">
        <v>784</v>
      </c>
      <c r="C353" s="1" t="s">
        <v>678</v>
      </c>
      <c r="D353" s="1" t="s">
        <v>12</v>
      </c>
      <c r="E353" s="1">
        <v>4881</v>
      </c>
      <c r="F353" s="1" t="s">
        <v>13</v>
      </c>
      <c r="G353" s="1">
        <v>489.86</v>
      </c>
      <c r="H353" s="1">
        <v>45.3</v>
      </c>
    </row>
    <row r="354" spans="1:8">
      <c r="A354" s="1" t="s">
        <v>785</v>
      </c>
      <c r="B354" s="1" t="s">
        <v>786</v>
      </c>
      <c r="C354" s="1" t="s">
        <v>678</v>
      </c>
      <c r="D354" s="1" t="s">
        <v>12</v>
      </c>
      <c r="E354" s="1">
        <v>9264</v>
      </c>
      <c r="F354" s="1" t="s">
        <v>13</v>
      </c>
      <c r="G354" s="1">
        <v>959.39</v>
      </c>
      <c r="H354" s="1">
        <v>43.9</v>
      </c>
    </row>
    <row r="355" spans="1:8">
      <c r="A355" s="1" t="s">
        <v>787</v>
      </c>
      <c r="B355" s="1" t="s">
        <v>788</v>
      </c>
      <c r="C355" s="1" t="s">
        <v>678</v>
      </c>
      <c r="D355" s="1" t="s">
        <v>12</v>
      </c>
      <c r="E355" s="1">
        <v>4533</v>
      </c>
      <c r="F355" s="1" t="s">
        <v>13</v>
      </c>
      <c r="G355" s="1">
        <v>573.48</v>
      </c>
      <c r="H355" s="1">
        <v>35.93</v>
      </c>
    </row>
    <row r="356" spans="1:8">
      <c r="A356" s="1" t="s">
        <v>789</v>
      </c>
      <c r="B356" s="1" t="s">
        <v>790</v>
      </c>
      <c r="C356" s="1" t="s">
        <v>678</v>
      </c>
      <c r="D356" s="1" t="s">
        <v>12</v>
      </c>
      <c r="E356" s="1">
        <v>4313</v>
      </c>
      <c r="F356" s="1" t="s">
        <v>13</v>
      </c>
      <c r="G356" s="1">
        <v>471.35</v>
      </c>
      <c r="H356" s="1">
        <v>41.6</v>
      </c>
    </row>
    <row r="357" spans="1:8">
      <c r="A357" s="1" t="s">
        <v>791</v>
      </c>
      <c r="B357" s="1" t="s">
        <v>792</v>
      </c>
      <c r="C357" s="1" t="s">
        <v>678</v>
      </c>
      <c r="D357" s="1" t="s">
        <v>12</v>
      </c>
      <c r="E357" s="1">
        <v>6114</v>
      </c>
      <c r="F357" s="1" t="s">
        <v>13</v>
      </c>
      <c r="G357" s="1">
        <v>571.78</v>
      </c>
      <c r="H357" s="1">
        <v>48.61</v>
      </c>
    </row>
    <row r="358" spans="1:8">
      <c r="A358" s="1" t="s">
        <v>793</v>
      </c>
      <c r="B358" s="1" t="s">
        <v>794</v>
      </c>
      <c r="C358" s="1" t="s">
        <v>678</v>
      </c>
      <c r="D358" s="1" t="s">
        <v>12</v>
      </c>
      <c r="E358" s="1">
        <v>5726</v>
      </c>
      <c r="F358" s="1" t="s">
        <v>13</v>
      </c>
      <c r="G358" s="1">
        <v>550.53</v>
      </c>
      <c r="H358" s="1">
        <v>47.28</v>
      </c>
    </row>
    <row r="359" spans="1:8">
      <c r="A359" s="1" t="s">
        <v>795</v>
      </c>
      <c r="B359" s="1" t="s">
        <v>796</v>
      </c>
      <c r="C359" s="1" t="s">
        <v>678</v>
      </c>
      <c r="D359" s="1" t="s">
        <v>12</v>
      </c>
      <c r="E359" s="1">
        <v>4601</v>
      </c>
      <c r="F359" s="1" t="s">
        <v>13</v>
      </c>
      <c r="G359" s="1">
        <v>490.28</v>
      </c>
      <c r="H359" s="1">
        <v>42.66</v>
      </c>
    </row>
    <row r="360" spans="1:8">
      <c r="A360" s="1" t="s">
        <v>797</v>
      </c>
      <c r="B360" s="1" t="s">
        <v>798</v>
      </c>
      <c r="C360" s="1" t="s">
        <v>678</v>
      </c>
      <c r="D360" s="1" t="s">
        <v>12</v>
      </c>
      <c r="E360" s="1">
        <v>4930</v>
      </c>
      <c r="F360" s="1" t="s">
        <v>13</v>
      </c>
      <c r="G360" s="1">
        <v>514.11</v>
      </c>
      <c r="H360" s="1">
        <v>43.59</v>
      </c>
    </row>
    <row r="361" spans="1:8">
      <c r="A361" s="1" t="s">
        <v>799</v>
      </c>
      <c r="B361" s="1" t="s">
        <v>800</v>
      </c>
      <c r="C361" s="1" t="s">
        <v>678</v>
      </c>
      <c r="D361" s="1" t="s">
        <v>12</v>
      </c>
      <c r="E361" s="1">
        <v>7539</v>
      </c>
      <c r="F361" s="1" t="s">
        <v>13</v>
      </c>
      <c r="G361" s="1">
        <v>754.6</v>
      </c>
      <c r="H361" s="1">
        <v>45.42</v>
      </c>
    </row>
    <row r="362" spans="1:8">
      <c r="A362" s="1" t="s">
        <v>801</v>
      </c>
      <c r="B362" s="1" t="s">
        <v>802</v>
      </c>
      <c r="C362" s="1" t="s">
        <v>678</v>
      </c>
      <c r="D362" s="1" t="s">
        <v>12</v>
      </c>
      <c r="E362" s="1">
        <v>10180</v>
      </c>
      <c r="F362" s="1" t="s">
        <v>13</v>
      </c>
      <c r="G362" s="1">
        <v>978.93</v>
      </c>
      <c r="H362" s="1">
        <v>47.28</v>
      </c>
    </row>
    <row r="363" spans="1:8">
      <c r="A363" s="1" t="s">
        <v>803</v>
      </c>
      <c r="B363" s="1" t="s">
        <v>804</v>
      </c>
      <c r="C363" s="1" t="s">
        <v>678</v>
      </c>
      <c r="D363" s="1" t="s">
        <v>12</v>
      </c>
      <c r="E363" s="1">
        <v>4873</v>
      </c>
      <c r="F363" s="1" t="s">
        <v>13</v>
      </c>
      <c r="G363" s="1">
        <v>477</v>
      </c>
      <c r="H363" s="1">
        <v>46.44</v>
      </c>
    </row>
    <row r="364" spans="1:8">
      <c r="A364" s="1" t="s">
        <v>805</v>
      </c>
      <c r="B364" s="1" t="s">
        <v>806</v>
      </c>
      <c r="C364" s="1" t="s">
        <v>678</v>
      </c>
      <c r="D364" s="1" t="s">
        <v>12</v>
      </c>
      <c r="E364" s="1">
        <v>2471</v>
      </c>
      <c r="F364" s="1" t="s">
        <v>13</v>
      </c>
      <c r="G364" s="1">
        <v>269.44</v>
      </c>
      <c r="H364" s="1">
        <v>41.69</v>
      </c>
    </row>
    <row r="365" spans="1:8">
      <c r="A365" s="1" t="s">
        <v>807</v>
      </c>
      <c r="B365" s="1" t="s">
        <v>808</v>
      </c>
      <c r="C365" s="1" t="s">
        <v>809</v>
      </c>
      <c r="D365" s="1" t="s">
        <v>12</v>
      </c>
      <c r="E365" s="1">
        <v>6975</v>
      </c>
      <c r="F365" s="1" t="s">
        <v>13</v>
      </c>
      <c r="G365" s="1">
        <v>683.46</v>
      </c>
      <c r="H365" s="1">
        <v>46.39</v>
      </c>
    </row>
    <row r="366" spans="1:8">
      <c r="A366" s="1" t="s">
        <v>810</v>
      </c>
      <c r="B366" s="1" t="s">
        <v>811</v>
      </c>
      <c r="C366" s="1" t="s">
        <v>678</v>
      </c>
      <c r="D366" s="1" t="s">
        <v>12</v>
      </c>
      <c r="E366" s="1">
        <v>3663</v>
      </c>
      <c r="F366" s="1" t="s">
        <v>13</v>
      </c>
      <c r="G366" s="1">
        <v>464.34</v>
      </c>
      <c r="H366" s="1">
        <v>35.86</v>
      </c>
    </row>
    <row r="367" spans="1:8">
      <c r="A367" s="1" t="s">
        <v>812</v>
      </c>
      <c r="B367" s="1" t="s">
        <v>813</v>
      </c>
      <c r="C367" s="1" t="s">
        <v>678</v>
      </c>
      <c r="D367" s="1" t="s">
        <v>12</v>
      </c>
      <c r="E367" s="1">
        <v>1935</v>
      </c>
      <c r="F367" s="1" t="s">
        <v>13</v>
      </c>
      <c r="G367" s="1">
        <v>183.2</v>
      </c>
      <c r="H367" s="1">
        <v>48.02</v>
      </c>
    </row>
    <row r="368" spans="1:8">
      <c r="A368" s="1" t="s">
        <v>814</v>
      </c>
      <c r="B368" s="1" t="s">
        <v>815</v>
      </c>
      <c r="C368" s="1" t="s">
        <v>816</v>
      </c>
      <c r="D368" s="1" t="s">
        <v>12</v>
      </c>
      <c r="E368" s="1">
        <v>9632</v>
      </c>
      <c r="F368" s="1" t="s">
        <v>13</v>
      </c>
      <c r="G368" s="1">
        <v>964.91</v>
      </c>
      <c r="H368" s="1">
        <v>45.38</v>
      </c>
    </row>
    <row r="369" spans="1:8">
      <c r="A369" s="1" t="s">
        <v>817</v>
      </c>
      <c r="B369" s="1" t="s">
        <v>818</v>
      </c>
      <c r="C369" s="1" t="s">
        <v>678</v>
      </c>
      <c r="D369" s="1" t="s">
        <v>12</v>
      </c>
      <c r="E369" s="1">
        <v>4713</v>
      </c>
      <c r="F369" s="1" t="s">
        <v>13</v>
      </c>
      <c r="G369" s="1">
        <v>509.6</v>
      </c>
      <c r="H369" s="1">
        <v>42.04</v>
      </c>
    </row>
    <row r="370" spans="1:8">
      <c r="A370" s="1" t="s">
        <v>819</v>
      </c>
      <c r="B370" s="1" t="s">
        <v>820</v>
      </c>
      <c r="C370" s="1" t="s">
        <v>678</v>
      </c>
      <c r="D370" s="1" t="s">
        <v>12</v>
      </c>
      <c r="E370" s="1">
        <v>6158</v>
      </c>
      <c r="F370" s="1" t="s">
        <v>13</v>
      </c>
      <c r="G370" s="1">
        <v>594.32000000000005</v>
      </c>
      <c r="H370" s="1">
        <v>47.1</v>
      </c>
    </row>
    <row r="371" spans="1:8" hidden="1">
      <c r="A371" s="1" t="s">
        <v>821</v>
      </c>
      <c r="B371" s="1" t="s">
        <v>822</v>
      </c>
      <c r="C371" s="1" t="s">
        <v>823</v>
      </c>
      <c r="D371" s="1" t="s">
        <v>12</v>
      </c>
      <c r="E371" s="1">
        <v>124</v>
      </c>
      <c r="F371" s="1" t="s">
        <v>623</v>
      </c>
      <c r="G371" s="1">
        <v>481.05</v>
      </c>
      <c r="H371" s="1">
        <v>0</v>
      </c>
    </row>
    <row r="372" spans="1:8" hidden="1">
      <c r="A372" s="1" t="s">
        <v>824</v>
      </c>
      <c r="B372" s="1" t="s">
        <v>825</v>
      </c>
      <c r="C372" s="1" t="s">
        <v>826</v>
      </c>
      <c r="D372" s="1" t="s">
        <v>12</v>
      </c>
      <c r="E372" s="1">
        <v>0</v>
      </c>
      <c r="F372" s="1" t="s">
        <v>623</v>
      </c>
      <c r="G372" s="1">
        <v>0</v>
      </c>
      <c r="H372" s="1">
        <v>0</v>
      </c>
    </row>
    <row r="373" spans="1:8" hidden="1">
      <c r="A373" s="1" t="s">
        <v>827</v>
      </c>
      <c r="B373" s="1" t="s">
        <v>828</v>
      </c>
      <c r="C373" s="1" t="s">
        <v>829</v>
      </c>
      <c r="D373" s="1" t="s">
        <v>12</v>
      </c>
      <c r="E373" s="1">
        <v>4995</v>
      </c>
      <c r="F373" s="1" t="s">
        <v>623</v>
      </c>
      <c r="G373" s="1">
        <v>52.35</v>
      </c>
      <c r="H373" s="1">
        <v>0</v>
      </c>
    </row>
    <row r="374" spans="1:8" hidden="1">
      <c r="A374" s="1" t="s">
        <v>830</v>
      </c>
      <c r="B374" s="1" t="s">
        <v>831</v>
      </c>
      <c r="C374" s="1" t="s">
        <v>832</v>
      </c>
      <c r="D374" s="1" t="s">
        <v>12</v>
      </c>
      <c r="E374" s="1">
        <v>95</v>
      </c>
      <c r="F374" s="1" t="s">
        <v>623</v>
      </c>
      <c r="G374" s="1">
        <v>374.72</v>
      </c>
      <c r="H374" s="1">
        <v>0</v>
      </c>
    </row>
    <row r="375" spans="1:8" hidden="1">
      <c r="A375" s="1" t="s">
        <v>833</v>
      </c>
      <c r="B375" s="1" t="s">
        <v>834</v>
      </c>
      <c r="C375" s="1" t="s">
        <v>832</v>
      </c>
      <c r="D375" s="1" t="s">
        <v>12</v>
      </c>
      <c r="E375" s="1">
        <v>185</v>
      </c>
      <c r="F375" s="1" t="s">
        <v>623</v>
      </c>
      <c r="G375" s="1">
        <v>618.5</v>
      </c>
      <c r="H375" s="1">
        <v>0</v>
      </c>
    </row>
    <row r="376" spans="1:8" hidden="1">
      <c r="A376" s="1" t="s">
        <v>835</v>
      </c>
      <c r="B376" s="1" t="s">
        <v>836</v>
      </c>
      <c r="C376" s="1" t="s">
        <v>832</v>
      </c>
      <c r="D376" s="1" t="s">
        <v>12</v>
      </c>
      <c r="E376" s="1">
        <v>0</v>
      </c>
      <c r="F376" s="1" t="s">
        <v>623</v>
      </c>
      <c r="G376" s="1">
        <v>0</v>
      </c>
      <c r="H376" s="1">
        <v>0</v>
      </c>
    </row>
    <row r="377" spans="1:8" hidden="1">
      <c r="A377" s="1" t="s">
        <v>837</v>
      </c>
      <c r="B377" s="1" t="s">
        <v>838</v>
      </c>
      <c r="C377" s="1" t="s">
        <v>839</v>
      </c>
      <c r="D377" s="1" t="s">
        <v>12</v>
      </c>
      <c r="E377" s="1">
        <v>0</v>
      </c>
      <c r="F377" s="1" t="s">
        <v>623</v>
      </c>
      <c r="G377" s="1">
        <v>0</v>
      </c>
      <c r="H377" s="1">
        <v>0</v>
      </c>
    </row>
    <row r="378" spans="1:8" hidden="1">
      <c r="A378" s="1" t="s">
        <v>840</v>
      </c>
      <c r="B378" s="1" t="s">
        <v>841</v>
      </c>
      <c r="C378" s="1" t="s">
        <v>832</v>
      </c>
      <c r="D378" s="1" t="s">
        <v>12</v>
      </c>
      <c r="E378" s="1">
        <v>0</v>
      </c>
      <c r="F378" s="1" t="s">
        <v>623</v>
      </c>
      <c r="G378" s="1">
        <v>0</v>
      </c>
      <c r="H378" s="1">
        <v>0</v>
      </c>
    </row>
    <row r="379" spans="1:8" hidden="1">
      <c r="A379" s="1" t="s">
        <v>842</v>
      </c>
      <c r="B379" s="1" t="s">
        <v>843</v>
      </c>
      <c r="C379" s="1" t="s">
        <v>844</v>
      </c>
      <c r="D379" s="1" t="s">
        <v>12</v>
      </c>
      <c r="E379" s="1">
        <v>0</v>
      </c>
      <c r="F379" s="1" t="s">
        <v>623</v>
      </c>
      <c r="G379" s="1">
        <v>0</v>
      </c>
      <c r="H379" s="1">
        <v>0</v>
      </c>
    </row>
    <row r="380" spans="1:8" hidden="1">
      <c r="A380" s="1" t="s">
        <v>845</v>
      </c>
      <c r="B380" s="1" t="s">
        <v>846</v>
      </c>
      <c r="C380" s="1" t="s">
        <v>844</v>
      </c>
      <c r="D380" s="1" t="s">
        <v>12</v>
      </c>
      <c r="E380" s="1">
        <v>0</v>
      </c>
      <c r="F380" s="1" t="s">
        <v>623</v>
      </c>
      <c r="G380" s="1">
        <v>0</v>
      </c>
      <c r="H380" s="1">
        <v>0</v>
      </c>
    </row>
    <row r="381" spans="1:8" hidden="1">
      <c r="A381" s="1" t="s">
        <v>847</v>
      </c>
      <c r="B381" s="1" t="s">
        <v>848</v>
      </c>
      <c r="C381" s="1" t="s">
        <v>832</v>
      </c>
      <c r="D381" s="1" t="s">
        <v>12</v>
      </c>
      <c r="E381" s="1">
        <v>0</v>
      </c>
      <c r="F381" s="1" t="s">
        <v>623</v>
      </c>
      <c r="G381" s="1">
        <v>0</v>
      </c>
      <c r="H381" s="1">
        <v>0</v>
      </c>
    </row>
    <row r="382" spans="1:8" hidden="1">
      <c r="A382" s="1" t="s">
        <v>849</v>
      </c>
      <c r="B382" s="1" t="s">
        <v>850</v>
      </c>
      <c r="C382" s="1" t="s">
        <v>851</v>
      </c>
      <c r="D382" s="1" t="s">
        <v>12</v>
      </c>
      <c r="E382" s="1">
        <v>377</v>
      </c>
      <c r="F382" s="1" t="s">
        <v>623</v>
      </c>
      <c r="G382" s="1">
        <v>1552.24</v>
      </c>
      <c r="H382" s="1">
        <v>0</v>
      </c>
    </row>
    <row r="383" spans="1:8" hidden="1">
      <c r="A383" s="1" t="s">
        <v>852</v>
      </c>
      <c r="B383" s="1" t="s">
        <v>853</v>
      </c>
      <c r="C383" s="1" t="s">
        <v>854</v>
      </c>
      <c r="D383" s="1" t="s">
        <v>12</v>
      </c>
      <c r="E383" s="1">
        <v>0</v>
      </c>
      <c r="F383" s="1" t="s">
        <v>623</v>
      </c>
      <c r="G383" s="1">
        <v>0</v>
      </c>
      <c r="H383" s="1">
        <v>0</v>
      </c>
    </row>
    <row r="384" spans="1:8" hidden="1">
      <c r="A384" s="1" t="s">
        <v>855</v>
      </c>
      <c r="B384" s="1" t="s">
        <v>856</v>
      </c>
      <c r="C384" s="1" t="s">
        <v>851</v>
      </c>
      <c r="D384" s="1" t="s">
        <v>669</v>
      </c>
      <c r="E384" s="1">
        <v>0</v>
      </c>
      <c r="F384" s="1" t="s">
        <v>623</v>
      </c>
      <c r="G384" s="1">
        <v>0</v>
      </c>
      <c r="H384" s="1">
        <v>0</v>
      </c>
    </row>
    <row r="385" spans="1:8" hidden="1">
      <c r="A385" s="1" t="s">
        <v>857</v>
      </c>
      <c r="B385" s="1" t="s">
        <v>858</v>
      </c>
      <c r="C385" s="1" t="s">
        <v>832</v>
      </c>
      <c r="D385" s="1" t="s">
        <v>12</v>
      </c>
      <c r="E385" s="1">
        <v>0</v>
      </c>
      <c r="F385" s="1" t="s">
        <v>623</v>
      </c>
      <c r="G385" s="1">
        <v>0</v>
      </c>
      <c r="H385" s="1">
        <v>0</v>
      </c>
    </row>
    <row r="386" spans="1:8" hidden="1">
      <c r="A386" s="1" t="s">
        <v>859</v>
      </c>
      <c r="B386" s="1" t="s">
        <v>860</v>
      </c>
      <c r="C386" s="1" t="s">
        <v>844</v>
      </c>
      <c r="D386" s="1" t="s">
        <v>12</v>
      </c>
      <c r="E386" s="1">
        <v>0</v>
      </c>
      <c r="F386" s="1" t="s">
        <v>623</v>
      </c>
      <c r="G386" s="1">
        <v>0</v>
      </c>
      <c r="H386" s="1">
        <v>0</v>
      </c>
    </row>
    <row r="387" spans="1:8" hidden="1">
      <c r="A387" s="1" t="s">
        <v>861</v>
      </c>
      <c r="B387" s="1" t="s">
        <v>861</v>
      </c>
      <c r="C387" s="1" t="s">
        <v>862</v>
      </c>
      <c r="D387" s="1" t="s">
        <v>12</v>
      </c>
      <c r="E387" s="1">
        <v>307</v>
      </c>
      <c r="F387" s="1" t="s">
        <v>623</v>
      </c>
      <c r="G387" s="1">
        <v>376.3</v>
      </c>
      <c r="H387" s="1">
        <v>0</v>
      </c>
    </row>
    <row r="388" spans="1:8" hidden="1">
      <c r="A388" s="1" t="s">
        <v>863</v>
      </c>
      <c r="B388" s="1" t="s">
        <v>864</v>
      </c>
      <c r="C388" s="1" t="s">
        <v>865</v>
      </c>
      <c r="D388" s="1" t="s">
        <v>12</v>
      </c>
      <c r="E388" s="1">
        <v>0</v>
      </c>
      <c r="F388" s="1" t="s">
        <v>623</v>
      </c>
      <c r="G388" s="1">
        <v>0</v>
      </c>
      <c r="H388" s="1">
        <v>0</v>
      </c>
    </row>
    <row r="389" spans="1:8" hidden="1">
      <c r="A389" s="1" t="s">
        <v>866</v>
      </c>
      <c r="B389" s="1" t="s">
        <v>867</v>
      </c>
      <c r="C389" s="1" t="s">
        <v>868</v>
      </c>
      <c r="D389" s="1" t="s">
        <v>12</v>
      </c>
      <c r="E389" s="1">
        <v>0</v>
      </c>
      <c r="F389" s="1" t="s">
        <v>623</v>
      </c>
      <c r="G389" s="1">
        <v>18.84</v>
      </c>
      <c r="H389" s="1">
        <v>0</v>
      </c>
    </row>
    <row r="390" spans="1:8" hidden="1">
      <c r="A390" s="1" t="s">
        <v>869</v>
      </c>
      <c r="B390" s="1" t="s">
        <v>869</v>
      </c>
      <c r="C390" s="1" t="s">
        <v>870</v>
      </c>
      <c r="D390" s="1" t="s">
        <v>12</v>
      </c>
      <c r="E390" s="1">
        <v>0</v>
      </c>
      <c r="F390" s="1" t="s">
        <v>623</v>
      </c>
      <c r="G390" s="1">
        <v>0</v>
      </c>
      <c r="H390" s="1">
        <v>0</v>
      </c>
    </row>
    <row r="391" spans="1:8" hidden="1">
      <c r="A391" s="1" t="s">
        <v>871</v>
      </c>
      <c r="B391" s="1" t="s">
        <v>871</v>
      </c>
      <c r="C391" s="1" t="s">
        <v>870</v>
      </c>
      <c r="D391" s="1" t="s">
        <v>12</v>
      </c>
      <c r="E391" s="1">
        <v>0</v>
      </c>
      <c r="F391" s="1" t="s">
        <v>623</v>
      </c>
      <c r="G391" s="1">
        <v>0</v>
      </c>
      <c r="H391" s="1">
        <v>0</v>
      </c>
    </row>
    <row r="392" spans="1:8" hidden="1">
      <c r="A392" s="1" t="s">
        <v>872</v>
      </c>
      <c r="B392" s="1" t="s">
        <v>872</v>
      </c>
      <c r="C392" s="1" t="s">
        <v>873</v>
      </c>
      <c r="D392" s="1" t="s">
        <v>12</v>
      </c>
      <c r="E392" s="1">
        <v>0</v>
      </c>
      <c r="F392" s="1" t="s">
        <v>623</v>
      </c>
      <c r="G392" s="1">
        <v>0</v>
      </c>
      <c r="H392" s="1">
        <v>0</v>
      </c>
    </row>
    <row r="393" spans="1:8" hidden="1">
      <c r="A393" s="1" t="s">
        <v>874</v>
      </c>
      <c r="B393" s="1" t="s">
        <v>875</v>
      </c>
      <c r="C393" s="1" t="s">
        <v>865</v>
      </c>
      <c r="D393" s="1" t="s">
        <v>12</v>
      </c>
      <c r="E393" s="1">
        <v>0</v>
      </c>
      <c r="F393" s="1" t="s">
        <v>623</v>
      </c>
      <c r="G393" s="1">
        <v>22.95</v>
      </c>
      <c r="H393" s="1">
        <v>0</v>
      </c>
    </row>
    <row r="394" spans="1:8" hidden="1">
      <c r="A394" s="1" t="s">
        <v>876</v>
      </c>
      <c r="B394" s="1" t="s">
        <v>876</v>
      </c>
      <c r="C394" s="1" t="s">
        <v>877</v>
      </c>
      <c r="D394" s="1" t="s">
        <v>12</v>
      </c>
      <c r="E394" s="1">
        <v>0</v>
      </c>
      <c r="F394" s="1" t="s">
        <v>623</v>
      </c>
      <c r="G394" s="1">
        <v>0</v>
      </c>
      <c r="H394" s="1">
        <v>0</v>
      </c>
    </row>
    <row r="395" spans="1:8" hidden="1">
      <c r="A395" s="1" t="s">
        <v>878</v>
      </c>
      <c r="B395" s="1" t="s">
        <v>879</v>
      </c>
      <c r="C395" s="1" t="s">
        <v>695</v>
      </c>
      <c r="D395" s="1" t="s">
        <v>12</v>
      </c>
      <c r="E395" s="1">
        <v>1004</v>
      </c>
      <c r="F395" s="1" t="s">
        <v>623</v>
      </c>
      <c r="G395" s="1">
        <v>7615.95</v>
      </c>
      <c r="H395" s="1">
        <v>0</v>
      </c>
    </row>
    <row r="396" spans="1:8" hidden="1">
      <c r="A396" s="1" t="s">
        <v>880</v>
      </c>
      <c r="B396" s="1" t="s">
        <v>881</v>
      </c>
      <c r="C396" s="1" t="s">
        <v>695</v>
      </c>
      <c r="D396" s="1" t="s">
        <v>12</v>
      </c>
      <c r="E396" s="1">
        <v>298</v>
      </c>
      <c r="F396" s="1" t="s">
        <v>623</v>
      </c>
      <c r="G396" s="1">
        <v>2267.4899999999998</v>
      </c>
      <c r="H396" s="1">
        <v>0</v>
      </c>
    </row>
    <row r="397" spans="1:8" hidden="1">
      <c r="A397" s="1" t="s">
        <v>882</v>
      </c>
      <c r="B397" s="1" t="s">
        <v>883</v>
      </c>
      <c r="C397" s="1" t="s">
        <v>695</v>
      </c>
      <c r="D397" s="1" t="s">
        <v>12</v>
      </c>
      <c r="E397" s="1">
        <v>1242</v>
      </c>
      <c r="F397" s="1" t="s">
        <v>623</v>
      </c>
      <c r="G397" s="1">
        <v>9024.42</v>
      </c>
      <c r="H397" s="1">
        <v>0</v>
      </c>
    </row>
    <row r="398" spans="1:8" hidden="1">
      <c r="A398" s="1" t="s">
        <v>884</v>
      </c>
      <c r="B398" s="1" t="s">
        <v>885</v>
      </c>
      <c r="C398" s="1" t="s">
        <v>695</v>
      </c>
      <c r="D398" s="1" t="s">
        <v>12</v>
      </c>
      <c r="E398" s="1">
        <v>1233</v>
      </c>
      <c r="F398" s="1" t="s">
        <v>623</v>
      </c>
      <c r="G398" s="1">
        <v>9028.58</v>
      </c>
      <c r="H398" s="1">
        <v>0</v>
      </c>
    </row>
    <row r="399" spans="1:8" hidden="1">
      <c r="A399" s="1" t="s">
        <v>886</v>
      </c>
      <c r="B399" s="1" t="s">
        <v>887</v>
      </c>
      <c r="C399" s="1" t="s">
        <v>695</v>
      </c>
      <c r="D399" s="1" t="s">
        <v>12</v>
      </c>
      <c r="E399" s="1">
        <v>516</v>
      </c>
      <c r="F399" s="1" t="s">
        <v>623</v>
      </c>
      <c r="G399" s="1">
        <v>3464.39</v>
      </c>
      <c r="H399" s="1">
        <v>0</v>
      </c>
    </row>
    <row r="400" spans="1:8" hidden="1">
      <c r="A400" s="1" t="s">
        <v>888</v>
      </c>
      <c r="B400" s="1" t="s">
        <v>889</v>
      </c>
      <c r="C400" s="1" t="s">
        <v>695</v>
      </c>
      <c r="D400" s="1" t="s">
        <v>12</v>
      </c>
      <c r="E400" s="1">
        <v>330</v>
      </c>
      <c r="F400" s="1" t="s">
        <v>623</v>
      </c>
      <c r="G400" s="1">
        <v>2385.2600000000002</v>
      </c>
      <c r="H400" s="1">
        <v>0</v>
      </c>
    </row>
    <row r="401" spans="1:8" hidden="1">
      <c r="A401" s="1" t="s">
        <v>890</v>
      </c>
      <c r="B401" s="1" t="s">
        <v>891</v>
      </c>
      <c r="C401" s="1" t="s">
        <v>695</v>
      </c>
      <c r="D401" s="1" t="s">
        <v>12</v>
      </c>
      <c r="E401" s="1">
        <v>401</v>
      </c>
      <c r="F401" s="1" t="s">
        <v>623</v>
      </c>
      <c r="G401" s="1">
        <v>3113.6</v>
      </c>
      <c r="H401" s="1">
        <v>0</v>
      </c>
    </row>
    <row r="402" spans="1:8">
      <c r="A402" s="1" t="s">
        <v>892</v>
      </c>
      <c r="B402" s="1" t="s">
        <v>893</v>
      </c>
      <c r="C402" s="1" t="s">
        <v>894</v>
      </c>
      <c r="D402" s="1" t="s">
        <v>12</v>
      </c>
      <c r="E402" s="1">
        <v>398</v>
      </c>
      <c r="F402" s="1" t="s">
        <v>13</v>
      </c>
      <c r="G402" s="1">
        <v>3981.9</v>
      </c>
      <c r="H402" s="1">
        <v>0.45</v>
      </c>
    </row>
    <row r="403" spans="1:8" hidden="1">
      <c r="A403" s="1" t="s">
        <v>895</v>
      </c>
      <c r="B403" s="1" t="s">
        <v>896</v>
      </c>
      <c r="C403" s="1" t="s">
        <v>695</v>
      </c>
      <c r="D403" s="1" t="s">
        <v>12</v>
      </c>
      <c r="E403" s="1">
        <v>386</v>
      </c>
      <c r="F403" s="1" t="s">
        <v>623</v>
      </c>
      <c r="G403" s="1">
        <v>3238.88</v>
      </c>
      <c r="H403" s="1">
        <v>0</v>
      </c>
    </row>
    <row r="404" spans="1:8" hidden="1">
      <c r="A404" s="1" t="s">
        <v>897</v>
      </c>
      <c r="B404" s="1" t="s">
        <v>898</v>
      </c>
      <c r="C404" s="1" t="s">
        <v>899</v>
      </c>
      <c r="D404" s="1" t="s">
        <v>12</v>
      </c>
      <c r="E404" s="1">
        <v>0</v>
      </c>
      <c r="F404" s="1" t="s">
        <v>623</v>
      </c>
      <c r="G404" s="1">
        <v>0</v>
      </c>
      <c r="H404" s="1">
        <v>0</v>
      </c>
    </row>
    <row r="405" spans="1:8" hidden="1">
      <c r="A405" s="1" t="s">
        <v>900</v>
      </c>
      <c r="B405" s="1" t="s">
        <v>901</v>
      </c>
      <c r="C405" s="1" t="s">
        <v>902</v>
      </c>
      <c r="D405" s="1" t="s">
        <v>12</v>
      </c>
      <c r="E405" s="1">
        <v>0</v>
      </c>
      <c r="F405" s="1" t="s">
        <v>623</v>
      </c>
      <c r="G405" s="1">
        <v>0</v>
      </c>
      <c r="H405" s="1">
        <v>0</v>
      </c>
    </row>
    <row r="406" spans="1:8" hidden="1">
      <c r="A406" s="1" t="s">
        <v>903</v>
      </c>
      <c r="B406" s="1" t="s">
        <v>904</v>
      </c>
      <c r="C406" s="1" t="s">
        <v>905</v>
      </c>
      <c r="D406" s="1" t="s">
        <v>12</v>
      </c>
      <c r="E406" s="1">
        <v>0</v>
      </c>
      <c r="F406" s="1" t="s">
        <v>623</v>
      </c>
      <c r="G406" s="1">
        <v>0</v>
      </c>
      <c r="H406" s="1">
        <v>0</v>
      </c>
    </row>
    <row r="407" spans="1:8" hidden="1">
      <c r="A407" s="1" t="s">
        <v>906</v>
      </c>
      <c r="B407" s="1" t="s">
        <v>906</v>
      </c>
      <c r="C407" s="1" t="s">
        <v>907</v>
      </c>
      <c r="D407" s="1" t="s">
        <v>12</v>
      </c>
      <c r="E407" s="1">
        <v>12</v>
      </c>
      <c r="F407" s="1" t="s">
        <v>623</v>
      </c>
      <c r="G407" s="1">
        <v>40.549999999999997</v>
      </c>
      <c r="H407" s="1">
        <v>0</v>
      </c>
    </row>
    <row r="408" spans="1:8" hidden="1">
      <c r="A408" s="1" t="s">
        <v>908</v>
      </c>
      <c r="B408" s="1" t="s">
        <v>908</v>
      </c>
      <c r="C408" s="1" t="s">
        <v>907</v>
      </c>
      <c r="D408" s="1" t="s">
        <v>12</v>
      </c>
      <c r="E408" s="1">
        <v>0</v>
      </c>
      <c r="F408" s="1" t="s">
        <v>623</v>
      </c>
      <c r="G408" s="1">
        <v>0</v>
      </c>
      <c r="H408" s="1">
        <v>0</v>
      </c>
    </row>
    <row r="409" spans="1:8" hidden="1">
      <c r="A409" s="1" t="s">
        <v>909</v>
      </c>
      <c r="B409" s="1" t="s">
        <v>909</v>
      </c>
      <c r="C409" s="1" t="s">
        <v>910</v>
      </c>
      <c r="D409" s="1" t="s">
        <v>12</v>
      </c>
      <c r="E409" s="1">
        <v>0</v>
      </c>
      <c r="F409" s="1" t="s">
        <v>623</v>
      </c>
      <c r="G409" s="1">
        <v>0</v>
      </c>
      <c r="H409" s="1">
        <v>0</v>
      </c>
    </row>
    <row r="410" spans="1:8" hidden="1">
      <c r="A410" s="1" t="s">
        <v>911</v>
      </c>
      <c r="B410" s="1" t="s">
        <v>911</v>
      </c>
      <c r="C410" s="1" t="s">
        <v>912</v>
      </c>
      <c r="D410" s="1" t="s">
        <v>12</v>
      </c>
      <c r="E410" s="1">
        <v>0</v>
      </c>
      <c r="F410" s="1" t="s">
        <v>623</v>
      </c>
      <c r="G410" s="1">
        <v>0</v>
      </c>
      <c r="H410" s="1">
        <v>0</v>
      </c>
    </row>
    <row r="411" spans="1:8" hidden="1">
      <c r="A411" s="1" t="s">
        <v>913</v>
      </c>
      <c r="B411" s="1" t="s">
        <v>913</v>
      </c>
      <c r="C411" s="1" t="s">
        <v>914</v>
      </c>
      <c r="D411" s="1" t="s">
        <v>12</v>
      </c>
      <c r="E411" s="1">
        <v>0</v>
      </c>
      <c r="F411" s="1" t="s">
        <v>623</v>
      </c>
      <c r="G411" s="1">
        <v>0</v>
      </c>
      <c r="H411" s="1">
        <v>0</v>
      </c>
    </row>
    <row r="412" spans="1:8" hidden="1">
      <c r="A412" s="1" t="s">
        <v>915</v>
      </c>
      <c r="B412" s="1" t="s">
        <v>915</v>
      </c>
      <c r="C412" s="1" t="s">
        <v>914</v>
      </c>
      <c r="D412" s="1" t="s">
        <v>12</v>
      </c>
      <c r="E412" s="1">
        <v>0</v>
      </c>
      <c r="F412" s="1" t="s">
        <v>623</v>
      </c>
      <c r="G412" s="1">
        <v>0</v>
      </c>
      <c r="H412" s="1">
        <v>0</v>
      </c>
    </row>
    <row r="413" spans="1:8" hidden="1">
      <c r="A413" s="1" t="s">
        <v>916</v>
      </c>
      <c r="B413" s="1" t="s">
        <v>917</v>
      </c>
      <c r="C413" s="1" t="s">
        <v>755</v>
      </c>
      <c r="D413" s="1" t="s">
        <v>12</v>
      </c>
      <c r="E413" s="1">
        <v>0</v>
      </c>
      <c r="F413" s="1" t="s">
        <v>623</v>
      </c>
      <c r="G413" s="1">
        <v>16.23</v>
      </c>
      <c r="H413" s="1">
        <v>0</v>
      </c>
    </row>
    <row r="414" spans="1:8" hidden="1">
      <c r="A414" s="1" t="s">
        <v>918</v>
      </c>
      <c r="B414" s="1" t="s">
        <v>919</v>
      </c>
      <c r="C414" s="1" t="s">
        <v>920</v>
      </c>
      <c r="D414" s="1" t="s">
        <v>12</v>
      </c>
      <c r="E414" s="1">
        <v>33</v>
      </c>
      <c r="F414" s="1" t="s">
        <v>623</v>
      </c>
      <c r="G414" s="1">
        <v>170.99</v>
      </c>
      <c r="H414" s="1">
        <v>0</v>
      </c>
    </row>
    <row r="415" spans="1:8" hidden="1">
      <c r="A415" s="1" t="s">
        <v>921</v>
      </c>
      <c r="B415" s="1" t="s">
        <v>922</v>
      </c>
      <c r="C415" s="1" t="s">
        <v>923</v>
      </c>
      <c r="D415" s="1" t="s">
        <v>12</v>
      </c>
      <c r="E415" s="1">
        <v>0</v>
      </c>
      <c r="F415" s="1" t="s">
        <v>623</v>
      </c>
      <c r="G415" s="1">
        <v>0</v>
      </c>
      <c r="H415" s="1">
        <v>0</v>
      </c>
    </row>
    <row r="416" spans="1:8" hidden="1">
      <c r="A416" s="1" t="s">
        <v>924</v>
      </c>
      <c r="B416" s="1" t="s">
        <v>925</v>
      </c>
      <c r="C416" s="1" t="s">
        <v>926</v>
      </c>
      <c r="D416" s="1" t="s">
        <v>12</v>
      </c>
      <c r="E416" s="1">
        <v>0</v>
      </c>
      <c r="F416" s="1" t="s">
        <v>623</v>
      </c>
      <c r="G416" s="1">
        <v>0</v>
      </c>
      <c r="H416" s="1">
        <v>0</v>
      </c>
    </row>
    <row r="417" spans="1:8">
      <c r="A417" s="1" t="s">
        <v>927</v>
      </c>
      <c r="B417" s="1" t="s">
        <v>928</v>
      </c>
      <c r="C417" s="1" t="s">
        <v>929</v>
      </c>
      <c r="D417" s="1" t="s">
        <v>12</v>
      </c>
      <c r="E417" s="1">
        <v>7336</v>
      </c>
      <c r="F417" s="1" t="s">
        <v>13</v>
      </c>
      <c r="G417" s="1">
        <v>1008.47</v>
      </c>
      <c r="H417" s="1">
        <v>33.07</v>
      </c>
    </row>
    <row r="418" spans="1:8">
      <c r="A418" s="1" t="s">
        <v>930</v>
      </c>
      <c r="B418" s="1" t="s">
        <v>931</v>
      </c>
      <c r="C418" s="1" t="s">
        <v>929</v>
      </c>
      <c r="D418" s="1" t="s">
        <v>12</v>
      </c>
      <c r="E418" s="1">
        <v>7109</v>
      </c>
      <c r="F418" s="1" t="s">
        <v>13</v>
      </c>
      <c r="G418" s="1">
        <v>1171.72</v>
      </c>
      <c r="H418" s="1">
        <v>27.58</v>
      </c>
    </row>
    <row r="419" spans="1:8" hidden="1">
      <c r="A419" s="1" t="s">
        <v>932</v>
      </c>
      <c r="B419" s="1" t="s">
        <v>933</v>
      </c>
      <c r="C419" s="1" t="s">
        <v>934</v>
      </c>
      <c r="D419" s="1" t="s">
        <v>12</v>
      </c>
      <c r="E419" s="1">
        <v>0</v>
      </c>
      <c r="F419" s="1" t="s">
        <v>623</v>
      </c>
      <c r="G419" s="1">
        <v>24.71</v>
      </c>
      <c r="H419" s="1">
        <v>0</v>
      </c>
    </row>
    <row r="420" spans="1:8">
      <c r="A420" s="1" t="s">
        <v>935</v>
      </c>
      <c r="B420" s="1" t="s">
        <v>936</v>
      </c>
      <c r="C420" s="1" t="s">
        <v>937</v>
      </c>
      <c r="D420" s="1" t="s">
        <v>12</v>
      </c>
      <c r="E420" s="1">
        <v>6242</v>
      </c>
      <c r="F420" s="1" t="s">
        <v>13</v>
      </c>
      <c r="G420" s="1">
        <v>816.02</v>
      </c>
      <c r="H420" s="1">
        <v>34.770000000000003</v>
      </c>
    </row>
    <row r="421" spans="1:8">
      <c r="A421" s="1" t="s">
        <v>938</v>
      </c>
      <c r="B421" s="1" t="s">
        <v>939</v>
      </c>
      <c r="C421" s="1" t="s">
        <v>937</v>
      </c>
      <c r="D421" s="1" t="s">
        <v>12</v>
      </c>
      <c r="E421" s="1">
        <v>17611</v>
      </c>
      <c r="F421" s="1" t="s">
        <v>13</v>
      </c>
      <c r="G421" s="1">
        <v>2472.35</v>
      </c>
      <c r="H421" s="1">
        <v>32.380000000000003</v>
      </c>
    </row>
    <row r="422" spans="1:8">
      <c r="A422" s="1" t="s">
        <v>940</v>
      </c>
      <c r="B422" s="1" t="s">
        <v>941</v>
      </c>
      <c r="C422" s="1" t="s">
        <v>937</v>
      </c>
      <c r="D422" s="1" t="s">
        <v>12</v>
      </c>
      <c r="E422" s="1">
        <v>17143</v>
      </c>
      <c r="F422" s="1" t="s">
        <v>13</v>
      </c>
      <c r="G422" s="1">
        <v>2364.13</v>
      </c>
      <c r="H422" s="1">
        <v>32.97</v>
      </c>
    </row>
    <row r="423" spans="1:8">
      <c r="A423" s="1" t="s">
        <v>942</v>
      </c>
      <c r="B423" s="1" t="s">
        <v>943</v>
      </c>
      <c r="C423" s="1" t="s">
        <v>937</v>
      </c>
      <c r="D423" s="1" t="s">
        <v>12</v>
      </c>
      <c r="E423" s="1">
        <v>7941</v>
      </c>
      <c r="F423" s="1" t="s">
        <v>13</v>
      </c>
      <c r="G423" s="1">
        <v>1222.6300000000001</v>
      </c>
      <c r="H423" s="1">
        <v>29.53</v>
      </c>
    </row>
    <row r="424" spans="1:8">
      <c r="A424" s="1" t="s">
        <v>944</v>
      </c>
      <c r="B424" s="1" t="s">
        <v>945</v>
      </c>
      <c r="C424" s="1" t="s">
        <v>937</v>
      </c>
      <c r="D424" s="1" t="s">
        <v>12</v>
      </c>
      <c r="E424" s="1">
        <v>5788</v>
      </c>
      <c r="F424" s="1" t="s">
        <v>13</v>
      </c>
      <c r="G424" s="1">
        <v>990.37</v>
      </c>
      <c r="H424" s="1">
        <v>26.57</v>
      </c>
    </row>
    <row r="425" spans="1:8">
      <c r="A425" s="1" t="s">
        <v>946</v>
      </c>
      <c r="B425" s="1" t="s">
        <v>947</v>
      </c>
      <c r="C425" s="1" t="s">
        <v>937</v>
      </c>
      <c r="D425" s="1" t="s">
        <v>12</v>
      </c>
      <c r="E425" s="1">
        <v>2245</v>
      </c>
      <c r="F425" s="1" t="s">
        <v>13</v>
      </c>
      <c r="G425" s="1">
        <v>444.55</v>
      </c>
      <c r="H425" s="1">
        <v>22.96</v>
      </c>
    </row>
    <row r="426" spans="1:8">
      <c r="A426" s="1" t="s">
        <v>948</v>
      </c>
      <c r="B426" s="1" t="s">
        <v>949</v>
      </c>
      <c r="C426" s="1" t="s">
        <v>937</v>
      </c>
      <c r="D426" s="1" t="s">
        <v>12</v>
      </c>
      <c r="E426" s="1">
        <v>10283</v>
      </c>
      <c r="F426" s="1" t="s">
        <v>13</v>
      </c>
      <c r="G426" s="1">
        <v>1471.98</v>
      </c>
      <c r="H426" s="1">
        <v>31.76</v>
      </c>
    </row>
    <row r="427" spans="1:8">
      <c r="A427" s="1" t="s">
        <v>950</v>
      </c>
      <c r="B427" s="1" t="s">
        <v>951</v>
      </c>
      <c r="C427" s="1" t="s">
        <v>937</v>
      </c>
      <c r="D427" s="1" t="s">
        <v>12</v>
      </c>
      <c r="E427" s="1">
        <v>12062</v>
      </c>
      <c r="F427" s="1" t="s">
        <v>13</v>
      </c>
      <c r="G427" s="1">
        <v>1749.99</v>
      </c>
      <c r="H427" s="1">
        <v>31.33</v>
      </c>
    </row>
    <row r="428" spans="1:8">
      <c r="A428" s="1" t="s">
        <v>952</v>
      </c>
      <c r="B428" s="1" t="s">
        <v>953</v>
      </c>
      <c r="C428" s="1" t="s">
        <v>937</v>
      </c>
      <c r="D428" s="1" t="s">
        <v>12</v>
      </c>
      <c r="E428" s="1">
        <v>3158</v>
      </c>
      <c r="F428" s="1" t="s">
        <v>13</v>
      </c>
      <c r="G428" s="1">
        <v>524.95000000000005</v>
      </c>
      <c r="H428" s="1">
        <v>27.35</v>
      </c>
    </row>
    <row r="429" spans="1:8">
      <c r="A429" s="1" t="s">
        <v>954</v>
      </c>
      <c r="B429" s="1" t="s">
        <v>955</v>
      </c>
      <c r="C429" s="1" t="s">
        <v>937</v>
      </c>
      <c r="D429" s="1" t="s">
        <v>12</v>
      </c>
      <c r="E429" s="1">
        <v>8200</v>
      </c>
      <c r="F429" s="1" t="s">
        <v>13</v>
      </c>
      <c r="G429" s="1">
        <v>1190.8800000000001</v>
      </c>
      <c r="H429" s="1">
        <v>31.3</v>
      </c>
    </row>
    <row r="430" spans="1:8">
      <c r="A430" s="1" t="s">
        <v>956</v>
      </c>
      <c r="B430" s="1" t="s">
        <v>957</v>
      </c>
      <c r="C430" s="1" t="s">
        <v>937</v>
      </c>
      <c r="D430" s="1" t="s">
        <v>12</v>
      </c>
      <c r="E430" s="1">
        <v>10855</v>
      </c>
      <c r="F430" s="1" t="s">
        <v>13</v>
      </c>
      <c r="G430" s="1">
        <v>1563.32</v>
      </c>
      <c r="H430" s="1">
        <v>31.57</v>
      </c>
    </row>
    <row r="431" spans="1:8">
      <c r="A431" s="1" t="s">
        <v>958</v>
      </c>
      <c r="B431" s="1" t="s">
        <v>959</v>
      </c>
      <c r="C431" s="1" t="s">
        <v>937</v>
      </c>
      <c r="D431" s="1" t="s">
        <v>12</v>
      </c>
      <c r="E431" s="1">
        <v>5689</v>
      </c>
      <c r="F431" s="1" t="s">
        <v>13</v>
      </c>
      <c r="G431" s="1">
        <v>988.94</v>
      </c>
      <c r="H431" s="1">
        <v>26.15</v>
      </c>
    </row>
    <row r="432" spans="1:8">
      <c r="A432" s="1" t="s">
        <v>960</v>
      </c>
      <c r="B432" s="1" t="s">
        <v>961</v>
      </c>
      <c r="C432" s="1" t="s">
        <v>937</v>
      </c>
      <c r="D432" s="1" t="s">
        <v>12</v>
      </c>
      <c r="E432" s="1">
        <v>5963</v>
      </c>
      <c r="F432" s="1" t="s">
        <v>13</v>
      </c>
      <c r="G432" s="1">
        <v>1006.91</v>
      </c>
      <c r="H432" s="1">
        <v>26.92</v>
      </c>
    </row>
    <row r="433" spans="1:8">
      <c r="A433" s="1" t="s">
        <v>962</v>
      </c>
      <c r="B433" s="1" t="s">
        <v>963</v>
      </c>
      <c r="C433" s="1" t="s">
        <v>937</v>
      </c>
      <c r="D433" s="1" t="s">
        <v>12</v>
      </c>
      <c r="E433" s="1">
        <v>6555</v>
      </c>
      <c r="F433" s="1" t="s">
        <v>13</v>
      </c>
      <c r="G433" s="1">
        <v>983.19</v>
      </c>
      <c r="H433" s="1">
        <v>30.31</v>
      </c>
    </row>
    <row r="434" spans="1:8">
      <c r="A434" s="1" t="s">
        <v>964</v>
      </c>
      <c r="B434" s="1" t="s">
        <v>965</v>
      </c>
      <c r="C434" s="1" t="s">
        <v>937</v>
      </c>
      <c r="D434" s="1" t="s">
        <v>12</v>
      </c>
      <c r="E434" s="1">
        <v>11193</v>
      </c>
      <c r="F434" s="1" t="s">
        <v>13</v>
      </c>
      <c r="G434" s="1">
        <v>1584.89</v>
      </c>
      <c r="H434" s="1">
        <v>32.11</v>
      </c>
    </row>
    <row r="435" spans="1:8">
      <c r="A435" s="1" t="s">
        <v>966</v>
      </c>
      <c r="B435" s="1" t="s">
        <v>967</v>
      </c>
      <c r="C435" s="1" t="s">
        <v>968</v>
      </c>
      <c r="D435" s="1" t="s">
        <v>12</v>
      </c>
      <c r="E435" s="1">
        <v>5086</v>
      </c>
      <c r="F435" s="1" t="s">
        <v>13</v>
      </c>
      <c r="G435" s="1">
        <v>684.2</v>
      </c>
      <c r="H435" s="1">
        <v>33.79</v>
      </c>
    </row>
    <row r="436" spans="1:8">
      <c r="A436" s="1" t="s">
        <v>969</v>
      </c>
      <c r="B436" s="1" t="s">
        <v>970</v>
      </c>
      <c r="C436" s="1" t="s">
        <v>937</v>
      </c>
      <c r="D436" s="1" t="s">
        <v>12</v>
      </c>
      <c r="E436" s="1">
        <v>7908</v>
      </c>
      <c r="F436" s="1" t="s">
        <v>13</v>
      </c>
      <c r="G436" s="1">
        <v>1085.1600000000001</v>
      </c>
      <c r="H436" s="1">
        <v>33.130000000000003</v>
      </c>
    </row>
    <row r="437" spans="1:8">
      <c r="A437" s="1" t="s">
        <v>971</v>
      </c>
      <c r="B437" s="1" t="s">
        <v>972</v>
      </c>
      <c r="C437" s="1" t="s">
        <v>968</v>
      </c>
      <c r="D437" s="1" t="s">
        <v>12</v>
      </c>
      <c r="E437" s="1">
        <v>6472</v>
      </c>
      <c r="F437" s="1" t="s">
        <v>13</v>
      </c>
      <c r="G437" s="1">
        <v>946.25</v>
      </c>
      <c r="H437" s="1">
        <v>31.09</v>
      </c>
    </row>
    <row r="438" spans="1:8">
      <c r="A438" s="1" t="s">
        <v>973</v>
      </c>
      <c r="B438" s="1" t="s">
        <v>974</v>
      </c>
      <c r="C438" s="1" t="s">
        <v>968</v>
      </c>
      <c r="D438" s="1" t="s">
        <v>12</v>
      </c>
      <c r="E438" s="1">
        <v>14818</v>
      </c>
      <c r="F438" s="1" t="s">
        <v>13</v>
      </c>
      <c r="G438" s="1">
        <v>1989.44</v>
      </c>
      <c r="H438" s="1">
        <v>33.86</v>
      </c>
    </row>
    <row r="439" spans="1:8">
      <c r="A439" s="1" t="s">
        <v>975</v>
      </c>
      <c r="B439" s="1" t="s">
        <v>976</v>
      </c>
      <c r="C439" s="1" t="s">
        <v>968</v>
      </c>
      <c r="D439" s="1" t="s">
        <v>12</v>
      </c>
      <c r="E439" s="1">
        <v>11144</v>
      </c>
      <c r="F439" s="1" t="s">
        <v>13</v>
      </c>
      <c r="G439" s="1">
        <v>1533.14</v>
      </c>
      <c r="H439" s="1">
        <v>33.04</v>
      </c>
    </row>
    <row r="440" spans="1:8">
      <c r="A440" s="1" t="s">
        <v>977</v>
      </c>
      <c r="B440" s="1" t="s">
        <v>978</v>
      </c>
      <c r="C440" s="1" t="s">
        <v>968</v>
      </c>
      <c r="D440" s="1" t="s">
        <v>12</v>
      </c>
      <c r="E440" s="1">
        <v>7385</v>
      </c>
      <c r="F440" s="1" t="s">
        <v>13</v>
      </c>
      <c r="G440" s="1">
        <v>1118.73</v>
      </c>
      <c r="H440" s="1">
        <v>30.01</v>
      </c>
    </row>
    <row r="441" spans="1:8">
      <c r="A441" s="1" t="s">
        <v>979</v>
      </c>
      <c r="B441" s="1" t="s">
        <v>980</v>
      </c>
      <c r="C441" s="1" t="s">
        <v>937</v>
      </c>
      <c r="D441" s="1" t="s">
        <v>12</v>
      </c>
      <c r="E441" s="1">
        <v>6151</v>
      </c>
      <c r="F441" s="1" t="s">
        <v>13</v>
      </c>
      <c r="G441" s="1">
        <v>1250.28</v>
      </c>
      <c r="H441" s="1">
        <v>22.37</v>
      </c>
    </row>
    <row r="442" spans="1:8">
      <c r="A442" s="1" t="s">
        <v>981</v>
      </c>
      <c r="B442" s="1" t="s">
        <v>982</v>
      </c>
      <c r="C442" s="1" t="s">
        <v>968</v>
      </c>
      <c r="D442" s="1" t="s">
        <v>12</v>
      </c>
      <c r="E442" s="1">
        <v>9579</v>
      </c>
      <c r="F442" s="1" t="s">
        <v>13</v>
      </c>
      <c r="G442" s="1">
        <v>1388.18</v>
      </c>
      <c r="H442" s="1">
        <v>31.37</v>
      </c>
    </row>
    <row r="443" spans="1:8">
      <c r="A443" s="1" t="s">
        <v>983</v>
      </c>
      <c r="B443" s="1" t="s">
        <v>984</v>
      </c>
      <c r="C443" s="1" t="s">
        <v>968</v>
      </c>
      <c r="D443" s="1" t="s">
        <v>12</v>
      </c>
      <c r="E443" s="1">
        <v>11272</v>
      </c>
      <c r="F443" s="1" t="s">
        <v>13</v>
      </c>
      <c r="G443" s="1">
        <v>1649.68</v>
      </c>
      <c r="H443" s="1">
        <v>31.06</v>
      </c>
    </row>
    <row r="444" spans="1:8">
      <c r="A444" s="1" t="s">
        <v>985</v>
      </c>
      <c r="B444" s="1" t="s">
        <v>986</v>
      </c>
      <c r="C444" s="1" t="s">
        <v>968</v>
      </c>
      <c r="D444" s="1" t="s">
        <v>12</v>
      </c>
      <c r="E444" s="1">
        <v>12757</v>
      </c>
      <c r="F444" s="1" t="s">
        <v>13</v>
      </c>
      <c r="G444" s="1">
        <v>1888.3</v>
      </c>
      <c r="H444" s="1">
        <v>30.71</v>
      </c>
    </row>
    <row r="445" spans="1:8">
      <c r="A445" s="1" t="s">
        <v>987</v>
      </c>
      <c r="B445" s="1" t="s">
        <v>988</v>
      </c>
      <c r="C445" s="1" t="s">
        <v>937</v>
      </c>
      <c r="D445" s="1" t="s">
        <v>12</v>
      </c>
      <c r="E445" s="1">
        <v>12113</v>
      </c>
      <c r="F445" s="1" t="s">
        <v>13</v>
      </c>
      <c r="G445" s="1">
        <v>1713.01</v>
      </c>
      <c r="H445" s="1">
        <v>32.15</v>
      </c>
    </row>
    <row r="446" spans="1:8">
      <c r="A446" s="1" t="s">
        <v>989</v>
      </c>
      <c r="B446" s="1" t="s">
        <v>990</v>
      </c>
      <c r="C446" s="1" t="s">
        <v>937</v>
      </c>
      <c r="D446" s="1" t="s">
        <v>12</v>
      </c>
      <c r="E446" s="1">
        <v>9895</v>
      </c>
      <c r="F446" s="1" t="s">
        <v>13</v>
      </c>
      <c r="G446" s="1">
        <v>1249.48</v>
      </c>
      <c r="H446" s="1">
        <v>36</v>
      </c>
    </row>
    <row r="447" spans="1:8">
      <c r="A447" s="1" t="s">
        <v>991</v>
      </c>
      <c r="B447" s="1" t="s">
        <v>992</v>
      </c>
      <c r="C447" s="1" t="s">
        <v>993</v>
      </c>
      <c r="D447" s="1" t="s">
        <v>12</v>
      </c>
      <c r="E447" s="1">
        <v>8026</v>
      </c>
      <c r="F447" s="1" t="s">
        <v>13</v>
      </c>
      <c r="G447" s="1">
        <v>1097.44</v>
      </c>
      <c r="H447" s="1">
        <v>33.25</v>
      </c>
    </row>
    <row r="448" spans="1:8">
      <c r="A448" s="1" t="s">
        <v>994</v>
      </c>
      <c r="B448" s="1" t="s">
        <v>980</v>
      </c>
      <c r="C448" s="1" t="s">
        <v>968</v>
      </c>
      <c r="D448" s="1" t="s">
        <v>12</v>
      </c>
      <c r="E448" s="1">
        <v>11287</v>
      </c>
      <c r="F448" s="1" t="s">
        <v>13</v>
      </c>
      <c r="G448" s="1">
        <v>1436.14</v>
      </c>
      <c r="H448" s="1">
        <v>35.729999999999997</v>
      </c>
    </row>
    <row r="449" spans="1:8">
      <c r="A449" s="1" t="s">
        <v>995</v>
      </c>
      <c r="B449" s="1" t="s">
        <v>996</v>
      </c>
      <c r="C449" s="1" t="s">
        <v>937</v>
      </c>
      <c r="D449" s="1" t="s">
        <v>12</v>
      </c>
      <c r="E449" s="1">
        <v>1069</v>
      </c>
      <c r="F449" s="1" t="s">
        <v>13</v>
      </c>
      <c r="G449" s="1">
        <v>147.44</v>
      </c>
      <c r="H449" s="1">
        <v>32.96</v>
      </c>
    </row>
    <row r="450" spans="1:8">
      <c r="A450" s="1" t="s">
        <v>997</v>
      </c>
      <c r="B450" s="1" t="s">
        <v>998</v>
      </c>
      <c r="C450" s="1" t="s">
        <v>937</v>
      </c>
      <c r="D450" s="1" t="s">
        <v>12</v>
      </c>
      <c r="E450" s="1">
        <v>8345</v>
      </c>
      <c r="F450" s="1" t="s">
        <v>13</v>
      </c>
      <c r="G450" s="1">
        <v>1248.7</v>
      </c>
      <c r="H450" s="1">
        <v>30.38</v>
      </c>
    </row>
    <row r="451" spans="1:8">
      <c r="A451" s="1" t="s">
        <v>999</v>
      </c>
      <c r="B451" s="1" t="s">
        <v>1000</v>
      </c>
      <c r="C451" s="1" t="s">
        <v>1001</v>
      </c>
      <c r="D451" s="1" t="s">
        <v>12</v>
      </c>
      <c r="E451" s="1">
        <v>2482</v>
      </c>
      <c r="F451" s="1" t="s">
        <v>13</v>
      </c>
      <c r="G451" s="1">
        <v>341.14</v>
      </c>
      <c r="H451" s="1">
        <v>33.08</v>
      </c>
    </row>
    <row r="452" spans="1:8">
      <c r="A452" s="1" t="s">
        <v>1002</v>
      </c>
      <c r="B452" s="1" t="s">
        <v>1003</v>
      </c>
      <c r="C452" s="1" t="s">
        <v>937</v>
      </c>
      <c r="D452" s="1" t="s">
        <v>12</v>
      </c>
      <c r="E452" s="1">
        <v>4088</v>
      </c>
      <c r="F452" s="1" t="s">
        <v>13</v>
      </c>
      <c r="G452" s="1">
        <v>673.85</v>
      </c>
      <c r="H452" s="1">
        <v>27.58</v>
      </c>
    </row>
    <row r="453" spans="1:8">
      <c r="A453" s="1" t="s">
        <v>1004</v>
      </c>
      <c r="B453" s="1" t="s">
        <v>1005</v>
      </c>
      <c r="C453" s="1" t="s">
        <v>937</v>
      </c>
      <c r="D453" s="1" t="s">
        <v>12</v>
      </c>
      <c r="E453" s="1">
        <v>4448</v>
      </c>
      <c r="F453" s="1" t="s">
        <v>13</v>
      </c>
      <c r="G453" s="1">
        <v>631.34</v>
      </c>
      <c r="H453" s="1">
        <v>32.03</v>
      </c>
    </row>
    <row r="454" spans="1:8">
      <c r="A454" s="1" t="s">
        <v>1006</v>
      </c>
      <c r="B454" s="1" t="s">
        <v>1007</v>
      </c>
      <c r="C454" s="1" t="s">
        <v>937</v>
      </c>
      <c r="D454" s="1" t="s">
        <v>12</v>
      </c>
      <c r="E454" s="1">
        <v>12286</v>
      </c>
      <c r="F454" s="1" t="s">
        <v>13</v>
      </c>
      <c r="G454" s="1">
        <v>1681.35</v>
      </c>
      <c r="H454" s="1">
        <v>33.22</v>
      </c>
    </row>
    <row r="455" spans="1:8">
      <c r="A455" s="1" t="s">
        <v>1008</v>
      </c>
      <c r="B455" s="1" t="s">
        <v>1009</v>
      </c>
      <c r="C455" s="1" t="s">
        <v>937</v>
      </c>
      <c r="D455" s="1" t="s">
        <v>12</v>
      </c>
      <c r="E455" s="1">
        <v>7849</v>
      </c>
      <c r="F455" s="1" t="s">
        <v>13</v>
      </c>
      <c r="G455" s="1">
        <v>1216.53</v>
      </c>
      <c r="H455" s="1">
        <v>29.33</v>
      </c>
    </row>
    <row r="456" spans="1:8">
      <c r="A456" s="1" t="s">
        <v>1010</v>
      </c>
      <c r="B456" s="1" t="s">
        <v>1011</v>
      </c>
      <c r="C456" s="1" t="s">
        <v>937</v>
      </c>
      <c r="D456" s="1" t="s">
        <v>12</v>
      </c>
      <c r="E456" s="1">
        <v>8112</v>
      </c>
      <c r="F456" s="1" t="s">
        <v>13</v>
      </c>
      <c r="G456" s="1">
        <v>1153.69</v>
      </c>
      <c r="H456" s="1">
        <v>31.97</v>
      </c>
    </row>
    <row r="457" spans="1:8">
      <c r="A457" s="1" t="s">
        <v>1012</v>
      </c>
      <c r="B457" s="1" t="s">
        <v>1013</v>
      </c>
      <c r="C457" s="1" t="s">
        <v>518</v>
      </c>
      <c r="D457" s="1" t="s">
        <v>12</v>
      </c>
      <c r="E457" s="1">
        <v>8403</v>
      </c>
      <c r="F457" s="1" t="s">
        <v>13</v>
      </c>
      <c r="G457" s="1">
        <v>1196.3</v>
      </c>
      <c r="H457" s="1">
        <v>31.93</v>
      </c>
    </row>
    <row r="458" spans="1:8">
      <c r="A458" s="1" t="s">
        <v>1014</v>
      </c>
      <c r="B458" s="1" t="s">
        <v>1015</v>
      </c>
      <c r="C458" s="1" t="s">
        <v>937</v>
      </c>
      <c r="D458" s="1" t="s">
        <v>12</v>
      </c>
      <c r="E458" s="1">
        <v>14445</v>
      </c>
      <c r="F458" s="1" t="s">
        <v>13</v>
      </c>
      <c r="G458" s="1">
        <v>1770.57</v>
      </c>
      <c r="H458" s="1">
        <v>37.090000000000003</v>
      </c>
    </row>
    <row r="459" spans="1:8">
      <c r="A459" s="1" t="s">
        <v>1016</v>
      </c>
      <c r="B459" s="1" t="s">
        <v>1017</v>
      </c>
      <c r="C459" s="1" t="s">
        <v>937</v>
      </c>
      <c r="D459" s="1" t="s">
        <v>12</v>
      </c>
      <c r="E459" s="1">
        <v>8852</v>
      </c>
      <c r="F459" s="1" t="s">
        <v>13</v>
      </c>
      <c r="G459" s="1">
        <v>1464.11</v>
      </c>
      <c r="H459" s="1">
        <v>27.49</v>
      </c>
    </row>
    <row r="460" spans="1:8">
      <c r="A460" s="1" t="s">
        <v>1018</v>
      </c>
      <c r="B460" s="1" t="s">
        <v>1019</v>
      </c>
      <c r="C460" s="1" t="s">
        <v>937</v>
      </c>
      <c r="D460" s="1" t="s">
        <v>12</v>
      </c>
      <c r="E460" s="1">
        <v>18472</v>
      </c>
      <c r="F460" s="1" t="s">
        <v>13</v>
      </c>
      <c r="G460" s="1">
        <v>2415.69</v>
      </c>
      <c r="H460" s="1">
        <v>34.76</v>
      </c>
    </row>
    <row r="461" spans="1:8">
      <c r="A461" s="1" t="s">
        <v>1020</v>
      </c>
      <c r="B461" s="1" t="s">
        <v>1021</v>
      </c>
      <c r="C461" s="1" t="s">
        <v>937</v>
      </c>
      <c r="D461" s="1" t="s">
        <v>12</v>
      </c>
      <c r="E461" s="1">
        <v>13697</v>
      </c>
      <c r="F461" s="1" t="s">
        <v>13</v>
      </c>
      <c r="G461" s="1">
        <v>1905.46</v>
      </c>
      <c r="H461" s="1">
        <v>32.68</v>
      </c>
    </row>
    <row r="462" spans="1:8">
      <c r="A462" s="1" t="s">
        <v>1022</v>
      </c>
      <c r="B462" s="1" t="s">
        <v>1023</v>
      </c>
      <c r="C462" s="1" t="s">
        <v>937</v>
      </c>
      <c r="D462" s="1" t="s">
        <v>12</v>
      </c>
      <c r="E462" s="1">
        <v>18435</v>
      </c>
      <c r="F462" s="1" t="s">
        <v>13</v>
      </c>
      <c r="G462" s="1">
        <v>2758.12</v>
      </c>
      <c r="H462" s="1">
        <v>30.39</v>
      </c>
    </row>
    <row r="463" spans="1:8">
      <c r="A463" s="1" t="s">
        <v>1024</v>
      </c>
      <c r="B463" s="1" t="s">
        <v>1025</v>
      </c>
      <c r="C463" s="1" t="s">
        <v>937</v>
      </c>
      <c r="D463" s="1" t="s">
        <v>12</v>
      </c>
      <c r="E463" s="1">
        <v>3095</v>
      </c>
      <c r="F463" s="1" t="s">
        <v>13</v>
      </c>
      <c r="G463" s="1">
        <v>642.21</v>
      </c>
      <c r="H463" s="1">
        <v>21.91</v>
      </c>
    </row>
    <row r="464" spans="1:8">
      <c r="A464" s="1" t="s">
        <v>1026</v>
      </c>
      <c r="B464" s="1" t="s">
        <v>1027</v>
      </c>
      <c r="C464" s="1" t="s">
        <v>937</v>
      </c>
      <c r="D464" s="1" t="s">
        <v>12</v>
      </c>
      <c r="E464" s="1">
        <v>6938</v>
      </c>
      <c r="F464" s="1" t="s">
        <v>13</v>
      </c>
      <c r="G464" s="1">
        <v>876.29</v>
      </c>
      <c r="H464" s="1">
        <v>35.99</v>
      </c>
    </row>
    <row r="465" spans="1:8">
      <c r="A465" s="1" t="s">
        <v>1028</v>
      </c>
      <c r="B465" s="1" t="s">
        <v>1029</v>
      </c>
      <c r="C465" s="1" t="s">
        <v>937</v>
      </c>
      <c r="D465" s="1" t="s">
        <v>12</v>
      </c>
      <c r="E465" s="1">
        <v>6160</v>
      </c>
      <c r="F465" s="1" t="s">
        <v>13</v>
      </c>
      <c r="G465" s="1">
        <v>959.42</v>
      </c>
      <c r="H465" s="1">
        <v>29.19</v>
      </c>
    </row>
    <row r="466" spans="1:8">
      <c r="A466" s="1" t="s">
        <v>1030</v>
      </c>
      <c r="B466" s="1" t="s">
        <v>1031</v>
      </c>
      <c r="C466" s="1" t="s">
        <v>937</v>
      </c>
      <c r="D466" s="1" t="s">
        <v>12</v>
      </c>
      <c r="E466" s="1">
        <v>16471</v>
      </c>
      <c r="F466" s="1" t="s">
        <v>13</v>
      </c>
      <c r="G466" s="1">
        <v>2618.54</v>
      </c>
      <c r="H466" s="1">
        <v>28.6</v>
      </c>
    </row>
    <row r="467" spans="1:8">
      <c r="A467" s="1" t="s">
        <v>1032</v>
      </c>
      <c r="B467" s="1" t="s">
        <v>1033</v>
      </c>
      <c r="C467" s="1" t="s">
        <v>937</v>
      </c>
      <c r="D467" s="1" t="s">
        <v>12</v>
      </c>
      <c r="E467" s="1">
        <v>8153</v>
      </c>
      <c r="F467" s="1" t="s">
        <v>13</v>
      </c>
      <c r="G467" s="1">
        <v>1182.56</v>
      </c>
      <c r="H467" s="1">
        <v>31.34</v>
      </c>
    </row>
    <row r="468" spans="1:8">
      <c r="A468" s="1" t="s">
        <v>1034</v>
      </c>
      <c r="B468" s="1" t="s">
        <v>1035</v>
      </c>
      <c r="C468" s="1" t="s">
        <v>937</v>
      </c>
      <c r="D468" s="1" t="s">
        <v>12</v>
      </c>
      <c r="E468" s="1">
        <v>13139</v>
      </c>
      <c r="F468" s="1" t="s">
        <v>13</v>
      </c>
      <c r="G468" s="1">
        <v>1529.35</v>
      </c>
      <c r="H468" s="1">
        <v>39.06</v>
      </c>
    </row>
    <row r="469" spans="1:8">
      <c r="A469" s="1" t="s">
        <v>1036</v>
      </c>
      <c r="B469" s="1" t="s">
        <v>1037</v>
      </c>
      <c r="C469" s="1" t="s">
        <v>937</v>
      </c>
      <c r="D469" s="1" t="s">
        <v>12</v>
      </c>
      <c r="E469" s="1">
        <v>9961</v>
      </c>
      <c r="F469" s="1" t="s">
        <v>13</v>
      </c>
      <c r="G469" s="1">
        <v>1648.75</v>
      </c>
      <c r="H469" s="1">
        <v>27.47</v>
      </c>
    </row>
    <row r="470" spans="1:8">
      <c r="A470" s="1" t="s">
        <v>1038</v>
      </c>
      <c r="B470" s="1" t="s">
        <v>1039</v>
      </c>
      <c r="C470" s="1" t="s">
        <v>937</v>
      </c>
      <c r="D470" s="1" t="s">
        <v>12</v>
      </c>
      <c r="E470" s="1">
        <v>4244</v>
      </c>
      <c r="F470" s="1" t="s">
        <v>13</v>
      </c>
      <c r="G470" s="1">
        <v>844.49</v>
      </c>
      <c r="H470" s="1">
        <v>22.85</v>
      </c>
    </row>
    <row r="471" spans="1:8">
      <c r="A471" s="1" t="s">
        <v>1040</v>
      </c>
      <c r="B471" s="1" t="s">
        <v>1041</v>
      </c>
      <c r="C471" s="1" t="s">
        <v>937</v>
      </c>
      <c r="D471" s="1" t="s">
        <v>12</v>
      </c>
      <c r="E471" s="1">
        <v>4249</v>
      </c>
      <c r="F471" s="1" t="s">
        <v>13</v>
      </c>
      <c r="G471" s="1">
        <v>679.86</v>
      </c>
      <c r="H471" s="1">
        <v>28.41</v>
      </c>
    </row>
    <row r="472" spans="1:8">
      <c r="A472" s="1" t="s">
        <v>1042</v>
      </c>
      <c r="B472" s="1" t="s">
        <v>1043</v>
      </c>
      <c r="C472" s="1" t="s">
        <v>937</v>
      </c>
      <c r="D472" s="1" t="s">
        <v>12</v>
      </c>
      <c r="E472" s="1">
        <v>4552</v>
      </c>
      <c r="F472" s="1" t="s">
        <v>13</v>
      </c>
      <c r="G472" s="1">
        <v>700.81</v>
      </c>
      <c r="H472" s="1">
        <v>29.53</v>
      </c>
    </row>
    <row r="473" spans="1:8">
      <c r="A473" s="1" t="s">
        <v>1044</v>
      </c>
      <c r="B473" s="1" t="s">
        <v>1045</v>
      </c>
      <c r="C473" s="1" t="s">
        <v>937</v>
      </c>
      <c r="D473" s="1" t="s">
        <v>12</v>
      </c>
      <c r="E473" s="1">
        <v>7697</v>
      </c>
      <c r="F473" s="1" t="s">
        <v>13</v>
      </c>
      <c r="G473" s="1">
        <v>1255.93</v>
      </c>
      <c r="H473" s="1">
        <v>27.86</v>
      </c>
    </row>
    <row r="474" spans="1:8">
      <c r="A474" s="1" t="s">
        <v>1046</v>
      </c>
      <c r="B474" s="1" t="s">
        <v>1047</v>
      </c>
      <c r="C474" s="1" t="s">
        <v>937</v>
      </c>
      <c r="D474" s="1" t="s">
        <v>12</v>
      </c>
      <c r="E474" s="1">
        <v>13153</v>
      </c>
      <c r="F474" s="1" t="s">
        <v>13</v>
      </c>
      <c r="G474" s="1">
        <v>2263.6999999999998</v>
      </c>
      <c r="H474" s="1">
        <v>26.41</v>
      </c>
    </row>
    <row r="475" spans="1:8">
      <c r="A475" s="1" t="s">
        <v>1048</v>
      </c>
      <c r="B475" s="1" t="s">
        <v>1049</v>
      </c>
      <c r="C475" s="1" t="s">
        <v>937</v>
      </c>
      <c r="D475" s="1" t="s">
        <v>12</v>
      </c>
      <c r="E475" s="1">
        <v>6923</v>
      </c>
      <c r="F475" s="1" t="s">
        <v>13</v>
      </c>
      <c r="G475" s="1">
        <v>1156.97</v>
      </c>
      <c r="H475" s="1">
        <v>27.2</v>
      </c>
    </row>
    <row r="476" spans="1:8" hidden="1">
      <c r="A476" s="1" t="s">
        <v>1050</v>
      </c>
      <c r="B476" s="1" t="s">
        <v>1051</v>
      </c>
      <c r="C476" s="1" t="s">
        <v>1052</v>
      </c>
      <c r="D476" s="1" t="s">
        <v>12</v>
      </c>
      <c r="E476" s="1">
        <v>0</v>
      </c>
      <c r="F476" s="1" t="s">
        <v>623</v>
      </c>
      <c r="G476" s="1">
        <v>0</v>
      </c>
      <c r="H476" s="1">
        <v>0</v>
      </c>
    </row>
    <row r="477" spans="1:8">
      <c r="A477" s="1" t="s">
        <v>1053</v>
      </c>
      <c r="B477" s="1" t="s">
        <v>1054</v>
      </c>
      <c r="C477" s="1" t="s">
        <v>937</v>
      </c>
      <c r="D477" s="1" t="s">
        <v>12</v>
      </c>
      <c r="E477" s="1">
        <v>4946</v>
      </c>
      <c r="F477" s="1" t="s">
        <v>13</v>
      </c>
      <c r="G477" s="1">
        <v>913.88</v>
      </c>
      <c r="H477" s="1">
        <v>24.6</v>
      </c>
    </row>
    <row r="478" spans="1:8">
      <c r="A478" s="1" t="s">
        <v>1055</v>
      </c>
      <c r="B478" s="1" t="s">
        <v>1056</v>
      </c>
      <c r="C478" s="1" t="s">
        <v>937</v>
      </c>
      <c r="D478" s="1" t="s">
        <v>12</v>
      </c>
      <c r="E478" s="1">
        <v>8093</v>
      </c>
      <c r="F478" s="1" t="s">
        <v>13</v>
      </c>
      <c r="G478" s="1">
        <v>1227.99</v>
      </c>
      <c r="H478" s="1">
        <v>29.96</v>
      </c>
    </row>
    <row r="479" spans="1:8" hidden="1">
      <c r="A479" s="1" t="s">
        <v>1057</v>
      </c>
      <c r="B479" s="1" t="s">
        <v>1058</v>
      </c>
      <c r="C479" s="1" t="s">
        <v>1059</v>
      </c>
      <c r="D479" s="1" t="s">
        <v>12</v>
      </c>
      <c r="E479" s="1">
        <v>0</v>
      </c>
      <c r="F479" s="1" t="s">
        <v>623</v>
      </c>
      <c r="G479" s="1">
        <v>0</v>
      </c>
      <c r="H479" s="1">
        <v>0</v>
      </c>
    </row>
    <row r="480" spans="1:8">
      <c r="A480" s="1" t="s">
        <v>1060</v>
      </c>
      <c r="B480" s="1" t="s">
        <v>1061</v>
      </c>
      <c r="C480" s="1" t="s">
        <v>937</v>
      </c>
      <c r="D480" s="1" t="s">
        <v>12</v>
      </c>
      <c r="E480" s="1">
        <v>6430</v>
      </c>
      <c r="F480" s="1" t="s">
        <v>13</v>
      </c>
      <c r="G480" s="1">
        <v>1016.88</v>
      </c>
      <c r="H480" s="1">
        <v>28.75</v>
      </c>
    </row>
    <row r="481" spans="1:8">
      <c r="A481" s="1" t="s">
        <v>1062</v>
      </c>
      <c r="B481" s="1" t="s">
        <v>1063</v>
      </c>
      <c r="C481" s="1" t="s">
        <v>937</v>
      </c>
      <c r="D481" s="1" t="s">
        <v>12</v>
      </c>
      <c r="E481" s="1">
        <v>7180</v>
      </c>
      <c r="F481" s="1" t="s">
        <v>13</v>
      </c>
      <c r="G481" s="1">
        <v>1137.1300000000001</v>
      </c>
      <c r="H481" s="1">
        <v>28.7</v>
      </c>
    </row>
    <row r="482" spans="1:8" hidden="1">
      <c r="A482" s="1" t="s">
        <v>1064</v>
      </c>
      <c r="B482" s="1" t="s">
        <v>1065</v>
      </c>
      <c r="C482" s="1" t="s">
        <v>1066</v>
      </c>
      <c r="D482" s="1" t="s">
        <v>12</v>
      </c>
      <c r="E482" s="1">
        <v>0</v>
      </c>
      <c r="F482" s="1" t="s">
        <v>623</v>
      </c>
      <c r="G482" s="1">
        <v>0</v>
      </c>
      <c r="H482" s="1">
        <v>0</v>
      </c>
    </row>
    <row r="483" spans="1:8">
      <c r="A483" s="1" t="s">
        <v>1067</v>
      </c>
      <c r="B483" s="1" t="s">
        <v>1068</v>
      </c>
      <c r="C483" s="1" t="s">
        <v>937</v>
      </c>
      <c r="D483" s="1" t="s">
        <v>12</v>
      </c>
      <c r="E483" s="1">
        <v>5925</v>
      </c>
      <c r="F483" s="1" t="s">
        <v>13</v>
      </c>
      <c r="G483" s="1">
        <v>962.3</v>
      </c>
      <c r="H483" s="1">
        <v>27.99</v>
      </c>
    </row>
    <row r="484" spans="1:8" hidden="1">
      <c r="A484" s="1" t="s">
        <v>1069</v>
      </c>
      <c r="B484" s="1" t="s">
        <v>1070</v>
      </c>
      <c r="C484" s="1" t="s">
        <v>1066</v>
      </c>
      <c r="D484" s="1" t="s">
        <v>12</v>
      </c>
      <c r="E484" s="1">
        <v>55</v>
      </c>
      <c r="F484" s="1" t="s">
        <v>623</v>
      </c>
      <c r="G484" s="1">
        <v>252.58</v>
      </c>
      <c r="H484" s="1">
        <v>0</v>
      </c>
    </row>
    <row r="485" spans="1:8">
      <c r="A485" s="1" t="s">
        <v>1071</v>
      </c>
      <c r="B485" s="1" t="s">
        <v>1072</v>
      </c>
      <c r="C485" s="1" t="s">
        <v>937</v>
      </c>
      <c r="D485" s="1" t="s">
        <v>12</v>
      </c>
      <c r="E485" s="1">
        <v>18050</v>
      </c>
      <c r="F485" s="1" t="s">
        <v>13</v>
      </c>
      <c r="G485" s="1">
        <v>2464.23</v>
      </c>
      <c r="H485" s="1">
        <v>33.299999999999997</v>
      </c>
    </row>
    <row r="486" spans="1:8" hidden="1">
      <c r="A486" s="1" t="s">
        <v>1073</v>
      </c>
      <c r="B486" s="1" t="s">
        <v>1074</v>
      </c>
      <c r="C486" s="1" t="s">
        <v>1066</v>
      </c>
      <c r="D486" s="1" t="s">
        <v>12</v>
      </c>
      <c r="E486" s="1">
        <v>156</v>
      </c>
      <c r="F486" s="1" t="s">
        <v>623</v>
      </c>
      <c r="G486" s="1">
        <v>716.33</v>
      </c>
      <c r="H486" s="1">
        <v>0</v>
      </c>
    </row>
    <row r="487" spans="1:8">
      <c r="A487" s="1" t="s">
        <v>1075</v>
      </c>
      <c r="B487" s="1" t="s">
        <v>1076</v>
      </c>
      <c r="C487" s="1" t="s">
        <v>937</v>
      </c>
      <c r="D487" s="1" t="s">
        <v>12</v>
      </c>
      <c r="E487" s="1">
        <v>5975</v>
      </c>
      <c r="F487" s="1" t="s">
        <v>13</v>
      </c>
      <c r="G487" s="1">
        <v>1121.31</v>
      </c>
      <c r="H487" s="1">
        <v>24.22</v>
      </c>
    </row>
    <row r="488" spans="1:8">
      <c r="A488" s="1" t="s">
        <v>1077</v>
      </c>
      <c r="B488" s="1" t="s">
        <v>1078</v>
      </c>
      <c r="C488" s="1" t="s">
        <v>937</v>
      </c>
      <c r="D488" s="1" t="s">
        <v>12</v>
      </c>
      <c r="E488" s="1">
        <v>8267</v>
      </c>
      <c r="F488" s="1" t="s">
        <v>13</v>
      </c>
      <c r="G488" s="1">
        <v>1142.1099999999999</v>
      </c>
      <c r="H488" s="1">
        <v>32.909999999999997</v>
      </c>
    </row>
    <row r="489" spans="1:8">
      <c r="A489" s="1" t="s">
        <v>1079</v>
      </c>
      <c r="B489" s="1" t="s">
        <v>1080</v>
      </c>
      <c r="C489" s="1" t="s">
        <v>937</v>
      </c>
      <c r="D489" s="1" t="s">
        <v>12</v>
      </c>
      <c r="E489" s="1">
        <v>5184</v>
      </c>
      <c r="F489" s="1" t="s">
        <v>13</v>
      </c>
      <c r="G489" s="1">
        <v>778.06</v>
      </c>
      <c r="H489" s="1">
        <v>30.29</v>
      </c>
    </row>
    <row r="490" spans="1:8">
      <c r="A490" s="1" t="s">
        <v>1081</v>
      </c>
      <c r="B490" s="1" t="s">
        <v>1082</v>
      </c>
      <c r="C490" s="1" t="s">
        <v>937</v>
      </c>
      <c r="D490" s="1" t="s">
        <v>12</v>
      </c>
      <c r="E490" s="1">
        <v>11532</v>
      </c>
      <c r="F490" s="1" t="s">
        <v>13</v>
      </c>
      <c r="G490" s="1">
        <v>1866.23</v>
      </c>
      <c r="H490" s="1">
        <v>28.09</v>
      </c>
    </row>
    <row r="491" spans="1:8">
      <c r="A491" s="1" t="s">
        <v>1083</v>
      </c>
      <c r="B491" s="1" t="s">
        <v>1084</v>
      </c>
      <c r="C491" s="1" t="s">
        <v>1085</v>
      </c>
      <c r="D491" s="1" t="s">
        <v>12</v>
      </c>
      <c r="E491" s="1">
        <v>19239</v>
      </c>
      <c r="F491" s="1" t="s">
        <v>13</v>
      </c>
      <c r="G491" s="1">
        <v>2365.16</v>
      </c>
      <c r="H491" s="1">
        <v>36.979999999999997</v>
      </c>
    </row>
    <row r="492" spans="1:8">
      <c r="A492" s="1" t="s">
        <v>1086</v>
      </c>
      <c r="B492" s="1" t="s">
        <v>1087</v>
      </c>
      <c r="C492" s="1" t="s">
        <v>1088</v>
      </c>
      <c r="D492" s="1" t="s">
        <v>12</v>
      </c>
      <c r="E492" s="1">
        <v>17085</v>
      </c>
      <c r="F492" s="1" t="s">
        <v>13</v>
      </c>
      <c r="G492" s="1">
        <v>2254.2199999999998</v>
      </c>
      <c r="H492" s="1">
        <v>34.46</v>
      </c>
    </row>
    <row r="493" spans="1:8">
      <c r="A493" s="1" t="s">
        <v>1089</v>
      </c>
      <c r="B493" s="1" t="s">
        <v>1090</v>
      </c>
      <c r="C493" s="1" t="s">
        <v>1091</v>
      </c>
      <c r="D493" s="1" t="s">
        <v>12</v>
      </c>
      <c r="E493" s="1">
        <v>10230</v>
      </c>
      <c r="F493" s="1" t="s">
        <v>13</v>
      </c>
      <c r="G493" s="1">
        <v>1518.41</v>
      </c>
      <c r="H493" s="1">
        <v>30.63</v>
      </c>
    </row>
    <row r="494" spans="1:8" hidden="1">
      <c r="A494" s="1" t="s">
        <v>1092</v>
      </c>
      <c r="B494" s="1" t="s">
        <v>1092</v>
      </c>
      <c r="C494" s="1" t="s">
        <v>1093</v>
      </c>
      <c r="D494" s="1" t="s">
        <v>12</v>
      </c>
      <c r="E494" s="1">
        <v>0</v>
      </c>
      <c r="F494" s="1" t="s">
        <v>623</v>
      </c>
      <c r="G494" s="1">
        <v>0</v>
      </c>
      <c r="H494" s="1">
        <v>0</v>
      </c>
    </row>
    <row r="495" spans="1:8" hidden="1">
      <c r="A495" s="1" t="s">
        <v>1094</v>
      </c>
      <c r="B495" s="1" t="s">
        <v>1094</v>
      </c>
      <c r="C495" s="1" t="s">
        <v>1095</v>
      </c>
      <c r="D495" s="1" t="s">
        <v>12</v>
      </c>
      <c r="E495" s="1">
        <v>62</v>
      </c>
      <c r="F495" s="1" t="s">
        <v>623</v>
      </c>
      <c r="G495" s="1">
        <v>152.94</v>
      </c>
      <c r="H495" s="1">
        <v>0</v>
      </c>
    </row>
    <row r="496" spans="1:8" hidden="1">
      <c r="A496" s="1" t="s">
        <v>1096</v>
      </c>
      <c r="B496" s="1" t="s">
        <v>1096</v>
      </c>
      <c r="C496" s="1" t="s">
        <v>1097</v>
      </c>
      <c r="D496" s="1" t="s">
        <v>12</v>
      </c>
      <c r="E496" s="1">
        <v>268</v>
      </c>
      <c r="F496" s="1" t="s">
        <v>623</v>
      </c>
      <c r="G496" s="1">
        <v>511.05</v>
      </c>
      <c r="H496" s="1">
        <v>0</v>
      </c>
    </row>
    <row r="497" spans="1:8" hidden="1">
      <c r="A497" s="1" t="s">
        <v>1098</v>
      </c>
      <c r="B497" s="1" t="s">
        <v>1098</v>
      </c>
      <c r="C497" s="1" t="s">
        <v>1099</v>
      </c>
      <c r="D497" s="1" t="s">
        <v>12</v>
      </c>
      <c r="E497" s="1">
        <v>21</v>
      </c>
      <c r="F497" s="1" t="s">
        <v>623</v>
      </c>
      <c r="G497" s="1">
        <v>59.85</v>
      </c>
      <c r="H497" s="1">
        <v>0</v>
      </c>
    </row>
    <row r="498" spans="1:8">
      <c r="A498" s="1" t="s">
        <v>1100</v>
      </c>
      <c r="B498" s="1" t="s">
        <v>1101</v>
      </c>
      <c r="C498" s="1" t="s">
        <v>1102</v>
      </c>
      <c r="D498" s="1" t="s">
        <v>12</v>
      </c>
      <c r="E498" s="1">
        <v>4968</v>
      </c>
      <c r="F498" s="1" t="s">
        <v>13</v>
      </c>
      <c r="G498" s="1">
        <v>831.1</v>
      </c>
      <c r="H498" s="1">
        <v>27.17</v>
      </c>
    </row>
    <row r="499" spans="1:8">
      <c r="A499" s="1" t="s">
        <v>1103</v>
      </c>
      <c r="B499" s="1" t="s">
        <v>1104</v>
      </c>
      <c r="C499" s="1" t="s">
        <v>1102</v>
      </c>
      <c r="D499" s="1" t="s">
        <v>12</v>
      </c>
      <c r="E499" s="1">
        <v>5343</v>
      </c>
      <c r="F499" s="1" t="s">
        <v>13</v>
      </c>
      <c r="G499" s="1">
        <v>847.05</v>
      </c>
      <c r="H499" s="1">
        <v>28.68</v>
      </c>
    </row>
    <row r="500" spans="1:8">
      <c r="A500" s="1" t="s">
        <v>1105</v>
      </c>
      <c r="B500" s="1" t="s">
        <v>1106</v>
      </c>
      <c r="C500" s="1" t="s">
        <v>1102</v>
      </c>
      <c r="D500" s="1" t="s">
        <v>12</v>
      </c>
      <c r="E500" s="1">
        <v>5851</v>
      </c>
      <c r="F500" s="1" t="s">
        <v>13</v>
      </c>
      <c r="G500" s="1">
        <v>1107.0899999999999</v>
      </c>
      <c r="H500" s="1">
        <v>24.03</v>
      </c>
    </row>
    <row r="501" spans="1:8">
      <c r="A501" s="1" t="s">
        <v>1107</v>
      </c>
      <c r="B501" s="1" t="s">
        <v>1108</v>
      </c>
      <c r="C501" s="1" t="s">
        <v>1102</v>
      </c>
      <c r="D501" s="1" t="s">
        <v>12</v>
      </c>
      <c r="E501" s="1">
        <v>4984</v>
      </c>
      <c r="F501" s="1" t="s">
        <v>13</v>
      </c>
      <c r="G501" s="1">
        <v>908.82</v>
      </c>
      <c r="H501" s="1">
        <v>24.93</v>
      </c>
    </row>
    <row r="502" spans="1:8">
      <c r="A502" s="1" t="s">
        <v>1109</v>
      </c>
      <c r="B502" s="1" t="s">
        <v>1110</v>
      </c>
      <c r="C502" s="1" t="s">
        <v>1102</v>
      </c>
      <c r="D502" s="1" t="s">
        <v>12</v>
      </c>
      <c r="E502" s="1">
        <v>8263</v>
      </c>
      <c r="F502" s="1" t="s">
        <v>13</v>
      </c>
      <c r="G502" s="1">
        <v>1282.47</v>
      </c>
      <c r="H502" s="1">
        <v>29.29</v>
      </c>
    </row>
    <row r="503" spans="1:8">
      <c r="A503" s="1" t="s">
        <v>1111</v>
      </c>
      <c r="B503" s="1" t="s">
        <v>1112</v>
      </c>
      <c r="C503" s="1" t="s">
        <v>1102</v>
      </c>
      <c r="D503" s="1" t="s">
        <v>12</v>
      </c>
      <c r="E503" s="1">
        <v>20794</v>
      </c>
      <c r="F503" s="1" t="s">
        <v>13</v>
      </c>
      <c r="G503" s="1">
        <v>2424.63</v>
      </c>
      <c r="H503" s="1">
        <v>38.99</v>
      </c>
    </row>
    <row r="504" spans="1:8">
      <c r="A504" s="1" t="s">
        <v>1113</v>
      </c>
      <c r="B504" s="1" t="s">
        <v>1114</v>
      </c>
      <c r="C504" s="1" t="s">
        <v>1102</v>
      </c>
      <c r="D504" s="1" t="s">
        <v>12</v>
      </c>
      <c r="E504" s="1">
        <v>4881</v>
      </c>
      <c r="F504" s="1" t="s">
        <v>13</v>
      </c>
      <c r="G504" s="1">
        <v>853.85</v>
      </c>
      <c r="H504" s="1">
        <v>25.99</v>
      </c>
    </row>
    <row r="505" spans="1:8">
      <c r="A505" s="1" t="s">
        <v>1115</v>
      </c>
      <c r="B505" s="1" t="s">
        <v>1116</v>
      </c>
      <c r="C505" s="1" t="s">
        <v>1102</v>
      </c>
      <c r="D505" s="1" t="s">
        <v>12</v>
      </c>
      <c r="E505" s="1">
        <v>8355</v>
      </c>
      <c r="F505" s="1" t="s">
        <v>13</v>
      </c>
      <c r="G505" s="1">
        <v>1483.99</v>
      </c>
      <c r="H505" s="1">
        <v>25.59</v>
      </c>
    </row>
    <row r="506" spans="1:8">
      <c r="A506" s="1" t="s">
        <v>1117</v>
      </c>
      <c r="B506" s="1" t="s">
        <v>1118</v>
      </c>
      <c r="C506" s="1" t="s">
        <v>1102</v>
      </c>
      <c r="D506" s="1" t="s">
        <v>12</v>
      </c>
      <c r="E506" s="1">
        <v>8726</v>
      </c>
      <c r="F506" s="1" t="s">
        <v>13</v>
      </c>
      <c r="G506" s="1">
        <v>1687.03</v>
      </c>
      <c r="H506" s="1">
        <v>23.51</v>
      </c>
    </row>
    <row r="507" spans="1:8">
      <c r="A507" s="1" t="s">
        <v>1119</v>
      </c>
      <c r="B507" s="1" t="s">
        <v>1120</v>
      </c>
      <c r="C507" s="1" t="s">
        <v>1102</v>
      </c>
      <c r="D507" s="1" t="s">
        <v>12</v>
      </c>
      <c r="E507" s="1">
        <v>17127</v>
      </c>
      <c r="F507" s="1" t="s">
        <v>13</v>
      </c>
      <c r="G507" s="1">
        <v>2336.35</v>
      </c>
      <c r="H507" s="1">
        <v>33.33</v>
      </c>
    </row>
    <row r="508" spans="1:8">
      <c r="A508" s="1" t="s">
        <v>1121</v>
      </c>
      <c r="B508" s="1" t="s">
        <v>1122</v>
      </c>
      <c r="C508" s="1" t="s">
        <v>1102</v>
      </c>
      <c r="D508" s="1" t="s">
        <v>12</v>
      </c>
      <c r="E508" s="1">
        <v>8154</v>
      </c>
      <c r="F508" s="1" t="s">
        <v>13</v>
      </c>
      <c r="G508" s="1">
        <v>1365.1</v>
      </c>
      <c r="H508" s="1">
        <v>27.15</v>
      </c>
    </row>
    <row r="509" spans="1:8">
      <c r="A509" s="1" t="s">
        <v>1123</v>
      </c>
      <c r="B509" s="1" t="s">
        <v>1124</v>
      </c>
      <c r="C509" s="1" t="s">
        <v>1102</v>
      </c>
      <c r="D509" s="1" t="s">
        <v>12</v>
      </c>
      <c r="E509" s="1">
        <v>5254</v>
      </c>
      <c r="F509" s="1" t="s">
        <v>13</v>
      </c>
      <c r="G509" s="1">
        <v>852.01</v>
      </c>
      <c r="H509" s="1">
        <v>28.03</v>
      </c>
    </row>
    <row r="510" spans="1:8">
      <c r="A510" s="1" t="s">
        <v>1125</v>
      </c>
      <c r="B510" s="1" t="s">
        <v>1126</v>
      </c>
      <c r="C510" s="1" t="s">
        <v>1102</v>
      </c>
      <c r="D510" s="1" t="s">
        <v>12</v>
      </c>
      <c r="E510" s="1">
        <v>2561</v>
      </c>
      <c r="F510" s="1" t="s">
        <v>13</v>
      </c>
      <c r="G510" s="1">
        <v>606.45000000000005</v>
      </c>
      <c r="H510" s="1">
        <v>19.2</v>
      </c>
    </row>
    <row r="511" spans="1:8">
      <c r="A511" s="1" t="s">
        <v>1127</v>
      </c>
      <c r="B511" s="1" t="s">
        <v>1128</v>
      </c>
      <c r="C511" s="1" t="s">
        <v>1102</v>
      </c>
      <c r="D511" s="1" t="s">
        <v>12</v>
      </c>
      <c r="E511" s="1">
        <v>7521</v>
      </c>
      <c r="F511" s="1" t="s">
        <v>13</v>
      </c>
      <c r="G511" s="1">
        <v>1162.25</v>
      </c>
      <c r="H511" s="1">
        <v>29.42</v>
      </c>
    </row>
    <row r="512" spans="1:8">
      <c r="A512" s="1" t="s">
        <v>1129</v>
      </c>
      <c r="B512" s="1" t="s">
        <v>1130</v>
      </c>
      <c r="C512" s="1" t="s">
        <v>1102</v>
      </c>
      <c r="D512" s="1" t="s">
        <v>12</v>
      </c>
      <c r="E512" s="1">
        <v>3487</v>
      </c>
      <c r="F512" s="1" t="s">
        <v>13</v>
      </c>
      <c r="G512" s="1">
        <v>705.08</v>
      </c>
      <c r="H512" s="1">
        <v>22.48</v>
      </c>
    </row>
    <row r="513" spans="1:8">
      <c r="A513" s="1" t="s">
        <v>1131</v>
      </c>
      <c r="B513" s="1" t="s">
        <v>1132</v>
      </c>
      <c r="C513" s="1" t="s">
        <v>1102</v>
      </c>
      <c r="D513" s="1" t="s">
        <v>12</v>
      </c>
      <c r="E513" s="1">
        <v>5355</v>
      </c>
      <c r="F513" s="1" t="s">
        <v>13</v>
      </c>
      <c r="G513" s="1">
        <v>916.14</v>
      </c>
      <c r="H513" s="1">
        <v>26.57</v>
      </c>
    </row>
    <row r="514" spans="1:8">
      <c r="A514" s="1" t="s">
        <v>1133</v>
      </c>
      <c r="B514" s="1" t="s">
        <v>1134</v>
      </c>
      <c r="C514" s="1" t="s">
        <v>1102</v>
      </c>
      <c r="D514" s="1" t="s">
        <v>12</v>
      </c>
      <c r="E514" s="1">
        <v>6232</v>
      </c>
      <c r="F514" s="1" t="s">
        <v>13</v>
      </c>
      <c r="G514" s="1">
        <v>1113.74</v>
      </c>
      <c r="H514" s="1">
        <v>25.44</v>
      </c>
    </row>
    <row r="515" spans="1:8">
      <c r="A515" s="1" t="s">
        <v>1135</v>
      </c>
      <c r="B515" s="1" t="s">
        <v>1136</v>
      </c>
      <c r="C515" s="1" t="s">
        <v>1102</v>
      </c>
      <c r="D515" s="1" t="s">
        <v>12</v>
      </c>
      <c r="E515" s="1">
        <v>4514</v>
      </c>
      <c r="F515" s="1" t="s">
        <v>13</v>
      </c>
      <c r="G515" s="1">
        <v>868.6</v>
      </c>
      <c r="H515" s="1">
        <v>23.63</v>
      </c>
    </row>
    <row r="516" spans="1:8">
      <c r="A516" s="1" t="s">
        <v>1137</v>
      </c>
      <c r="B516" s="1" t="s">
        <v>1138</v>
      </c>
      <c r="C516" s="1" t="s">
        <v>1102</v>
      </c>
      <c r="D516" s="1" t="s">
        <v>12</v>
      </c>
      <c r="E516" s="1">
        <v>8649</v>
      </c>
      <c r="F516" s="1" t="s">
        <v>13</v>
      </c>
      <c r="G516" s="1">
        <v>1858.1</v>
      </c>
      <c r="H516" s="1">
        <v>21.16</v>
      </c>
    </row>
    <row r="517" spans="1:8">
      <c r="A517" s="1" t="s">
        <v>1139</v>
      </c>
      <c r="B517" s="1" t="s">
        <v>1140</v>
      </c>
      <c r="C517" s="1" t="s">
        <v>1102</v>
      </c>
      <c r="D517" s="1" t="s">
        <v>12</v>
      </c>
      <c r="E517" s="1">
        <v>11118</v>
      </c>
      <c r="F517" s="1" t="s">
        <v>13</v>
      </c>
      <c r="G517" s="1">
        <v>1581.07</v>
      </c>
      <c r="H517" s="1">
        <v>31.97</v>
      </c>
    </row>
    <row r="518" spans="1:8">
      <c r="A518" s="1" t="s">
        <v>1141</v>
      </c>
      <c r="B518" s="1" t="s">
        <v>1142</v>
      </c>
      <c r="C518" s="1" t="s">
        <v>1102</v>
      </c>
      <c r="D518" s="1" t="s">
        <v>12</v>
      </c>
      <c r="E518" s="1">
        <v>5819</v>
      </c>
      <c r="F518" s="1" t="s">
        <v>13</v>
      </c>
      <c r="G518" s="1">
        <v>1119.77</v>
      </c>
      <c r="H518" s="1">
        <v>23.62</v>
      </c>
    </row>
    <row r="519" spans="1:8">
      <c r="A519" s="1" t="s">
        <v>1143</v>
      </c>
      <c r="B519" s="1" t="s">
        <v>1144</v>
      </c>
      <c r="C519" s="1" t="s">
        <v>1102</v>
      </c>
      <c r="D519" s="1" t="s">
        <v>12</v>
      </c>
      <c r="E519" s="1">
        <v>2803</v>
      </c>
      <c r="F519" s="1" t="s">
        <v>13</v>
      </c>
      <c r="G519" s="1">
        <v>610.72</v>
      </c>
      <c r="H519" s="1">
        <v>20.87</v>
      </c>
    </row>
    <row r="520" spans="1:8">
      <c r="A520" s="1" t="s">
        <v>1145</v>
      </c>
      <c r="B520" s="1" t="s">
        <v>1146</v>
      </c>
      <c r="C520" s="1" t="s">
        <v>1102</v>
      </c>
      <c r="D520" s="1" t="s">
        <v>12</v>
      </c>
      <c r="E520" s="1">
        <v>5576</v>
      </c>
      <c r="F520" s="1" t="s">
        <v>13</v>
      </c>
      <c r="G520" s="1">
        <v>1002.16</v>
      </c>
      <c r="H520" s="1">
        <v>25.29</v>
      </c>
    </row>
    <row r="521" spans="1:8">
      <c r="A521" s="1" t="s">
        <v>1147</v>
      </c>
      <c r="B521" s="1" t="s">
        <v>1148</v>
      </c>
      <c r="C521" s="1" t="s">
        <v>1102</v>
      </c>
      <c r="D521" s="1" t="s">
        <v>12</v>
      </c>
      <c r="E521" s="1">
        <v>6500</v>
      </c>
      <c r="F521" s="1" t="s">
        <v>13</v>
      </c>
      <c r="G521" s="1">
        <v>1275.1400000000001</v>
      </c>
      <c r="H521" s="1">
        <v>23.17</v>
      </c>
    </row>
    <row r="522" spans="1:8">
      <c r="A522" s="1" t="s">
        <v>1149</v>
      </c>
      <c r="B522" s="1" t="s">
        <v>1150</v>
      </c>
      <c r="C522" s="1" t="s">
        <v>1102</v>
      </c>
      <c r="D522" s="1" t="s">
        <v>12</v>
      </c>
      <c r="E522" s="1">
        <v>4954</v>
      </c>
      <c r="F522" s="1" t="s">
        <v>13</v>
      </c>
      <c r="G522" s="1">
        <v>725.43</v>
      </c>
      <c r="H522" s="1">
        <v>31.05</v>
      </c>
    </row>
    <row r="523" spans="1:8">
      <c r="A523" s="1" t="s">
        <v>1151</v>
      </c>
      <c r="B523" s="1" t="s">
        <v>1152</v>
      </c>
      <c r="C523" s="1" t="s">
        <v>1102</v>
      </c>
      <c r="D523" s="1" t="s">
        <v>12</v>
      </c>
      <c r="E523" s="1">
        <v>6539</v>
      </c>
      <c r="F523" s="1" t="s">
        <v>13</v>
      </c>
      <c r="G523" s="1">
        <v>1033.18</v>
      </c>
      <c r="H523" s="1">
        <v>28.77</v>
      </c>
    </row>
    <row r="524" spans="1:8">
      <c r="A524" s="1" t="s">
        <v>1153</v>
      </c>
      <c r="B524" s="1" t="s">
        <v>1154</v>
      </c>
      <c r="C524" s="1" t="s">
        <v>1102</v>
      </c>
      <c r="D524" s="1" t="s">
        <v>12</v>
      </c>
      <c r="E524" s="1">
        <v>7567</v>
      </c>
      <c r="F524" s="1" t="s">
        <v>13</v>
      </c>
      <c r="G524" s="1">
        <v>1353.46</v>
      </c>
      <c r="H524" s="1">
        <v>25.42</v>
      </c>
    </row>
    <row r="525" spans="1:8">
      <c r="A525" s="1" t="s">
        <v>1155</v>
      </c>
      <c r="B525" s="1" t="s">
        <v>1156</v>
      </c>
      <c r="C525" s="1" t="s">
        <v>1102</v>
      </c>
      <c r="D525" s="1" t="s">
        <v>12</v>
      </c>
      <c r="E525" s="1">
        <v>4043</v>
      </c>
      <c r="F525" s="1" t="s">
        <v>13</v>
      </c>
      <c r="G525" s="1">
        <v>876.45</v>
      </c>
      <c r="H525" s="1">
        <v>20.97</v>
      </c>
    </row>
    <row r="526" spans="1:8">
      <c r="A526" s="1" t="s">
        <v>1157</v>
      </c>
      <c r="B526" s="1" t="s">
        <v>1158</v>
      </c>
      <c r="C526" s="1" t="s">
        <v>1102</v>
      </c>
      <c r="D526" s="1" t="s">
        <v>12</v>
      </c>
      <c r="E526" s="1">
        <v>11818</v>
      </c>
      <c r="F526" s="1" t="s">
        <v>13</v>
      </c>
      <c r="G526" s="1">
        <v>1847.92</v>
      </c>
      <c r="H526" s="1">
        <v>29.07</v>
      </c>
    </row>
    <row r="527" spans="1:8">
      <c r="A527" s="1" t="s">
        <v>1159</v>
      </c>
      <c r="B527" s="1" t="s">
        <v>1160</v>
      </c>
      <c r="C527" s="1" t="s">
        <v>1102</v>
      </c>
      <c r="D527" s="1" t="s">
        <v>12</v>
      </c>
      <c r="E527" s="1">
        <v>4223</v>
      </c>
      <c r="F527" s="1" t="s">
        <v>13</v>
      </c>
      <c r="G527" s="1">
        <v>688.41</v>
      </c>
      <c r="H527" s="1">
        <v>27.89</v>
      </c>
    </row>
    <row r="528" spans="1:8">
      <c r="A528" s="1" t="s">
        <v>1161</v>
      </c>
      <c r="B528" s="1" t="s">
        <v>1162</v>
      </c>
      <c r="C528" s="1" t="s">
        <v>1102</v>
      </c>
      <c r="D528" s="1" t="s">
        <v>12</v>
      </c>
      <c r="E528" s="1">
        <v>6290</v>
      </c>
      <c r="F528" s="1" t="s">
        <v>13</v>
      </c>
      <c r="G528" s="1">
        <v>1233.99</v>
      </c>
      <c r="H528" s="1">
        <v>23.17</v>
      </c>
    </row>
    <row r="529" spans="1:8">
      <c r="A529" s="1" t="s">
        <v>1163</v>
      </c>
      <c r="B529" s="1" t="s">
        <v>1164</v>
      </c>
      <c r="C529" s="1" t="s">
        <v>1102</v>
      </c>
      <c r="D529" s="1" t="s">
        <v>12</v>
      </c>
      <c r="E529" s="1">
        <v>3383</v>
      </c>
      <c r="F529" s="1" t="s">
        <v>13</v>
      </c>
      <c r="G529" s="1">
        <v>650.59</v>
      </c>
      <c r="H529" s="1">
        <v>23.64</v>
      </c>
    </row>
    <row r="530" spans="1:8">
      <c r="A530" s="1" t="s">
        <v>1165</v>
      </c>
      <c r="B530" s="1" t="s">
        <v>1166</v>
      </c>
      <c r="C530" s="1" t="s">
        <v>1102</v>
      </c>
      <c r="D530" s="1" t="s">
        <v>12</v>
      </c>
      <c r="E530" s="1">
        <v>3743</v>
      </c>
      <c r="F530" s="1" t="s">
        <v>13</v>
      </c>
      <c r="G530" s="1">
        <v>638.57000000000005</v>
      </c>
      <c r="H530" s="1">
        <v>26.65</v>
      </c>
    </row>
    <row r="531" spans="1:8">
      <c r="A531" s="1" t="s">
        <v>1167</v>
      </c>
      <c r="B531" s="1" t="s">
        <v>1168</v>
      </c>
      <c r="C531" s="1" t="s">
        <v>1102</v>
      </c>
      <c r="D531" s="1" t="s">
        <v>12</v>
      </c>
      <c r="E531" s="1">
        <v>11954</v>
      </c>
      <c r="F531" s="1" t="s">
        <v>13</v>
      </c>
      <c r="G531" s="1">
        <v>1795.28</v>
      </c>
      <c r="H531" s="1">
        <v>30.27</v>
      </c>
    </row>
    <row r="532" spans="1:8">
      <c r="A532" s="1" t="s">
        <v>1169</v>
      </c>
      <c r="B532" s="1" t="s">
        <v>1170</v>
      </c>
      <c r="C532" s="1" t="s">
        <v>1102</v>
      </c>
      <c r="D532" s="1" t="s">
        <v>12</v>
      </c>
      <c r="E532" s="1">
        <v>7948</v>
      </c>
      <c r="F532" s="1" t="s">
        <v>13</v>
      </c>
      <c r="G532" s="1">
        <v>1252.46</v>
      </c>
      <c r="H532" s="1">
        <v>28.85</v>
      </c>
    </row>
    <row r="533" spans="1:8">
      <c r="A533" s="1" t="s">
        <v>1171</v>
      </c>
      <c r="B533" s="1" t="s">
        <v>1172</v>
      </c>
      <c r="C533" s="1" t="s">
        <v>1102</v>
      </c>
      <c r="D533" s="1" t="s">
        <v>12</v>
      </c>
      <c r="E533" s="1">
        <v>4052</v>
      </c>
      <c r="F533" s="1" t="s">
        <v>13</v>
      </c>
      <c r="G533" s="1">
        <v>782.07</v>
      </c>
      <c r="H533" s="1">
        <v>23.55</v>
      </c>
    </row>
    <row r="534" spans="1:8">
      <c r="A534" s="1" t="s">
        <v>1173</v>
      </c>
      <c r="B534" s="1" t="s">
        <v>1174</v>
      </c>
      <c r="C534" s="1" t="s">
        <v>1102</v>
      </c>
      <c r="D534" s="1" t="s">
        <v>12</v>
      </c>
      <c r="E534" s="1">
        <v>2209</v>
      </c>
      <c r="F534" s="1" t="s">
        <v>13</v>
      </c>
      <c r="G534" s="1">
        <v>499.19</v>
      </c>
      <c r="H534" s="1">
        <v>20.12</v>
      </c>
    </row>
    <row r="535" spans="1:8">
      <c r="A535" s="1" t="s">
        <v>1175</v>
      </c>
      <c r="B535" s="1" t="s">
        <v>1176</v>
      </c>
      <c r="C535" s="1" t="s">
        <v>1102</v>
      </c>
      <c r="D535" s="1" t="s">
        <v>12</v>
      </c>
      <c r="E535" s="1">
        <v>4189</v>
      </c>
      <c r="F535" s="1" t="s">
        <v>13</v>
      </c>
      <c r="G535" s="1">
        <v>823.76</v>
      </c>
      <c r="H535" s="1">
        <v>23.12</v>
      </c>
    </row>
    <row r="536" spans="1:8">
      <c r="A536" s="1" t="s">
        <v>1177</v>
      </c>
      <c r="B536" s="1" t="s">
        <v>1178</v>
      </c>
      <c r="C536" s="1" t="s">
        <v>1102</v>
      </c>
      <c r="D536" s="1" t="s">
        <v>12</v>
      </c>
      <c r="E536" s="1">
        <v>13220</v>
      </c>
      <c r="F536" s="1" t="s">
        <v>13</v>
      </c>
      <c r="G536" s="1">
        <v>2030.11</v>
      </c>
      <c r="H536" s="1">
        <v>29.6</v>
      </c>
    </row>
    <row r="537" spans="1:8">
      <c r="A537" s="1" t="s">
        <v>1179</v>
      </c>
      <c r="B537" s="1" t="s">
        <v>1180</v>
      </c>
      <c r="C537" s="1" t="s">
        <v>1102</v>
      </c>
      <c r="D537" s="1" t="s">
        <v>12</v>
      </c>
      <c r="E537" s="1">
        <v>3254</v>
      </c>
      <c r="F537" s="1" t="s">
        <v>13</v>
      </c>
      <c r="G537" s="1">
        <v>647.07000000000005</v>
      </c>
      <c r="H537" s="1">
        <v>22.86</v>
      </c>
    </row>
    <row r="538" spans="1:8">
      <c r="A538" s="1" t="s">
        <v>1181</v>
      </c>
      <c r="B538" s="1" t="s">
        <v>1182</v>
      </c>
      <c r="C538" s="1" t="s">
        <v>1102</v>
      </c>
      <c r="D538" s="1" t="s">
        <v>12</v>
      </c>
      <c r="E538" s="1">
        <v>5684</v>
      </c>
      <c r="F538" s="1" t="s">
        <v>13</v>
      </c>
      <c r="G538" s="1">
        <v>833.17</v>
      </c>
      <c r="H538" s="1">
        <v>31.01</v>
      </c>
    </row>
    <row r="539" spans="1:8">
      <c r="A539" s="1" t="s">
        <v>1183</v>
      </c>
      <c r="B539" s="1" t="s">
        <v>1184</v>
      </c>
      <c r="C539" s="1" t="s">
        <v>1102</v>
      </c>
      <c r="D539" s="1" t="s">
        <v>12</v>
      </c>
      <c r="E539" s="1">
        <v>3856</v>
      </c>
      <c r="F539" s="1" t="s">
        <v>13</v>
      </c>
      <c r="G539" s="1">
        <v>638.80999999999995</v>
      </c>
      <c r="H539" s="1">
        <v>27.44</v>
      </c>
    </row>
    <row r="540" spans="1:8">
      <c r="A540" s="1" t="s">
        <v>1185</v>
      </c>
      <c r="B540" s="1" t="s">
        <v>1186</v>
      </c>
      <c r="C540" s="1" t="s">
        <v>1102</v>
      </c>
      <c r="D540" s="1" t="s">
        <v>12</v>
      </c>
      <c r="E540" s="1">
        <v>8322</v>
      </c>
      <c r="F540" s="1" t="s">
        <v>13</v>
      </c>
      <c r="G540" s="1">
        <v>1239.3800000000001</v>
      </c>
      <c r="H540" s="1">
        <v>30.53</v>
      </c>
    </row>
    <row r="541" spans="1:8">
      <c r="A541" s="1" t="s">
        <v>1187</v>
      </c>
      <c r="B541" s="1" t="s">
        <v>1188</v>
      </c>
      <c r="C541" s="1" t="s">
        <v>1102</v>
      </c>
      <c r="D541" s="1" t="s">
        <v>12</v>
      </c>
      <c r="E541" s="1">
        <v>3756</v>
      </c>
      <c r="F541" s="1" t="s">
        <v>13</v>
      </c>
      <c r="G541" s="1">
        <v>646.16999999999996</v>
      </c>
      <c r="H541" s="1">
        <v>26.43</v>
      </c>
    </row>
    <row r="542" spans="1:8">
      <c r="A542" s="1" t="s">
        <v>1189</v>
      </c>
      <c r="B542" s="1" t="s">
        <v>1190</v>
      </c>
      <c r="C542" s="1" t="s">
        <v>1102</v>
      </c>
      <c r="D542" s="1" t="s">
        <v>12</v>
      </c>
      <c r="E542" s="1">
        <v>3066</v>
      </c>
      <c r="F542" s="1" t="s">
        <v>13</v>
      </c>
      <c r="G542" s="1">
        <v>682.1</v>
      </c>
      <c r="H542" s="1">
        <v>20.43</v>
      </c>
    </row>
    <row r="543" spans="1:8">
      <c r="A543" s="1" t="s">
        <v>1191</v>
      </c>
      <c r="B543" s="1" t="s">
        <v>1192</v>
      </c>
      <c r="C543" s="1" t="s">
        <v>1102</v>
      </c>
      <c r="D543" s="1" t="s">
        <v>12</v>
      </c>
      <c r="E543" s="1">
        <v>2252</v>
      </c>
      <c r="F543" s="1" t="s">
        <v>13</v>
      </c>
      <c r="G543" s="1">
        <v>467.45</v>
      </c>
      <c r="H543" s="1">
        <v>21.9</v>
      </c>
    </row>
    <row r="544" spans="1:8">
      <c r="A544" s="1" t="s">
        <v>1193</v>
      </c>
      <c r="B544" s="1" t="s">
        <v>1194</v>
      </c>
      <c r="C544" s="1" t="s">
        <v>1102</v>
      </c>
      <c r="D544" s="1" t="s">
        <v>12</v>
      </c>
      <c r="E544" s="1">
        <v>5927</v>
      </c>
      <c r="F544" s="1" t="s">
        <v>13</v>
      </c>
      <c r="G544" s="1">
        <v>933.01</v>
      </c>
      <c r="H544" s="1">
        <v>28.88</v>
      </c>
    </row>
    <row r="545" spans="1:8">
      <c r="A545" s="1" t="s">
        <v>1195</v>
      </c>
      <c r="B545" s="1" t="s">
        <v>1196</v>
      </c>
      <c r="C545" s="1" t="s">
        <v>1102</v>
      </c>
      <c r="D545" s="1" t="s">
        <v>12</v>
      </c>
      <c r="E545" s="1">
        <v>11338</v>
      </c>
      <c r="F545" s="1" t="s">
        <v>13</v>
      </c>
      <c r="G545" s="1">
        <v>1594.03</v>
      </c>
      <c r="H545" s="1">
        <v>32.340000000000003</v>
      </c>
    </row>
    <row r="546" spans="1:8">
      <c r="A546" s="1" t="s">
        <v>1197</v>
      </c>
      <c r="B546" s="1" t="s">
        <v>1198</v>
      </c>
      <c r="C546" s="1" t="s">
        <v>1102</v>
      </c>
      <c r="D546" s="1" t="s">
        <v>12</v>
      </c>
      <c r="E546" s="1">
        <v>9832</v>
      </c>
      <c r="F546" s="1" t="s">
        <v>13</v>
      </c>
      <c r="G546" s="1">
        <v>1571.5</v>
      </c>
      <c r="H546" s="1">
        <v>28.44</v>
      </c>
    </row>
    <row r="547" spans="1:8">
      <c r="A547" s="1" t="s">
        <v>1199</v>
      </c>
      <c r="B547" s="1" t="s">
        <v>1200</v>
      </c>
      <c r="C547" s="1" t="s">
        <v>1102</v>
      </c>
      <c r="D547" s="1" t="s">
        <v>12</v>
      </c>
      <c r="E547" s="1">
        <v>1541</v>
      </c>
      <c r="F547" s="1" t="s">
        <v>13</v>
      </c>
      <c r="G547" s="1">
        <v>273.93</v>
      </c>
      <c r="H547" s="1">
        <v>25.57</v>
      </c>
    </row>
    <row r="548" spans="1:8">
      <c r="A548" s="1" t="s">
        <v>1201</v>
      </c>
      <c r="B548" s="1" t="s">
        <v>1202</v>
      </c>
      <c r="C548" s="1" t="s">
        <v>1102</v>
      </c>
      <c r="D548" s="1" t="s">
        <v>12</v>
      </c>
      <c r="E548" s="1">
        <v>4100</v>
      </c>
      <c r="F548" s="1" t="s">
        <v>13</v>
      </c>
      <c r="G548" s="1">
        <v>710.99</v>
      </c>
      <c r="H548" s="1">
        <v>26.22</v>
      </c>
    </row>
    <row r="549" spans="1:8" hidden="1">
      <c r="A549" s="1" t="s">
        <v>1203</v>
      </c>
      <c r="B549" s="1" t="s">
        <v>1204</v>
      </c>
      <c r="C549" s="1" t="s">
        <v>1205</v>
      </c>
      <c r="D549" s="1" t="s">
        <v>12</v>
      </c>
      <c r="E549" s="1">
        <v>183</v>
      </c>
      <c r="F549" s="1" t="s">
        <v>623</v>
      </c>
      <c r="G549" s="1">
        <v>692.35</v>
      </c>
      <c r="H549" s="1">
        <v>0</v>
      </c>
    </row>
    <row r="550" spans="1:8">
      <c r="A550" s="1" t="s">
        <v>1206</v>
      </c>
      <c r="B550" s="1" t="s">
        <v>1207</v>
      </c>
      <c r="C550" s="1" t="s">
        <v>1102</v>
      </c>
      <c r="D550" s="1" t="s">
        <v>12</v>
      </c>
      <c r="E550" s="1">
        <v>10161</v>
      </c>
      <c r="F550" s="1" t="s">
        <v>13</v>
      </c>
      <c r="G550" s="1">
        <v>1390.91</v>
      </c>
      <c r="H550" s="1">
        <v>33.21</v>
      </c>
    </row>
    <row r="551" spans="1:8">
      <c r="A551" s="1" t="s">
        <v>1208</v>
      </c>
      <c r="B551" s="1" t="s">
        <v>1209</v>
      </c>
      <c r="C551" s="1" t="s">
        <v>1102</v>
      </c>
      <c r="D551" s="1" t="s">
        <v>12</v>
      </c>
      <c r="E551" s="1">
        <v>11372</v>
      </c>
      <c r="F551" s="1" t="s">
        <v>13</v>
      </c>
      <c r="G551" s="1">
        <v>1581.63</v>
      </c>
      <c r="H551" s="1">
        <v>32.69</v>
      </c>
    </row>
    <row r="552" spans="1:8" hidden="1">
      <c r="A552" s="1" t="s">
        <v>1210</v>
      </c>
      <c r="B552" s="1" t="s">
        <v>1211</v>
      </c>
      <c r="C552" s="1" t="s">
        <v>1205</v>
      </c>
      <c r="D552" s="1" t="s">
        <v>12</v>
      </c>
      <c r="E552" s="1">
        <v>0</v>
      </c>
      <c r="F552" s="1" t="s">
        <v>623</v>
      </c>
      <c r="G552" s="1">
        <v>0</v>
      </c>
      <c r="H552" s="1">
        <v>0</v>
      </c>
    </row>
    <row r="553" spans="1:8">
      <c r="A553" s="1" t="s">
        <v>1212</v>
      </c>
      <c r="B553" s="1" t="s">
        <v>1213</v>
      </c>
      <c r="C553" s="1" t="s">
        <v>1102</v>
      </c>
      <c r="D553" s="1" t="s">
        <v>12</v>
      </c>
      <c r="E553" s="1">
        <v>6418</v>
      </c>
      <c r="F553" s="1" t="s">
        <v>13</v>
      </c>
      <c r="G553" s="1">
        <v>998.5</v>
      </c>
      <c r="H553" s="1">
        <v>29.22</v>
      </c>
    </row>
    <row r="554" spans="1:8">
      <c r="A554" s="1" t="s">
        <v>1214</v>
      </c>
      <c r="B554" s="1" t="s">
        <v>1215</v>
      </c>
      <c r="C554" s="1" t="s">
        <v>1102</v>
      </c>
      <c r="D554" s="1" t="s">
        <v>12</v>
      </c>
      <c r="E554" s="1">
        <v>10748</v>
      </c>
      <c r="F554" s="1" t="s">
        <v>13</v>
      </c>
      <c r="G554" s="1">
        <v>1581.72</v>
      </c>
      <c r="H554" s="1">
        <v>30.89</v>
      </c>
    </row>
    <row r="555" spans="1:8">
      <c r="A555" s="1" t="s">
        <v>1216</v>
      </c>
      <c r="B555" s="1" t="s">
        <v>1217</v>
      </c>
      <c r="C555" s="1" t="s">
        <v>1102</v>
      </c>
      <c r="D555" s="1" t="s">
        <v>12</v>
      </c>
      <c r="E555" s="1">
        <v>7518</v>
      </c>
      <c r="F555" s="1" t="s">
        <v>13</v>
      </c>
      <c r="G555" s="1">
        <v>1228.8699999999999</v>
      </c>
      <c r="H555" s="1">
        <v>27.81</v>
      </c>
    </row>
    <row r="556" spans="1:8">
      <c r="A556" s="1" t="s">
        <v>1218</v>
      </c>
      <c r="B556" s="1" t="s">
        <v>1219</v>
      </c>
      <c r="C556" s="1" t="s">
        <v>1102</v>
      </c>
      <c r="D556" s="1" t="s">
        <v>12</v>
      </c>
      <c r="E556" s="1">
        <v>5511</v>
      </c>
      <c r="F556" s="1" t="s">
        <v>13</v>
      </c>
      <c r="G556" s="1">
        <v>933.68</v>
      </c>
      <c r="H556" s="1">
        <v>26.83</v>
      </c>
    </row>
    <row r="557" spans="1:8">
      <c r="A557" s="1" t="s">
        <v>1220</v>
      </c>
      <c r="B557" s="1" t="s">
        <v>1221</v>
      </c>
      <c r="C557" s="1" t="s">
        <v>1102</v>
      </c>
      <c r="D557" s="1" t="s">
        <v>12</v>
      </c>
      <c r="E557" s="1">
        <v>8078</v>
      </c>
      <c r="F557" s="1" t="s">
        <v>13</v>
      </c>
      <c r="G557" s="1">
        <v>1362.07</v>
      </c>
      <c r="H557" s="1">
        <v>26.96</v>
      </c>
    </row>
    <row r="558" spans="1:8">
      <c r="A558" s="1" t="s">
        <v>1222</v>
      </c>
      <c r="B558" s="1" t="s">
        <v>1223</v>
      </c>
      <c r="C558" s="1" t="s">
        <v>1102</v>
      </c>
      <c r="D558" s="1" t="s">
        <v>12</v>
      </c>
      <c r="E558" s="1">
        <v>5957</v>
      </c>
      <c r="F558" s="1" t="s">
        <v>13</v>
      </c>
      <c r="G558" s="1">
        <v>953.52</v>
      </c>
      <c r="H558" s="1">
        <v>28.4</v>
      </c>
    </row>
    <row r="559" spans="1:8">
      <c r="A559" s="1" t="s">
        <v>1224</v>
      </c>
      <c r="B559" s="1" t="s">
        <v>1225</v>
      </c>
      <c r="C559" s="1" t="s">
        <v>1102</v>
      </c>
      <c r="D559" s="1" t="s">
        <v>12</v>
      </c>
      <c r="E559" s="1">
        <v>8561</v>
      </c>
      <c r="F559" s="1" t="s">
        <v>13</v>
      </c>
      <c r="G559" s="1">
        <v>1191.33</v>
      </c>
      <c r="H559" s="1">
        <v>32.67</v>
      </c>
    </row>
    <row r="560" spans="1:8" hidden="1">
      <c r="A560" s="1" t="s">
        <v>1226</v>
      </c>
      <c r="B560" s="1" t="s">
        <v>1227</v>
      </c>
      <c r="C560" s="1" t="s">
        <v>1228</v>
      </c>
      <c r="D560" s="1" t="s">
        <v>12</v>
      </c>
      <c r="E560" s="1">
        <v>50</v>
      </c>
      <c r="F560" s="1" t="s">
        <v>623</v>
      </c>
      <c r="G560" s="1">
        <v>93.24</v>
      </c>
      <c r="H560" s="1">
        <v>0</v>
      </c>
    </row>
    <row r="561" spans="1:8">
      <c r="A561" s="1" t="s">
        <v>1229</v>
      </c>
      <c r="B561" s="1" t="s">
        <v>1230</v>
      </c>
      <c r="C561" s="1" t="s">
        <v>1102</v>
      </c>
      <c r="D561" s="1" t="s">
        <v>12</v>
      </c>
      <c r="E561" s="1">
        <v>6781</v>
      </c>
      <c r="F561" s="1" t="s">
        <v>13</v>
      </c>
      <c r="G561" s="1">
        <v>980.49</v>
      </c>
      <c r="H561" s="1">
        <v>31.44</v>
      </c>
    </row>
    <row r="562" spans="1:8">
      <c r="A562" s="1" t="s">
        <v>1231</v>
      </c>
      <c r="B562" s="1" t="s">
        <v>1232</v>
      </c>
      <c r="C562" s="1" t="s">
        <v>1102</v>
      </c>
      <c r="D562" s="1" t="s">
        <v>12</v>
      </c>
      <c r="E562" s="1">
        <v>6471</v>
      </c>
      <c r="F562" s="1" t="s">
        <v>13</v>
      </c>
      <c r="G562" s="1">
        <v>1132.28</v>
      </c>
      <c r="H562" s="1">
        <v>25.98</v>
      </c>
    </row>
    <row r="563" spans="1:8">
      <c r="A563" s="1" t="s">
        <v>1233</v>
      </c>
      <c r="B563" s="1" t="s">
        <v>1234</v>
      </c>
      <c r="C563" s="1" t="s">
        <v>1102</v>
      </c>
      <c r="D563" s="1" t="s">
        <v>12</v>
      </c>
      <c r="E563" s="1">
        <v>14108</v>
      </c>
      <c r="F563" s="1" t="s">
        <v>13</v>
      </c>
      <c r="G563" s="1">
        <v>2063.17</v>
      </c>
      <c r="H563" s="1">
        <v>31.09</v>
      </c>
    </row>
    <row r="564" spans="1:8" hidden="1">
      <c r="A564" s="1" t="s">
        <v>1235</v>
      </c>
      <c r="B564" s="1" t="s">
        <v>1236</v>
      </c>
      <c r="C564" s="1" t="s">
        <v>1228</v>
      </c>
      <c r="D564" s="1" t="s">
        <v>12</v>
      </c>
      <c r="E564" s="1">
        <v>184</v>
      </c>
      <c r="F564" s="1" t="s">
        <v>623</v>
      </c>
      <c r="G564" s="1">
        <v>386.71</v>
      </c>
      <c r="H564" s="1">
        <v>0</v>
      </c>
    </row>
    <row r="565" spans="1:8">
      <c r="A565" s="1" t="s">
        <v>1237</v>
      </c>
      <c r="B565" s="1" t="s">
        <v>1238</v>
      </c>
      <c r="C565" s="1" t="s">
        <v>1102</v>
      </c>
      <c r="D565" s="1" t="s">
        <v>12</v>
      </c>
      <c r="E565" s="1">
        <v>4059</v>
      </c>
      <c r="F565" s="1" t="s">
        <v>13</v>
      </c>
      <c r="G565" s="1">
        <v>671.21</v>
      </c>
      <c r="H565" s="1">
        <v>27.49</v>
      </c>
    </row>
    <row r="566" spans="1:8">
      <c r="A566" s="1" t="s">
        <v>1239</v>
      </c>
      <c r="B566" s="1" t="s">
        <v>1240</v>
      </c>
      <c r="C566" s="1" t="s">
        <v>1228</v>
      </c>
      <c r="D566" s="1" t="s">
        <v>12</v>
      </c>
      <c r="E566" s="1">
        <v>43</v>
      </c>
      <c r="F566" s="1" t="s">
        <v>13</v>
      </c>
      <c r="G566" s="1">
        <v>96.62</v>
      </c>
      <c r="H566" s="1">
        <v>2.02</v>
      </c>
    </row>
    <row r="567" spans="1:8">
      <c r="A567" s="1" t="s">
        <v>1241</v>
      </c>
      <c r="B567" s="1" t="s">
        <v>1242</v>
      </c>
      <c r="C567" s="1" t="s">
        <v>1243</v>
      </c>
      <c r="D567" s="1" t="s">
        <v>12</v>
      </c>
      <c r="E567" s="1">
        <v>4383</v>
      </c>
      <c r="F567" s="1" t="s">
        <v>13</v>
      </c>
      <c r="G567" s="1">
        <v>666.95</v>
      </c>
      <c r="H567" s="1">
        <v>29.88</v>
      </c>
    </row>
    <row r="568" spans="1:8">
      <c r="A568" s="1" t="s">
        <v>1244</v>
      </c>
      <c r="B568" s="1" t="s">
        <v>1245</v>
      </c>
      <c r="C568" s="1" t="s">
        <v>1102</v>
      </c>
      <c r="D568" s="1" t="s">
        <v>12</v>
      </c>
      <c r="E568" s="1">
        <v>8914</v>
      </c>
      <c r="F568" s="1" t="s">
        <v>13</v>
      </c>
      <c r="G568" s="1">
        <v>1430.81</v>
      </c>
      <c r="H568" s="1">
        <v>28.32</v>
      </c>
    </row>
    <row r="569" spans="1:8">
      <c r="A569" s="1" t="s">
        <v>1246</v>
      </c>
      <c r="B569" s="1" t="s">
        <v>1247</v>
      </c>
      <c r="C569" s="1" t="s">
        <v>1102</v>
      </c>
      <c r="D569" s="1" t="s">
        <v>12</v>
      </c>
      <c r="E569" s="1">
        <v>7267</v>
      </c>
      <c r="F569" s="1" t="s">
        <v>13</v>
      </c>
      <c r="G569" s="1">
        <v>1101.6500000000001</v>
      </c>
      <c r="H569" s="1">
        <v>29.99</v>
      </c>
    </row>
    <row r="570" spans="1:8">
      <c r="A570" s="1" t="s">
        <v>1248</v>
      </c>
      <c r="B570" s="1" t="s">
        <v>1249</v>
      </c>
      <c r="C570" s="1" t="s">
        <v>1102</v>
      </c>
      <c r="D570" s="1" t="s">
        <v>12</v>
      </c>
      <c r="E570" s="1">
        <v>2181</v>
      </c>
      <c r="F570" s="1" t="s">
        <v>13</v>
      </c>
      <c r="G570" s="1">
        <v>418.03</v>
      </c>
      <c r="H570" s="1">
        <v>23.72</v>
      </c>
    </row>
    <row r="571" spans="1:8">
      <c r="A571" s="1" t="s">
        <v>1250</v>
      </c>
      <c r="B571" s="1" t="s">
        <v>1251</v>
      </c>
      <c r="C571" s="1" t="s">
        <v>1102</v>
      </c>
      <c r="D571" s="1" t="s">
        <v>12</v>
      </c>
      <c r="E571" s="1">
        <v>6003</v>
      </c>
      <c r="F571" s="1" t="s">
        <v>13</v>
      </c>
      <c r="G571" s="1">
        <v>1104.43</v>
      </c>
      <c r="H571" s="1">
        <v>24.71</v>
      </c>
    </row>
    <row r="572" spans="1:8" hidden="1">
      <c r="A572" s="1" t="s">
        <v>1252</v>
      </c>
      <c r="B572" s="1" t="s">
        <v>1253</v>
      </c>
      <c r="C572" s="1" t="s">
        <v>1254</v>
      </c>
      <c r="D572" s="1" t="s">
        <v>12</v>
      </c>
      <c r="E572" s="1">
        <v>-17122</v>
      </c>
      <c r="F572" s="1" t="s">
        <v>623</v>
      </c>
      <c r="G572" s="1">
        <v>634.12</v>
      </c>
      <c r="H572" s="1">
        <v>0</v>
      </c>
    </row>
    <row r="573" spans="1:8">
      <c r="A573" s="1" t="s">
        <v>1255</v>
      </c>
      <c r="B573" s="1" t="s">
        <v>1256</v>
      </c>
      <c r="C573" s="1" t="s">
        <v>1102</v>
      </c>
      <c r="D573" s="1" t="s">
        <v>12</v>
      </c>
      <c r="E573" s="1">
        <v>9589</v>
      </c>
      <c r="F573" s="1" t="s">
        <v>13</v>
      </c>
      <c r="G573" s="1">
        <v>1405.09</v>
      </c>
      <c r="H573" s="1">
        <v>31.02</v>
      </c>
    </row>
    <row r="574" spans="1:8">
      <c r="A574" s="1" t="s">
        <v>1257</v>
      </c>
      <c r="B574" s="1" t="s">
        <v>1258</v>
      </c>
      <c r="C574" s="1" t="s">
        <v>1102</v>
      </c>
      <c r="D574" s="1" t="s">
        <v>12</v>
      </c>
      <c r="E574" s="1">
        <v>9952</v>
      </c>
      <c r="F574" s="1" t="s">
        <v>13</v>
      </c>
      <c r="G574" s="1">
        <v>1611.57</v>
      </c>
      <c r="H574" s="1">
        <v>28.07</v>
      </c>
    </row>
    <row r="575" spans="1:8" hidden="1">
      <c r="A575" s="1" t="s">
        <v>1259</v>
      </c>
      <c r="B575" s="1" t="s">
        <v>1260</v>
      </c>
      <c r="C575" s="1" t="s">
        <v>1254</v>
      </c>
      <c r="D575" s="1" t="s">
        <v>12</v>
      </c>
      <c r="E575" s="1">
        <v>141</v>
      </c>
      <c r="F575" s="1" t="s">
        <v>623</v>
      </c>
      <c r="G575" s="1">
        <v>389.81</v>
      </c>
      <c r="H575" s="1">
        <v>0</v>
      </c>
    </row>
    <row r="576" spans="1:8">
      <c r="A576" s="1" t="s">
        <v>1261</v>
      </c>
      <c r="B576" s="1" t="s">
        <v>1262</v>
      </c>
      <c r="C576" s="1" t="s">
        <v>1102</v>
      </c>
      <c r="D576" s="1" t="s">
        <v>12</v>
      </c>
      <c r="E576" s="1">
        <v>9396</v>
      </c>
      <c r="F576" s="1" t="s">
        <v>13</v>
      </c>
      <c r="G576" s="1">
        <v>1459.16</v>
      </c>
      <c r="H576" s="1">
        <v>29.27</v>
      </c>
    </row>
    <row r="577" spans="1:8">
      <c r="A577" s="1" t="s">
        <v>1263</v>
      </c>
      <c r="B577" s="1" t="s">
        <v>1264</v>
      </c>
      <c r="C577" s="1" t="s">
        <v>1102</v>
      </c>
      <c r="D577" s="1" t="s">
        <v>12</v>
      </c>
      <c r="E577" s="1">
        <v>13709</v>
      </c>
      <c r="F577" s="1" t="s">
        <v>13</v>
      </c>
      <c r="G577" s="1">
        <v>2127.8200000000002</v>
      </c>
      <c r="H577" s="1">
        <v>29.29</v>
      </c>
    </row>
    <row r="578" spans="1:8">
      <c r="A578" s="1" t="s">
        <v>1265</v>
      </c>
      <c r="B578" s="1" t="s">
        <v>1266</v>
      </c>
      <c r="C578" s="1" t="s">
        <v>1102</v>
      </c>
      <c r="D578" s="1" t="s">
        <v>12</v>
      </c>
      <c r="E578" s="1">
        <v>3818</v>
      </c>
      <c r="F578" s="1" t="s">
        <v>13</v>
      </c>
      <c r="G578" s="1">
        <v>699.38</v>
      </c>
      <c r="H578" s="1">
        <v>24.82</v>
      </c>
    </row>
    <row r="579" spans="1:8">
      <c r="A579" s="1" t="s">
        <v>1267</v>
      </c>
      <c r="B579" s="1" t="s">
        <v>1268</v>
      </c>
      <c r="C579" s="1" t="s">
        <v>1102</v>
      </c>
      <c r="D579" s="1" t="s">
        <v>12</v>
      </c>
      <c r="E579" s="1">
        <v>12219</v>
      </c>
      <c r="F579" s="1" t="s">
        <v>13</v>
      </c>
      <c r="G579" s="1">
        <v>1950.14</v>
      </c>
      <c r="H579" s="1">
        <v>28.48</v>
      </c>
    </row>
    <row r="580" spans="1:8" hidden="1">
      <c r="A580" s="1" t="s">
        <v>1269</v>
      </c>
      <c r="B580" s="1" t="s">
        <v>1270</v>
      </c>
      <c r="C580" s="1" t="s">
        <v>1271</v>
      </c>
      <c r="D580" s="1" t="s">
        <v>669</v>
      </c>
      <c r="E580" s="1">
        <v>0</v>
      </c>
      <c r="F580" s="1" t="s">
        <v>623</v>
      </c>
      <c r="G580" s="1">
        <v>0</v>
      </c>
      <c r="H580" s="1">
        <v>0</v>
      </c>
    </row>
    <row r="581" spans="1:8">
      <c r="A581" s="1" t="s">
        <v>1272</v>
      </c>
      <c r="B581" s="1" t="s">
        <v>1273</v>
      </c>
      <c r="C581" s="1" t="s">
        <v>1102</v>
      </c>
      <c r="D581" s="1" t="s">
        <v>12</v>
      </c>
      <c r="E581" s="1">
        <v>7991</v>
      </c>
      <c r="F581" s="1" t="s">
        <v>13</v>
      </c>
      <c r="G581" s="1">
        <v>1088.8800000000001</v>
      </c>
      <c r="H581" s="1">
        <v>33.36</v>
      </c>
    </row>
    <row r="582" spans="1:8">
      <c r="A582" s="1" t="s">
        <v>1274</v>
      </c>
      <c r="B582" s="1" t="s">
        <v>1275</v>
      </c>
      <c r="C582" s="1" t="s">
        <v>1276</v>
      </c>
      <c r="D582" s="1" t="s">
        <v>12</v>
      </c>
      <c r="E582" s="1">
        <v>6604</v>
      </c>
      <c r="F582" s="1" t="s">
        <v>13</v>
      </c>
      <c r="G582" s="1">
        <v>871.04</v>
      </c>
      <c r="H582" s="1">
        <v>34.47</v>
      </c>
    </row>
    <row r="583" spans="1:8">
      <c r="A583" s="1" t="s">
        <v>1277</v>
      </c>
      <c r="B583" s="1" t="s">
        <v>1278</v>
      </c>
      <c r="C583" s="1" t="s">
        <v>1102</v>
      </c>
      <c r="D583" s="1" t="s">
        <v>12</v>
      </c>
      <c r="E583" s="1">
        <v>8657</v>
      </c>
      <c r="F583" s="1" t="s">
        <v>13</v>
      </c>
      <c r="G583" s="1">
        <v>1306.78</v>
      </c>
      <c r="H583" s="1">
        <v>30.12</v>
      </c>
    </row>
    <row r="584" spans="1:8">
      <c r="A584" s="1" t="s">
        <v>1279</v>
      </c>
      <c r="B584" s="1" t="s">
        <v>1280</v>
      </c>
      <c r="C584" s="1" t="s">
        <v>937</v>
      </c>
      <c r="D584" s="1" t="s">
        <v>12</v>
      </c>
      <c r="E584" s="1">
        <v>12022</v>
      </c>
      <c r="F584" s="1" t="s">
        <v>13</v>
      </c>
      <c r="G584" s="1">
        <v>1866.91</v>
      </c>
      <c r="H584" s="1">
        <v>29.27</v>
      </c>
    </row>
    <row r="585" spans="1:8">
      <c r="A585" s="1" t="s">
        <v>1281</v>
      </c>
      <c r="B585" s="1" t="s">
        <v>1282</v>
      </c>
      <c r="C585" s="1" t="s">
        <v>937</v>
      </c>
      <c r="D585" s="1" t="s">
        <v>12</v>
      </c>
      <c r="E585" s="1">
        <v>3157</v>
      </c>
      <c r="F585" s="1" t="s">
        <v>13</v>
      </c>
      <c r="G585" s="1">
        <v>566.95000000000005</v>
      </c>
      <c r="H585" s="1">
        <v>25.31</v>
      </c>
    </row>
    <row r="586" spans="1:8">
      <c r="A586" s="1" t="s">
        <v>1283</v>
      </c>
      <c r="B586" s="1" t="s">
        <v>1284</v>
      </c>
      <c r="C586" s="1" t="s">
        <v>1285</v>
      </c>
      <c r="D586" s="1" t="s">
        <v>12</v>
      </c>
      <c r="E586" s="1">
        <v>2558</v>
      </c>
      <c r="F586" s="1" t="s">
        <v>13</v>
      </c>
      <c r="G586" s="1">
        <v>603.79</v>
      </c>
      <c r="H586" s="1">
        <v>19.260000000000002</v>
      </c>
    </row>
    <row r="587" spans="1:8">
      <c r="A587" s="1" t="s">
        <v>1286</v>
      </c>
      <c r="B587" s="1" t="s">
        <v>1287</v>
      </c>
      <c r="C587" s="1" t="s">
        <v>1285</v>
      </c>
      <c r="D587" s="1" t="s">
        <v>12</v>
      </c>
      <c r="E587" s="1">
        <v>6780</v>
      </c>
      <c r="F587" s="1" t="s">
        <v>13</v>
      </c>
      <c r="G587" s="1">
        <v>1227.53</v>
      </c>
      <c r="H587" s="1">
        <v>25.11</v>
      </c>
    </row>
    <row r="588" spans="1:8">
      <c r="A588" s="1" t="s">
        <v>1288</v>
      </c>
      <c r="B588" s="1" t="s">
        <v>1289</v>
      </c>
      <c r="C588" s="1" t="s">
        <v>1285</v>
      </c>
      <c r="D588" s="1" t="s">
        <v>12</v>
      </c>
      <c r="E588" s="1">
        <v>3796</v>
      </c>
      <c r="F588" s="1" t="s">
        <v>13</v>
      </c>
      <c r="G588" s="1">
        <v>653.46</v>
      </c>
      <c r="H588" s="1">
        <v>26.41</v>
      </c>
    </row>
    <row r="589" spans="1:8">
      <c r="A589" s="1" t="s">
        <v>1290</v>
      </c>
      <c r="B589" s="1" t="s">
        <v>1291</v>
      </c>
      <c r="C589" s="1" t="s">
        <v>1285</v>
      </c>
      <c r="D589" s="1" t="s">
        <v>12</v>
      </c>
      <c r="E589" s="1">
        <v>5010</v>
      </c>
      <c r="F589" s="1" t="s">
        <v>13</v>
      </c>
      <c r="G589" s="1">
        <v>767.59</v>
      </c>
      <c r="H589" s="1">
        <v>29.67</v>
      </c>
    </row>
    <row r="590" spans="1:8">
      <c r="A590" s="1" t="s">
        <v>1292</v>
      </c>
      <c r="B590" s="1" t="s">
        <v>1293</v>
      </c>
      <c r="C590" s="1" t="s">
        <v>1285</v>
      </c>
      <c r="D590" s="1" t="s">
        <v>12</v>
      </c>
      <c r="E590" s="1">
        <v>4941</v>
      </c>
      <c r="F590" s="1" t="s">
        <v>13</v>
      </c>
      <c r="G590" s="1">
        <v>829.31</v>
      </c>
      <c r="H590" s="1">
        <v>27.09</v>
      </c>
    </row>
    <row r="591" spans="1:8">
      <c r="A591" s="1" t="s">
        <v>1294</v>
      </c>
      <c r="B591" s="1" t="s">
        <v>1295</v>
      </c>
      <c r="C591" s="1" t="s">
        <v>1296</v>
      </c>
      <c r="D591" s="1" t="s">
        <v>12</v>
      </c>
      <c r="E591" s="1">
        <v>2542</v>
      </c>
      <c r="F591" s="1" t="s">
        <v>13</v>
      </c>
      <c r="G591" s="1">
        <v>495.86</v>
      </c>
      <c r="H591" s="1">
        <v>23.31</v>
      </c>
    </row>
    <row r="592" spans="1:8">
      <c r="A592" s="1" t="s">
        <v>1297</v>
      </c>
      <c r="B592" s="1" t="s">
        <v>1298</v>
      </c>
      <c r="C592" s="1" t="s">
        <v>1285</v>
      </c>
      <c r="D592" s="1" t="s">
        <v>12</v>
      </c>
      <c r="E592" s="1">
        <v>7818</v>
      </c>
      <c r="F592" s="1" t="s">
        <v>13</v>
      </c>
      <c r="G592" s="1">
        <v>1010.89</v>
      </c>
      <c r="H592" s="1">
        <v>35.159999999999997</v>
      </c>
    </row>
    <row r="593" spans="1:8">
      <c r="A593" s="1" t="s">
        <v>1299</v>
      </c>
      <c r="B593" s="1" t="s">
        <v>1300</v>
      </c>
      <c r="C593" s="1" t="s">
        <v>1285</v>
      </c>
      <c r="D593" s="1" t="s">
        <v>12</v>
      </c>
      <c r="E593" s="1">
        <v>5822</v>
      </c>
      <c r="F593" s="1" t="s">
        <v>13</v>
      </c>
      <c r="G593" s="1">
        <v>1154.95</v>
      </c>
      <c r="H593" s="1">
        <v>22.92</v>
      </c>
    </row>
    <row r="594" spans="1:8">
      <c r="A594" s="1" t="s">
        <v>1301</v>
      </c>
      <c r="B594" s="1" t="s">
        <v>1302</v>
      </c>
      <c r="C594" s="1" t="s">
        <v>1285</v>
      </c>
      <c r="D594" s="1" t="s">
        <v>12</v>
      </c>
      <c r="E594" s="1">
        <v>15093</v>
      </c>
      <c r="F594" s="1" t="s">
        <v>13</v>
      </c>
      <c r="G594" s="1">
        <v>2036.48</v>
      </c>
      <c r="H594" s="1">
        <v>33.69</v>
      </c>
    </row>
    <row r="595" spans="1:8">
      <c r="A595" s="1" t="s">
        <v>1303</v>
      </c>
      <c r="B595" s="1" t="s">
        <v>1304</v>
      </c>
      <c r="C595" s="1" t="s">
        <v>1285</v>
      </c>
      <c r="D595" s="1" t="s">
        <v>12</v>
      </c>
      <c r="E595" s="1">
        <v>9151</v>
      </c>
      <c r="F595" s="1" t="s">
        <v>13</v>
      </c>
      <c r="G595" s="1">
        <v>1533.02</v>
      </c>
      <c r="H595" s="1">
        <v>27.14</v>
      </c>
    </row>
    <row r="596" spans="1:8">
      <c r="A596" s="1" t="s">
        <v>1305</v>
      </c>
      <c r="B596" s="1" t="s">
        <v>1306</v>
      </c>
      <c r="C596" s="1" t="s">
        <v>1285</v>
      </c>
      <c r="D596" s="1" t="s">
        <v>12</v>
      </c>
      <c r="E596" s="1">
        <v>5000</v>
      </c>
      <c r="F596" s="1" t="s">
        <v>13</v>
      </c>
      <c r="G596" s="1">
        <v>1088.8</v>
      </c>
      <c r="H596" s="1">
        <v>20.88</v>
      </c>
    </row>
    <row r="597" spans="1:8">
      <c r="A597" s="1" t="s">
        <v>1307</v>
      </c>
      <c r="B597" s="1" t="s">
        <v>1308</v>
      </c>
      <c r="C597" s="1" t="s">
        <v>1285</v>
      </c>
      <c r="D597" s="1" t="s">
        <v>12</v>
      </c>
      <c r="E597" s="1">
        <v>8548</v>
      </c>
      <c r="F597" s="1" t="s">
        <v>13</v>
      </c>
      <c r="G597" s="1">
        <v>1261.52</v>
      </c>
      <c r="H597" s="1">
        <v>30.8</v>
      </c>
    </row>
    <row r="598" spans="1:8">
      <c r="A598" s="1" t="s">
        <v>1309</v>
      </c>
      <c r="B598" s="1" t="s">
        <v>1310</v>
      </c>
      <c r="C598" s="1" t="s">
        <v>1285</v>
      </c>
      <c r="D598" s="1" t="s">
        <v>12</v>
      </c>
      <c r="E598" s="1">
        <v>5048</v>
      </c>
      <c r="F598" s="1" t="s">
        <v>13</v>
      </c>
      <c r="G598" s="1">
        <v>948.26</v>
      </c>
      <c r="H598" s="1">
        <v>24.2</v>
      </c>
    </row>
    <row r="599" spans="1:8">
      <c r="A599" s="1" t="s">
        <v>1311</v>
      </c>
      <c r="B599" s="1" t="s">
        <v>1312</v>
      </c>
      <c r="C599" s="1" t="s">
        <v>1285</v>
      </c>
      <c r="D599" s="1" t="s">
        <v>12</v>
      </c>
      <c r="E599" s="1">
        <v>11509</v>
      </c>
      <c r="F599" s="1" t="s">
        <v>13</v>
      </c>
      <c r="G599" s="1">
        <v>1602.94</v>
      </c>
      <c r="H599" s="1">
        <v>32.64</v>
      </c>
    </row>
    <row r="600" spans="1:8" hidden="1">
      <c r="A600" s="1" t="s">
        <v>1313</v>
      </c>
      <c r="B600" s="1" t="s">
        <v>1313</v>
      </c>
      <c r="C600" s="1" t="s">
        <v>1314</v>
      </c>
      <c r="D600" s="1" t="s">
        <v>12</v>
      </c>
      <c r="E600" s="1">
        <v>203</v>
      </c>
      <c r="F600" s="1" t="s">
        <v>623</v>
      </c>
      <c r="G600" s="1">
        <v>272.43</v>
      </c>
      <c r="H600" s="1">
        <v>0</v>
      </c>
    </row>
    <row r="601" spans="1:8">
      <c r="A601" s="1" t="s">
        <v>1315</v>
      </c>
      <c r="B601" s="1" t="s">
        <v>1316</v>
      </c>
      <c r="C601" s="1" t="s">
        <v>1285</v>
      </c>
      <c r="D601" s="1" t="s">
        <v>12</v>
      </c>
      <c r="E601" s="1">
        <v>10044</v>
      </c>
      <c r="F601" s="1" t="s">
        <v>13</v>
      </c>
      <c r="G601" s="1">
        <v>1625.58</v>
      </c>
      <c r="H601" s="1">
        <v>28.09</v>
      </c>
    </row>
    <row r="602" spans="1:8">
      <c r="A602" s="1" t="s">
        <v>1317</v>
      </c>
      <c r="B602" s="1" t="s">
        <v>1318</v>
      </c>
      <c r="C602" s="1" t="s">
        <v>937</v>
      </c>
      <c r="D602" s="1" t="s">
        <v>12</v>
      </c>
      <c r="E602" s="1">
        <v>8037</v>
      </c>
      <c r="F602" s="1" t="s">
        <v>13</v>
      </c>
      <c r="G602" s="1">
        <v>1401.12</v>
      </c>
      <c r="H602" s="1">
        <v>26.08</v>
      </c>
    </row>
    <row r="603" spans="1:8">
      <c r="A603" s="1" t="s">
        <v>1319</v>
      </c>
      <c r="B603" s="1" t="s">
        <v>1320</v>
      </c>
      <c r="C603" s="1" t="s">
        <v>1285</v>
      </c>
      <c r="D603" s="1" t="s">
        <v>12</v>
      </c>
      <c r="E603" s="1">
        <v>9078</v>
      </c>
      <c r="F603" s="1" t="s">
        <v>13</v>
      </c>
      <c r="G603" s="1">
        <v>1507.35</v>
      </c>
      <c r="H603" s="1">
        <v>27.38</v>
      </c>
    </row>
    <row r="604" spans="1:8">
      <c r="A604" s="1" t="s">
        <v>1321</v>
      </c>
      <c r="B604" s="1" t="s">
        <v>1322</v>
      </c>
      <c r="C604" s="1" t="s">
        <v>1285</v>
      </c>
      <c r="D604" s="1" t="s">
        <v>12</v>
      </c>
      <c r="E604" s="1">
        <v>13540</v>
      </c>
      <c r="F604" s="1" t="s">
        <v>13</v>
      </c>
      <c r="G604" s="1">
        <v>1718.67</v>
      </c>
      <c r="H604" s="1">
        <v>35.81</v>
      </c>
    </row>
    <row r="605" spans="1:8">
      <c r="A605" s="1" t="s">
        <v>1323</v>
      </c>
      <c r="B605" s="1" t="s">
        <v>1324</v>
      </c>
      <c r="C605" s="1" t="s">
        <v>1285</v>
      </c>
      <c r="D605" s="1" t="s">
        <v>12</v>
      </c>
      <c r="E605" s="1">
        <v>8482</v>
      </c>
      <c r="F605" s="1" t="s">
        <v>13</v>
      </c>
      <c r="G605" s="1">
        <v>1439.88</v>
      </c>
      <c r="H605" s="1">
        <v>26.78</v>
      </c>
    </row>
    <row r="606" spans="1:8">
      <c r="A606" s="1" t="s">
        <v>1325</v>
      </c>
      <c r="B606" s="1" t="s">
        <v>1326</v>
      </c>
      <c r="C606" s="1" t="s">
        <v>1285</v>
      </c>
      <c r="D606" s="1" t="s">
        <v>12</v>
      </c>
      <c r="E606" s="1">
        <v>11619</v>
      </c>
      <c r="F606" s="1" t="s">
        <v>13</v>
      </c>
      <c r="G606" s="1">
        <v>1752.16</v>
      </c>
      <c r="H606" s="1">
        <v>30.15</v>
      </c>
    </row>
    <row r="607" spans="1:8">
      <c r="A607" s="1" t="s">
        <v>1327</v>
      </c>
      <c r="B607" s="1" t="s">
        <v>1328</v>
      </c>
      <c r="C607" s="1" t="s">
        <v>1285</v>
      </c>
      <c r="D607" s="1" t="s">
        <v>12</v>
      </c>
      <c r="E607" s="1">
        <v>6453</v>
      </c>
      <c r="F607" s="1" t="s">
        <v>13</v>
      </c>
      <c r="G607" s="1">
        <v>1110.8</v>
      </c>
      <c r="H607" s="1">
        <v>26.41</v>
      </c>
    </row>
    <row r="608" spans="1:8">
      <c r="A608" s="1" t="s">
        <v>1329</v>
      </c>
      <c r="B608" s="1" t="s">
        <v>1330</v>
      </c>
      <c r="C608" s="1" t="s">
        <v>1285</v>
      </c>
      <c r="D608" s="1" t="s">
        <v>12</v>
      </c>
      <c r="E608" s="1">
        <v>8044</v>
      </c>
      <c r="F608" s="1" t="s">
        <v>13</v>
      </c>
      <c r="G608" s="1">
        <v>1365.77</v>
      </c>
      <c r="H608" s="1">
        <v>26.78</v>
      </c>
    </row>
    <row r="609" spans="1:8">
      <c r="A609" s="1" t="s">
        <v>1331</v>
      </c>
      <c r="B609" s="1" t="s">
        <v>1332</v>
      </c>
      <c r="C609" s="1" t="s">
        <v>1285</v>
      </c>
      <c r="D609" s="1" t="s">
        <v>12</v>
      </c>
      <c r="E609" s="1">
        <v>10791</v>
      </c>
      <c r="F609" s="1" t="s">
        <v>13</v>
      </c>
      <c r="G609" s="1">
        <v>1579</v>
      </c>
      <c r="H609" s="1">
        <v>31.07</v>
      </c>
    </row>
    <row r="610" spans="1:8">
      <c r="A610" s="1" t="s">
        <v>1333</v>
      </c>
      <c r="B610" s="1" t="s">
        <v>1334</v>
      </c>
      <c r="C610" s="1" t="s">
        <v>1285</v>
      </c>
      <c r="D610" s="1" t="s">
        <v>12</v>
      </c>
      <c r="E610" s="1">
        <v>2494</v>
      </c>
      <c r="F610" s="1" t="s">
        <v>13</v>
      </c>
      <c r="G610" s="1">
        <v>521.67999999999995</v>
      </c>
      <c r="H610" s="1">
        <v>21.73</v>
      </c>
    </row>
    <row r="611" spans="1:8">
      <c r="A611" s="1" t="s">
        <v>1335</v>
      </c>
      <c r="B611" s="1" t="s">
        <v>1336</v>
      </c>
      <c r="C611" s="1" t="s">
        <v>1285</v>
      </c>
      <c r="D611" s="1" t="s">
        <v>12</v>
      </c>
      <c r="E611" s="1">
        <v>6952</v>
      </c>
      <c r="F611" s="1" t="s">
        <v>13</v>
      </c>
      <c r="G611" s="1">
        <v>1105.02</v>
      </c>
      <c r="H611" s="1">
        <v>28.6</v>
      </c>
    </row>
    <row r="612" spans="1:8">
      <c r="A612" s="1" t="s">
        <v>1337</v>
      </c>
      <c r="B612" s="1" t="s">
        <v>1338</v>
      </c>
      <c r="C612" s="1" t="s">
        <v>1285</v>
      </c>
      <c r="D612" s="1" t="s">
        <v>12</v>
      </c>
      <c r="E612" s="1">
        <v>2640</v>
      </c>
      <c r="F612" s="1" t="s">
        <v>13</v>
      </c>
      <c r="G612" s="1">
        <v>536.91</v>
      </c>
      <c r="H612" s="1">
        <v>22.35</v>
      </c>
    </row>
    <row r="613" spans="1:8">
      <c r="A613" s="1" t="s">
        <v>1339</v>
      </c>
      <c r="B613" s="1" t="s">
        <v>1340</v>
      </c>
      <c r="C613" s="1" t="s">
        <v>1285</v>
      </c>
      <c r="D613" s="1" t="s">
        <v>12</v>
      </c>
      <c r="E613" s="1">
        <v>3958</v>
      </c>
      <c r="F613" s="1" t="s">
        <v>13</v>
      </c>
      <c r="G613" s="1">
        <v>670.46</v>
      </c>
      <c r="H613" s="1">
        <v>26.84</v>
      </c>
    </row>
    <row r="614" spans="1:8">
      <c r="A614" s="1" t="s">
        <v>1341</v>
      </c>
      <c r="B614" s="1" t="s">
        <v>1342</v>
      </c>
      <c r="C614" s="1" t="s">
        <v>1343</v>
      </c>
      <c r="D614" s="1" t="s">
        <v>12</v>
      </c>
      <c r="E614" s="1">
        <v>5075</v>
      </c>
      <c r="F614" s="1" t="s">
        <v>13</v>
      </c>
      <c r="G614" s="1">
        <v>797.54</v>
      </c>
      <c r="H614" s="1">
        <v>28.93</v>
      </c>
    </row>
    <row r="615" spans="1:8">
      <c r="A615" s="1" t="s">
        <v>1344</v>
      </c>
      <c r="B615" s="1" t="s">
        <v>1345</v>
      </c>
      <c r="C615" s="1" t="s">
        <v>1285</v>
      </c>
      <c r="D615" s="1" t="s">
        <v>12</v>
      </c>
      <c r="E615" s="1">
        <v>9132</v>
      </c>
      <c r="F615" s="1" t="s">
        <v>13</v>
      </c>
      <c r="G615" s="1">
        <v>1300.93</v>
      </c>
      <c r="H615" s="1">
        <v>31.91</v>
      </c>
    </row>
    <row r="616" spans="1:8">
      <c r="A616" s="1" t="s">
        <v>1346</v>
      </c>
      <c r="B616" s="1" t="s">
        <v>1347</v>
      </c>
      <c r="C616" s="1" t="s">
        <v>1285</v>
      </c>
      <c r="D616" s="1" t="s">
        <v>12</v>
      </c>
      <c r="E616" s="1">
        <v>14586</v>
      </c>
      <c r="F616" s="1" t="s">
        <v>13</v>
      </c>
      <c r="G616" s="1">
        <v>1959.77</v>
      </c>
      <c r="H616" s="1">
        <v>33.840000000000003</v>
      </c>
    </row>
    <row r="617" spans="1:8">
      <c r="A617" s="1" t="s">
        <v>1348</v>
      </c>
      <c r="B617" s="1" t="s">
        <v>1349</v>
      </c>
      <c r="C617" s="1" t="s">
        <v>1285</v>
      </c>
      <c r="D617" s="1" t="s">
        <v>12</v>
      </c>
      <c r="E617" s="1">
        <v>4641</v>
      </c>
      <c r="F617" s="1" t="s">
        <v>13</v>
      </c>
      <c r="G617" s="1">
        <v>747.82</v>
      </c>
      <c r="H617" s="1">
        <v>28.21</v>
      </c>
    </row>
    <row r="618" spans="1:8">
      <c r="A618" s="1" t="s">
        <v>1350</v>
      </c>
      <c r="B618" s="1" t="s">
        <v>1351</v>
      </c>
      <c r="C618" s="1" t="s">
        <v>1285</v>
      </c>
      <c r="D618" s="1" t="s">
        <v>12</v>
      </c>
      <c r="E618" s="1">
        <v>9555</v>
      </c>
      <c r="F618" s="1" t="s">
        <v>13</v>
      </c>
      <c r="G618" s="1">
        <v>1611.77</v>
      </c>
      <c r="H618" s="1">
        <v>26.95</v>
      </c>
    </row>
    <row r="619" spans="1:8">
      <c r="A619" s="1" t="s">
        <v>1352</v>
      </c>
      <c r="B619" s="1" t="s">
        <v>1353</v>
      </c>
      <c r="C619" s="1" t="s">
        <v>1285</v>
      </c>
      <c r="D619" s="1" t="s">
        <v>12</v>
      </c>
      <c r="E619" s="1">
        <v>12164</v>
      </c>
      <c r="F619" s="1" t="s">
        <v>13</v>
      </c>
      <c r="G619" s="1">
        <v>1653.45</v>
      </c>
      <c r="H619" s="1">
        <v>33.44</v>
      </c>
    </row>
    <row r="620" spans="1:8">
      <c r="A620" s="1" t="s">
        <v>1354</v>
      </c>
      <c r="B620" s="1" t="s">
        <v>1355</v>
      </c>
      <c r="C620" s="1" t="s">
        <v>937</v>
      </c>
      <c r="D620" s="1" t="s">
        <v>12</v>
      </c>
      <c r="E620" s="1">
        <v>11107</v>
      </c>
      <c r="F620" s="1" t="s">
        <v>13</v>
      </c>
      <c r="G620" s="1">
        <v>1647.94</v>
      </c>
      <c r="H620" s="1">
        <v>30.64</v>
      </c>
    </row>
    <row r="621" spans="1:8">
      <c r="A621" s="1" t="s">
        <v>1356</v>
      </c>
      <c r="B621" s="1" t="s">
        <v>1357</v>
      </c>
      <c r="C621" s="1" t="s">
        <v>1285</v>
      </c>
      <c r="D621" s="1" t="s">
        <v>12</v>
      </c>
      <c r="E621" s="1">
        <v>7068</v>
      </c>
      <c r="F621" s="1" t="s">
        <v>13</v>
      </c>
      <c r="G621" s="1">
        <v>997.97</v>
      </c>
      <c r="H621" s="1">
        <v>32.200000000000003</v>
      </c>
    </row>
    <row r="622" spans="1:8">
      <c r="A622" s="1" t="s">
        <v>1358</v>
      </c>
      <c r="B622" s="1" t="s">
        <v>1359</v>
      </c>
      <c r="C622" s="1" t="s">
        <v>1285</v>
      </c>
      <c r="D622" s="1" t="s">
        <v>12</v>
      </c>
      <c r="E622" s="1">
        <v>8692</v>
      </c>
      <c r="F622" s="1" t="s">
        <v>13</v>
      </c>
      <c r="G622" s="1">
        <v>1390.87</v>
      </c>
      <c r="H622" s="1">
        <v>28.41</v>
      </c>
    </row>
    <row r="623" spans="1:8">
      <c r="A623" s="1" t="s">
        <v>1360</v>
      </c>
      <c r="B623" s="1" t="s">
        <v>1361</v>
      </c>
      <c r="C623" s="1" t="s">
        <v>937</v>
      </c>
      <c r="D623" s="1" t="s">
        <v>12</v>
      </c>
      <c r="E623" s="1">
        <v>5047</v>
      </c>
      <c r="F623" s="1" t="s">
        <v>13</v>
      </c>
      <c r="G623" s="1">
        <v>760.25</v>
      </c>
      <c r="H623" s="1">
        <v>30.18</v>
      </c>
    </row>
    <row r="624" spans="1:8">
      <c r="A624" s="1" t="s">
        <v>1362</v>
      </c>
      <c r="B624" s="1" t="s">
        <v>1363</v>
      </c>
      <c r="C624" s="1" t="s">
        <v>937</v>
      </c>
      <c r="D624" s="1" t="s">
        <v>12</v>
      </c>
      <c r="E624" s="1">
        <v>6719</v>
      </c>
      <c r="F624" s="1" t="s">
        <v>13</v>
      </c>
      <c r="G624" s="1">
        <v>895.88</v>
      </c>
      <c r="H624" s="1">
        <v>34.1</v>
      </c>
    </row>
    <row r="625" spans="1:8">
      <c r="A625" s="1" t="s">
        <v>1364</v>
      </c>
      <c r="B625" s="1" t="s">
        <v>1365</v>
      </c>
      <c r="C625" s="1" t="s">
        <v>937</v>
      </c>
      <c r="D625" s="1" t="s">
        <v>12</v>
      </c>
      <c r="E625" s="1">
        <v>5234</v>
      </c>
      <c r="F625" s="1" t="s">
        <v>13</v>
      </c>
      <c r="G625" s="1">
        <v>969.95</v>
      </c>
      <c r="H625" s="1">
        <v>24.53</v>
      </c>
    </row>
    <row r="626" spans="1:8">
      <c r="A626" s="1" t="s">
        <v>1366</v>
      </c>
      <c r="B626" s="1" t="s">
        <v>1367</v>
      </c>
      <c r="C626" s="1" t="s">
        <v>1285</v>
      </c>
      <c r="D626" s="1" t="s">
        <v>12</v>
      </c>
      <c r="E626" s="1">
        <v>11303</v>
      </c>
      <c r="F626" s="1" t="s">
        <v>13</v>
      </c>
      <c r="G626" s="1">
        <v>1712.08</v>
      </c>
      <c r="H626" s="1">
        <v>30.01</v>
      </c>
    </row>
    <row r="627" spans="1:8">
      <c r="A627" s="1" t="s">
        <v>1368</v>
      </c>
      <c r="B627" s="1" t="s">
        <v>1369</v>
      </c>
      <c r="C627" s="1" t="s">
        <v>1285</v>
      </c>
      <c r="D627" s="1" t="s">
        <v>12</v>
      </c>
      <c r="E627" s="1">
        <v>7449</v>
      </c>
      <c r="F627" s="1" t="s">
        <v>13</v>
      </c>
      <c r="G627" s="1">
        <v>1185.77</v>
      </c>
      <c r="H627" s="1">
        <v>28.56</v>
      </c>
    </row>
    <row r="628" spans="1:8">
      <c r="A628" s="1" t="s">
        <v>1370</v>
      </c>
      <c r="B628" s="1" t="s">
        <v>1371</v>
      </c>
      <c r="C628" s="1" t="s">
        <v>1285</v>
      </c>
      <c r="D628" s="1" t="s">
        <v>12</v>
      </c>
      <c r="E628" s="1">
        <v>8865</v>
      </c>
      <c r="F628" s="1" t="s">
        <v>13</v>
      </c>
      <c r="G628" s="1">
        <v>1381.85</v>
      </c>
      <c r="H628" s="1">
        <v>29.16</v>
      </c>
    </row>
    <row r="629" spans="1:8">
      <c r="A629" s="1" t="s">
        <v>1372</v>
      </c>
      <c r="B629" s="1" t="s">
        <v>1373</v>
      </c>
      <c r="C629" s="1" t="s">
        <v>1285</v>
      </c>
      <c r="D629" s="1" t="s">
        <v>12</v>
      </c>
      <c r="E629" s="1">
        <v>4259</v>
      </c>
      <c r="F629" s="1" t="s">
        <v>13</v>
      </c>
      <c r="G629" s="1">
        <v>616.02</v>
      </c>
      <c r="H629" s="1">
        <v>31.43</v>
      </c>
    </row>
    <row r="630" spans="1:8">
      <c r="A630" s="1" t="s">
        <v>1374</v>
      </c>
      <c r="B630" s="1" t="s">
        <v>1375</v>
      </c>
      <c r="C630" s="1" t="s">
        <v>1285</v>
      </c>
      <c r="D630" s="1" t="s">
        <v>12</v>
      </c>
      <c r="E630" s="1">
        <v>11018</v>
      </c>
      <c r="F630" s="1" t="s">
        <v>13</v>
      </c>
      <c r="G630" s="1">
        <v>1577.01</v>
      </c>
      <c r="H630" s="1">
        <v>31.76</v>
      </c>
    </row>
    <row r="631" spans="1:8">
      <c r="A631" s="1" t="s">
        <v>1376</v>
      </c>
      <c r="B631" s="1" t="s">
        <v>1377</v>
      </c>
      <c r="C631" s="1" t="s">
        <v>1285</v>
      </c>
      <c r="D631" s="1" t="s">
        <v>12</v>
      </c>
      <c r="E631" s="1">
        <v>4790</v>
      </c>
      <c r="F631" s="1" t="s">
        <v>13</v>
      </c>
      <c r="G631" s="1">
        <v>755.02</v>
      </c>
      <c r="H631" s="1">
        <v>28.84</v>
      </c>
    </row>
    <row r="632" spans="1:8">
      <c r="A632" s="1" t="s">
        <v>1378</v>
      </c>
      <c r="B632" s="1" t="s">
        <v>1379</v>
      </c>
      <c r="C632" s="1" t="s">
        <v>1285</v>
      </c>
      <c r="D632" s="1" t="s">
        <v>12</v>
      </c>
      <c r="E632" s="1">
        <v>5025</v>
      </c>
      <c r="F632" s="1" t="s">
        <v>13</v>
      </c>
      <c r="G632" s="1">
        <v>904.5</v>
      </c>
      <c r="H632" s="1">
        <v>25.26</v>
      </c>
    </row>
    <row r="633" spans="1:8">
      <c r="A633" s="1" t="s">
        <v>1380</v>
      </c>
      <c r="B633" s="1" t="s">
        <v>1381</v>
      </c>
      <c r="C633" s="1" t="s">
        <v>1285</v>
      </c>
      <c r="D633" s="1" t="s">
        <v>12</v>
      </c>
      <c r="E633" s="1">
        <v>7587</v>
      </c>
      <c r="F633" s="1" t="s">
        <v>13</v>
      </c>
      <c r="G633" s="1">
        <v>1097.8900000000001</v>
      </c>
      <c r="H633" s="1">
        <v>31.42</v>
      </c>
    </row>
    <row r="634" spans="1:8">
      <c r="A634" s="1" t="s">
        <v>1382</v>
      </c>
      <c r="B634" s="1" t="s">
        <v>1383</v>
      </c>
      <c r="C634" s="1" t="s">
        <v>1384</v>
      </c>
      <c r="D634" s="1" t="s">
        <v>12</v>
      </c>
      <c r="E634" s="1">
        <v>9823</v>
      </c>
      <c r="F634" s="1" t="s">
        <v>13</v>
      </c>
      <c r="G634" s="1">
        <v>1565.77</v>
      </c>
      <c r="H634" s="1">
        <v>28.52</v>
      </c>
    </row>
    <row r="635" spans="1:8">
      <c r="A635" s="1" t="s">
        <v>1385</v>
      </c>
      <c r="B635" s="1" t="s">
        <v>1386</v>
      </c>
      <c r="C635" s="1" t="s">
        <v>1285</v>
      </c>
      <c r="D635" s="1" t="s">
        <v>12</v>
      </c>
      <c r="E635" s="1">
        <v>8495</v>
      </c>
      <c r="F635" s="1" t="s">
        <v>13</v>
      </c>
      <c r="G635" s="1">
        <v>1339.49</v>
      </c>
      <c r="H635" s="1">
        <v>28.83</v>
      </c>
    </row>
    <row r="636" spans="1:8">
      <c r="A636" s="1" t="s">
        <v>1387</v>
      </c>
      <c r="B636" s="1" t="s">
        <v>1388</v>
      </c>
      <c r="C636" s="1" t="s">
        <v>1285</v>
      </c>
      <c r="D636" s="1" t="s">
        <v>12</v>
      </c>
      <c r="E636" s="1">
        <v>5312</v>
      </c>
      <c r="F636" s="1" t="s">
        <v>13</v>
      </c>
      <c r="G636" s="1">
        <v>779.05</v>
      </c>
      <c r="H636" s="1">
        <v>31</v>
      </c>
    </row>
    <row r="637" spans="1:8">
      <c r="A637" s="1" t="s">
        <v>1389</v>
      </c>
      <c r="B637" s="1" t="s">
        <v>1390</v>
      </c>
      <c r="C637" s="1" t="s">
        <v>1285</v>
      </c>
      <c r="D637" s="1" t="s">
        <v>12</v>
      </c>
      <c r="E637" s="1">
        <v>8061</v>
      </c>
      <c r="F637" s="1" t="s">
        <v>13</v>
      </c>
      <c r="G637" s="1">
        <v>1166.77</v>
      </c>
      <c r="H637" s="1">
        <v>31.41</v>
      </c>
    </row>
    <row r="638" spans="1:8">
      <c r="A638" s="1" t="s">
        <v>1391</v>
      </c>
      <c r="B638" s="1" t="s">
        <v>1392</v>
      </c>
      <c r="C638" s="1" t="s">
        <v>1285</v>
      </c>
      <c r="D638" s="1" t="s">
        <v>12</v>
      </c>
      <c r="E638" s="1">
        <v>5882</v>
      </c>
      <c r="F638" s="1" t="s">
        <v>13</v>
      </c>
      <c r="G638" s="1">
        <v>915.91</v>
      </c>
      <c r="H638" s="1">
        <v>29.2</v>
      </c>
    </row>
    <row r="639" spans="1:8">
      <c r="A639" s="1" t="s">
        <v>1393</v>
      </c>
      <c r="B639" s="1" t="s">
        <v>1394</v>
      </c>
      <c r="C639" s="1" t="s">
        <v>1285</v>
      </c>
      <c r="D639" s="1" t="s">
        <v>12</v>
      </c>
      <c r="E639" s="1">
        <v>8361</v>
      </c>
      <c r="F639" s="1" t="s">
        <v>13</v>
      </c>
      <c r="G639" s="1">
        <v>1156.07</v>
      </c>
      <c r="H639" s="1">
        <v>32.880000000000003</v>
      </c>
    </row>
    <row r="640" spans="1:8">
      <c r="A640" s="1" t="s">
        <v>1395</v>
      </c>
      <c r="B640" s="1" t="s">
        <v>1396</v>
      </c>
      <c r="C640" s="1" t="s">
        <v>1397</v>
      </c>
      <c r="D640" s="1" t="s">
        <v>12</v>
      </c>
      <c r="E640" s="1">
        <v>6424</v>
      </c>
      <c r="F640" s="1" t="s">
        <v>13</v>
      </c>
      <c r="G640" s="1">
        <v>1346.46</v>
      </c>
      <c r="H640" s="1">
        <v>21.69</v>
      </c>
    </row>
    <row r="641" spans="1:8">
      <c r="A641" s="1" t="s">
        <v>1398</v>
      </c>
      <c r="B641" s="1" t="s">
        <v>1399</v>
      </c>
      <c r="C641" s="1" t="s">
        <v>1397</v>
      </c>
      <c r="D641" s="1" t="s">
        <v>12</v>
      </c>
      <c r="E641" s="1">
        <v>5447</v>
      </c>
      <c r="F641" s="1" t="s">
        <v>13</v>
      </c>
      <c r="G641" s="1">
        <v>1043.33</v>
      </c>
      <c r="H641" s="1">
        <v>23.73</v>
      </c>
    </row>
    <row r="642" spans="1:8">
      <c r="A642" s="1" t="s">
        <v>1400</v>
      </c>
      <c r="B642" s="1" t="s">
        <v>1401</v>
      </c>
      <c r="C642" s="1" t="s">
        <v>1397</v>
      </c>
      <c r="D642" s="1" t="s">
        <v>12</v>
      </c>
      <c r="E642" s="1">
        <v>6193</v>
      </c>
      <c r="F642" s="1" t="s">
        <v>13</v>
      </c>
      <c r="G642" s="1">
        <v>1572.59</v>
      </c>
      <c r="H642" s="1">
        <v>17.899999999999999</v>
      </c>
    </row>
    <row r="643" spans="1:8">
      <c r="A643" s="1" t="s">
        <v>1402</v>
      </c>
      <c r="B643" s="1" t="s">
        <v>1403</v>
      </c>
      <c r="C643" s="1" t="s">
        <v>937</v>
      </c>
      <c r="D643" s="1" t="s">
        <v>12</v>
      </c>
      <c r="E643" s="1">
        <v>7871</v>
      </c>
      <c r="F643" s="1" t="s">
        <v>13</v>
      </c>
      <c r="G643" s="1">
        <v>1242.08</v>
      </c>
      <c r="H643" s="1">
        <v>28.81</v>
      </c>
    </row>
    <row r="644" spans="1:8">
      <c r="A644" s="1" t="s">
        <v>1404</v>
      </c>
      <c r="B644" s="1" t="s">
        <v>1405</v>
      </c>
      <c r="C644" s="1" t="s">
        <v>937</v>
      </c>
      <c r="D644" s="1" t="s">
        <v>12</v>
      </c>
      <c r="E644" s="1">
        <v>7926</v>
      </c>
      <c r="F644" s="1" t="s">
        <v>13</v>
      </c>
      <c r="G644" s="1">
        <v>1159.21</v>
      </c>
      <c r="H644" s="1">
        <v>31.08</v>
      </c>
    </row>
    <row r="645" spans="1:8">
      <c r="A645" s="1" t="s">
        <v>1406</v>
      </c>
      <c r="B645" s="1" t="s">
        <v>1407</v>
      </c>
      <c r="C645" s="1" t="s">
        <v>518</v>
      </c>
      <c r="D645" s="1" t="s">
        <v>12</v>
      </c>
      <c r="E645" s="1">
        <v>4162</v>
      </c>
      <c r="F645" s="1" t="s">
        <v>13</v>
      </c>
      <c r="G645" s="1">
        <v>616.05999999999995</v>
      </c>
      <c r="H645" s="1">
        <v>30.71</v>
      </c>
    </row>
    <row r="646" spans="1:8">
      <c r="A646" s="1" t="s">
        <v>1408</v>
      </c>
      <c r="B646" s="1" t="s">
        <v>1409</v>
      </c>
      <c r="C646" s="1" t="s">
        <v>937</v>
      </c>
      <c r="D646" s="1" t="s">
        <v>12</v>
      </c>
      <c r="E646" s="1">
        <v>8463</v>
      </c>
      <c r="F646" s="1" t="s">
        <v>13</v>
      </c>
      <c r="G646" s="1">
        <v>1432.06</v>
      </c>
      <c r="H646" s="1">
        <v>26.87</v>
      </c>
    </row>
    <row r="647" spans="1:8">
      <c r="A647" s="1" t="s">
        <v>1410</v>
      </c>
      <c r="B647" s="1" t="s">
        <v>1411</v>
      </c>
      <c r="C647" s="1" t="s">
        <v>937</v>
      </c>
      <c r="D647" s="1" t="s">
        <v>12</v>
      </c>
      <c r="E647" s="1">
        <v>6700</v>
      </c>
      <c r="F647" s="1" t="s">
        <v>13</v>
      </c>
      <c r="G647" s="1">
        <v>1179.1600000000001</v>
      </c>
      <c r="H647" s="1">
        <v>25.83</v>
      </c>
    </row>
    <row r="648" spans="1:8">
      <c r="A648" s="1" t="s">
        <v>1412</v>
      </c>
      <c r="B648" s="1" t="s">
        <v>1413</v>
      </c>
      <c r="C648" s="1" t="s">
        <v>937</v>
      </c>
      <c r="D648" s="1" t="s">
        <v>12</v>
      </c>
      <c r="E648" s="1">
        <v>8564</v>
      </c>
      <c r="F648" s="1" t="s">
        <v>13</v>
      </c>
      <c r="G648" s="1">
        <v>1352.92</v>
      </c>
      <c r="H648" s="1">
        <v>28.78</v>
      </c>
    </row>
    <row r="649" spans="1:8">
      <c r="A649" s="1" t="s">
        <v>1414</v>
      </c>
      <c r="B649" s="1" t="s">
        <v>1415</v>
      </c>
      <c r="C649" s="1" t="s">
        <v>937</v>
      </c>
      <c r="D649" s="1" t="s">
        <v>12</v>
      </c>
      <c r="E649" s="1">
        <v>8137</v>
      </c>
      <c r="F649" s="1" t="s">
        <v>13</v>
      </c>
      <c r="G649" s="1">
        <v>1231.53</v>
      </c>
      <c r="H649" s="1">
        <v>30.04</v>
      </c>
    </row>
    <row r="650" spans="1:8">
      <c r="A650" s="1" t="s">
        <v>1416</v>
      </c>
      <c r="B650" s="1" t="s">
        <v>1417</v>
      </c>
      <c r="C650" s="1" t="s">
        <v>937</v>
      </c>
      <c r="D650" s="1" t="s">
        <v>12</v>
      </c>
      <c r="E650" s="1">
        <v>4522</v>
      </c>
      <c r="F650" s="1" t="s">
        <v>13</v>
      </c>
      <c r="G650" s="1">
        <v>701.27</v>
      </c>
      <c r="H650" s="1">
        <v>29.31</v>
      </c>
    </row>
    <row r="651" spans="1:8">
      <c r="A651" s="1" t="s">
        <v>1418</v>
      </c>
      <c r="B651" s="1" t="s">
        <v>1419</v>
      </c>
      <c r="C651" s="1" t="s">
        <v>937</v>
      </c>
      <c r="D651" s="1" t="s">
        <v>12</v>
      </c>
      <c r="E651" s="1">
        <v>1447</v>
      </c>
      <c r="F651" s="1" t="s">
        <v>13</v>
      </c>
      <c r="G651" s="1">
        <v>337.67</v>
      </c>
      <c r="H651" s="1">
        <v>19.48</v>
      </c>
    </row>
    <row r="652" spans="1:8">
      <c r="A652" s="1" t="s">
        <v>1420</v>
      </c>
      <c r="B652" s="1" t="s">
        <v>1421</v>
      </c>
      <c r="C652" s="1" t="s">
        <v>937</v>
      </c>
      <c r="D652" s="1" t="s">
        <v>12</v>
      </c>
      <c r="E652" s="1">
        <v>6269</v>
      </c>
      <c r="F652" s="1" t="s">
        <v>13</v>
      </c>
      <c r="G652" s="1">
        <v>1014.24</v>
      </c>
      <c r="H652" s="1">
        <v>28.1</v>
      </c>
    </row>
    <row r="653" spans="1:8">
      <c r="A653" s="1" t="s">
        <v>1422</v>
      </c>
      <c r="B653" s="1" t="s">
        <v>1423</v>
      </c>
      <c r="C653" s="1" t="s">
        <v>937</v>
      </c>
      <c r="D653" s="1" t="s">
        <v>12</v>
      </c>
      <c r="E653" s="1">
        <v>5557</v>
      </c>
      <c r="F653" s="1" t="s">
        <v>13</v>
      </c>
      <c r="G653" s="1">
        <v>850.68</v>
      </c>
      <c r="H653" s="1">
        <v>29.7</v>
      </c>
    </row>
    <row r="654" spans="1:8">
      <c r="A654" s="1" t="s">
        <v>1424</v>
      </c>
      <c r="B654" s="1" t="s">
        <v>1425</v>
      </c>
      <c r="C654" s="1" t="s">
        <v>937</v>
      </c>
      <c r="D654" s="1" t="s">
        <v>12</v>
      </c>
      <c r="E654" s="1">
        <v>6000</v>
      </c>
      <c r="F654" s="1" t="s">
        <v>13</v>
      </c>
      <c r="G654" s="1">
        <v>1615.47</v>
      </c>
      <c r="H654" s="1">
        <v>16.88</v>
      </c>
    </row>
    <row r="655" spans="1:8">
      <c r="A655" s="1" t="s">
        <v>1426</v>
      </c>
      <c r="B655" s="1" t="s">
        <v>1427</v>
      </c>
      <c r="C655" s="1" t="s">
        <v>937</v>
      </c>
      <c r="D655" s="1" t="s">
        <v>12</v>
      </c>
      <c r="E655" s="1">
        <v>8701</v>
      </c>
      <c r="F655" s="1" t="s">
        <v>13</v>
      </c>
      <c r="G655" s="1">
        <v>1346.45</v>
      </c>
      <c r="H655" s="1">
        <v>29.38</v>
      </c>
    </row>
    <row r="656" spans="1:8">
      <c r="A656" s="1" t="s">
        <v>1428</v>
      </c>
      <c r="B656" s="1" t="s">
        <v>1429</v>
      </c>
      <c r="C656" s="1" t="s">
        <v>937</v>
      </c>
      <c r="D656" s="1" t="s">
        <v>12</v>
      </c>
      <c r="E656" s="1">
        <v>8832</v>
      </c>
      <c r="F656" s="1" t="s">
        <v>13</v>
      </c>
      <c r="G656" s="1">
        <v>1250.99</v>
      </c>
      <c r="H656" s="1">
        <v>32.1</v>
      </c>
    </row>
    <row r="657" spans="1:8">
      <c r="A657" s="1" t="s">
        <v>1430</v>
      </c>
      <c r="B657" s="1" t="s">
        <v>1431</v>
      </c>
      <c r="C657" s="1" t="s">
        <v>937</v>
      </c>
      <c r="D657" s="1" t="s">
        <v>12</v>
      </c>
      <c r="E657" s="1">
        <v>6601</v>
      </c>
      <c r="F657" s="1" t="s">
        <v>13</v>
      </c>
      <c r="G657" s="1">
        <v>905.56</v>
      </c>
      <c r="H657" s="1">
        <v>33.14</v>
      </c>
    </row>
    <row r="658" spans="1:8">
      <c r="A658" s="1" t="s">
        <v>1432</v>
      </c>
      <c r="B658" s="1" t="s">
        <v>1433</v>
      </c>
      <c r="C658" s="1" t="s">
        <v>937</v>
      </c>
      <c r="D658" s="1" t="s">
        <v>12</v>
      </c>
      <c r="E658" s="1">
        <v>9334</v>
      </c>
      <c r="F658" s="1" t="s">
        <v>13</v>
      </c>
      <c r="G658" s="1">
        <v>1505.11</v>
      </c>
      <c r="H658" s="1">
        <v>28.19</v>
      </c>
    </row>
    <row r="659" spans="1:8">
      <c r="A659" s="1" t="s">
        <v>1434</v>
      </c>
      <c r="B659" s="1" t="s">
        <v>1435</v>
      </c>
      <c r="C659" s="1" t="s">
        <v>937</v>
      </c>
      <c r="D659" s="1" t="s">
        <v>12</v>
      </c>
      <c r="E659" s="1">
        <v>5143</v>
      </c>
      <c r="F659" s="1" t="s">
        <v>13</v>
      </c>
      <c r="G659" s="1">
        <v>905.1</v>
      </c>
      <c r="H659" s="1">
        <v>25.83</v>
      </c>
    </row>
    <row r="660" spans="1:8">
      <c r="A660" s="1" t="s">
        <v>1436</v>
      </c>
      <c r="B660" s="1" t="s">
        <v>1437</v>
      </c>
      <c r="C660" s="1" t="s">
        <v>937</v>
      </c>
      <c r="D660" s="1" t="s">
        <v>12</v>
      </c>
      <c r="E660" s="1">
        <v>4239</v>
      </c>
      <c r="F660" s="1" t="s">
        <v>13</v>
      </c>
      <c r="G660" s="1">
        <v>675.89</v>
      </c>
      <c r="H660" s="1">
        <v>28.51</v>
      </c>
    </row>
    <row r="661" spans="1:8">
      <c r="A661" s="1" t="s">
        <v>1438</v>
      </c>
      <c r="B661" s="1" t="s">
        <v>1439</v>
      </c>
      <c r="C661" s="1" t="s">
        <v>937</v>
      </c>
      <c r="D661" s="1" t="s">
        <v>12</v>
      </c>
      <c r="E661" s="1">
        <v>6165</v>
      </c>
      <c r="F661" s="1" t="s">
        <v>13</v>
      </c>
      <c r="G661" s="1">
        <v>1042.8800000000001</v>
      </c>
      <c r="H661" s="1">
        <v>26.87</v>
      </c>
    </row>
    <row r="662" spans="1:8">
      <c r="A662" s="1" t="s">
        <v>1440</v>
      </c>
      <c r="B662" s="1" t="s">
        <v>1441</v>
      </c>
      <c r="C662" s="1" t="s">
        <v>937</v>
      </c>
      <c r="D662" s="1" t="s">
        <v>12</v>
      </c>
      <c r="E662" s="1">
        <v>11280</v>
      </c>
      <c r="F662" s="1" t="s">
        <v>13</v>
      </c>
      <c r="G662" s="1">
        <v>1666.32</v>
      </c>
      <c r="H662" s="1">
        <v>30.77</v>
      </c>
    </row>
    <row r="663" spans="1:8">
      <c r="A663" s="1" t="s">
        <v>1442</v>
      </c>
      <c r="B663" s="1" t="s">
        <v>1443</v>
      </c>
      <c r="C663" s="1" t="s">
        <v>937</v>
      </c>
      <c r="D663" s="1" t="s">
        <v>12</v>
      </c>
      <c r="E663" s="1">
        <v>7724</v>
      </c>
      <c r="F663" s="1" t="s">
        <v>13</v>
      </c>
      <c r="G663" s="1">
        <v>1248.1300000000001</v>
      </c>
      <c r="H663" s="1">
        <v>28.13</v>
      </c>
    </row>
    <row r="664" spans="1:8">
      <c r="A664" s="1" t="s">
        <v>1444</v>
      </c>
      <c r="B664" s="1" t="s">
        <v>1445</v>
      </c>
      <c r="C664" s="1" t="s">
        <v>937</v>
      </c>
      <c r="D664" s="1" t="s">
        <v>12</v>
      </c>
      <c r="E664" s="1">
        <v>6219</v>
      </c>
      <c r="F664" s="1" t="s">
        <v>13</v>
      </c>
      <c r="G664" s="1">
        <v>963.1</v>
      </c>
      <c r="H664" s="1">
        <v>29.36</v>
      </c>
    </row>
    <row r="665" spans="1:8">
      <c r="A665" s="1" t="s">
        <v>1446</v>
      </c>
      <c r="B665" s="1" t="s">
        <v>1447</v>
      </c>
      <c r="C665" s="1" t="s">
        <v>937</v>
      </c>
      <c r="D665" s="1" t="s">
        <v>12</v>
      </c>
      <c r="E665" s="1">
        <v>8558</v>
      </c>
      <c r="F665" s="1" t="s">
        <v>13</v>
      </c>
      <c r="G665" s="1">
        <v>1485.4</v>
      </c>
      <c r="H665" s="1">
        <v>26.19</v>
      </c>
    </row>
    <row r="666" spans="1:8">
      <c r="A666" s="1" t="s">
        <v>1448</v>
      </c>
      <c r="B666" s="1" t="s">
        <v>1449</v>
      </c>
      <c r="C666" s="1" t="s">
        <v>937</v>
      </c>
      <c r="D666" s="1" t="s">
        <v>12</v>
      </c>
      <c r="E666" s="1">
        <v>4523</v>
      </c>
      <c r="F666" s="1" t="s">
        <v>13</v>
      </c>
      <c r="G666" s="1">
        <v>718.57</v>
      </c>
      <c r="H666" s="1">
        <v>28.62</v>
      </c>
    </row>
    <row r="667" spans="1:8">
      <c r="A667" s="1" t="s">
        <v>1450</v>
      </c>
      <c r="B667" s="1" t="s">
        <v>1451</v>
      </c>
      <c r="C667" s="1" t="s">
        <v>937</v>
      </c>
      <c r="D667" s="1" t="s">
        <v>12</v>
      </c>
      <c r="E667" s="1">
        <v>5660</v>
      </c>
      <c r="F667" s="1" t="s">
        <v>13</v>
      </c>
      <c r="G667" s="1">
        <v>997.53</v>
      </c>
      <c r="H667" s="1">
        <v>25.79</v>
      </c>
    </row>
    <row r="668" spans="1:8">
      <c r="A668" s="1" t="s">
        <v>1452</v>
      </c>
      <c r="B668" s="1" t="s">
        <v>1453</v>
      </c>
      <c r="C668" s="1" t="s">
        <v>937</v>
      </c>
      <c r="D668" s="1" t="s">
        <v>12</v>
      </c>
      <c r="E668" s="1">
        <v>7386</v>
      </c>
      <c r="F668" s="1" t="s">
        <v>13</v>
      </c>
      <c r="G668" s="1">
        <v>1387.68</v>
      </c>
      <c r="H668" s="1">
        <v>24.2</v>
      </c>
    </row>
    <row r="669" spans="1:8">
      <c r="A669" s="1" t="s">
        <v>1454</v>
      </c>
      <c r="B669" s="1" t="s">
        <v>1455</v>
      </c>
      <c r="C669" s="1" t="s">
        <v>937</v>
      </c>
      <c r="D669" s="1" t="s">
        <v>12</v>
      </c>
      <c r="E669" s="1">
        <v>8107</v>
      </c>
      <c r="F669" s="1" t="s">
        <v>13</v>
      </c>
      <c r="G669" s="1">
        <v>1648.07</v>
      </c>
      <c r="H669" s="1">
        <v>22.36</v>
      </c>
    </row>
    <row r="670" spans="1:8">
      <c r="A670" s="1" t="s">
        <v>1456</v>
      </c>
      <c r="B670" s="1" t="s">
        <v>1457</v>
      </c>
      <c r="C670" s="1" t="s">
        <v>937</v>
      </c>
      <c r="D670" s="1" t="s">
        <v>12</v>
      </c>
      <c r="E670" s="1">
        <v>4783</v>
      </c>
      <c r="F670" s="1" t="s">
        <v>13</v>
      </c>
      <c r="G670" s="1">
        <v>837.34</v>
      </c>
      <c r="H670" s="1">
        <v>25.97</v>
      </c>
    </row>
    <row r="671" spans="1:8">
      <c r="A671" s="1" t="s">
        <v>1458</v>
      </c>
      <c r="B671" s="1" t="s">
        <v>1459</v>
      </c>
      <c r="C671" s="1" t="s">
        <v>937</v>
      </c>
      <c r="D671" s="1" t="s">
        <v>12</v>
      </c>
      <c r="E671" s="1">
        <v>4243</v>
      </c>
      <c r="F671" s="1" t="s">
        <v>13</v>
      </c>
      <c r="G671" s="1">
        <v>684.41</v>
      </c>
      <c r="H671" s="1">
        <v>28.18</v>
      </c>
    </row>
    <row r="672" spans="1:8">
      <c r="A672" s="1" t="s">
        <v>1460</v>
      </c>
      <c r="B672" s="1" t="s">
        <v>1461</v>
      </c>
      <c r="C672" s="1" t="s">
        <v>937</v>
      </c>
      <c r="D672" s="1" t="s">
        <v>12</v>
      </c>
      <c r="E672" s="1">
        <v>4065</v>
      </c>
      <c r="F672" s="1" t="s">
        <v>13</v>
      </c>
      <c r="G672" s="1">
        <v>765.08</v>
      </c>
      <c r="H672" s="1">
        <v>24.15</v>
      </c>
    </row>
    <row r="673" spans="1:8" hidden="1">
      <c r="A673" s="1" t="s">
        <v>1462</v>
      </c>
      <c r="B673" s="1" t="s">
        <v>1462</v>
      </c>
      <c r="C673" s="1" t="s">
        <v>1463</v>
      </c>
      <c r="D673" s="1" t="s">
        <v>12</v>
      </c>
      <c r="E673" s="1">
        <v>0</v>
      </c>
      <c r="F673" s="1" t="s">
        <v>623</v>
      </c>
      <c r="G673" s="1">
        <v>0</v>
      </c>
      <c r="H673" s="1">
        <v>0</v>
      </c>
    </row>
    <row r="674" spans="1:8" hidden="1">
      <c r="A674" s="1" t="s">
        <v>1464</v>
      </c>
      <c r="B674" s="1" t="s">
        <v>1465</v>
      </c>
      <c r="C674" s="1" t="s">
        <v>1205</v>
      </c>
      <c r="D674" s="1" t="s">
        <v>12</v>
      </c>
      <c r="E674" s="1">
        <v>-11586</v>
      </c>
      <c r="F674" s="1" t="s">
        <v>623</v>
      </c>
      <c r="G674" s="1">
        <v>1569.67</v>
      </c>
      <c r="H674" s="1">
        <v>0</v>
      </c>
    </row>
    <row r="675" spans="1:8" hidden="1">
      <c r="A675" s="1" t="s">
        <v>1466</v>
      </c>
      <c r="B675" s="1" t="s">
        <v>1467</v>
      </c>
      <c r="C675" s="1" t="s">
        <v>1052</v>
      </c>
      <c r="D675" s="1" t="s">
        <v>12</v>
      </c>
      <c r="E675" s="1">
        <v>0</v>
      </c>
      <c r="F675" s="1" t="s">
        <v>623</v>
      </c>
      <c r="G675" s="1">
        <v>0</v>
      </c>
      <c r="H675" s="1">
        <v>0</v>
      </c>
    </row>
    <row r="676" spans="1:8">
      <c r="A676" s="1" t="s">
        <v>1468</v>
      </c>
      <c r="B676" s="1" t="s">
        <v>1469</v>
      </c>
      <c r="C676" s="1" t="s">
        <v>937</v>
      </c>
      <c r="D676" s="1" t="s">
        <v>12</v>
      </c>
      <c r="E676" s="1">
        <v>10898</v>
      </c>
      <c r="F676" s="1" t="s">
        <v>13</v>
      </c>
      <c r="G676" s="1">
        <v>1959.51</v>
      </c>
      <c r="H676" s="1">
        <v>25.28</v>
      </c>
    </row>
    <row r="677" spans="1:8" hidden="1">
      <c r="A677" s="1" t="s">
        <v>1470</v>
      </c>
      <c r="B677" s="1" t="s">
        <v>1471</v>
      </c>
      <c r="C677" s="1" t="s">
        <v>1472</v>
      </c>
      <c r="D677" s="1" t="s">
        <v>12</v>
      </c>
      <c r="E677" s="1">
        <v>0</v>
      </c>
      <c r="F677" s="1" t="s">
        <v>623</v>
      </c>
      <c r="G677" s="1">
        <v>0</v>
      </c>
      <c r="H677" s="1">
        <v>0</v>
      </c>
    </row>
    <row r="678" spans="1:8" hidden="1">
      <c r="A678" s="1" t="s">
        <v>1473</v>
      </c>
      <c r="B678" s="1" t="s">
        <v>1474</v>
      </c>
      <c r="C678" s="1" t="s">
        <v>1475</v>
      </c>
      <c r="D678" s="1" t="s">
        <v>12</v>
      </c>
      <c r="E678" s="1">
        <v>231</v>
      </c>
      <c r="F678" s="1" t="s">
        <v>623</v>
      </c>
      <c r="G678" s="1">
        <v>751.15</v>
      </c>
      <c r="H678" s="1">
        <v>0</v>
      </c>
    </row>
    <row r="679" spans="1:8" hidden="1">
      <c r="A679" s="1" t="s">
        <v>1476</v>
      </c>
      <c r="B679" s="1" t="s">
        <v>1477</v>
      </c>
      <c r="C679" s="1" t="s">
        <v>1205</v>
      </c>
      <c r="D679" s="1" t="s">
        <v>12</v>
      </c>
      <c r="E679" s="1">
        <v>514</v>
      </c>
      <c r="F679" s="1" t="s">
        <v>623</v>
      </c>
      <c r="G679" s="1">
        <v>1416.8</v>
      </c>
      <c r="H679" s="1">
        <v>0</v>
      </c>
    </row>
    <row r="680" spans="1:8">
      <c r="A680" s="1" t="s">
        <v>1478</v>
      </c>
      <c r="B680" s="1" t="s">
        <v>1479</v>
      </c>
      <c r="C680" s="1" t="s">
        <v>1480</v>
      </c>
      <c r="D680" s="1" t="s">
        <v>12</v>
      </c>
      <c r="E680" s="1">
        <v>12784</v>
      </c>
      <c r="F680" s="1" t="s">
        <v>13</v>
      </c>
      <c r="G680" s="1">
        <v>2695.42</v>
      </c>
      <c r="H680" s="1">
        <v>21.56</v>
      </c>
    </row>
    <row r="681" spans="1:8">
      <c r="A681" s="1" t="s">
        <v>1481</v>
      </c>
      <c r="B681" s="1" t="s">
        <v>1482</v>
      </c>
      <c r="C681" s="1" t="s">
        <v>1483</v>
      </c>
      <c r="D681" s="1" t="s">
        <v>12</v>
      </c>
      <c r="E681" s="1">
        <v>6059</v>
      </c>
      <c r="F681" s="1" t="s">
        <v>13</v>
      </c>
      <c r="G681" s="1">
        <v>1298.3800000000001</v>
      </c>
      <c r="H681" s="1">
        <v>21.21</v>
      </c>
    </row>
    <row r="682" spans="1:8">
      <c r="A682" s="1" t="s">
        <v>1484</v>
      </c>
      <c r="B682" s="1" t="s">
        <v>1485</v>
      </c>
      <c r="C682" s="1" t="s">
        <v>1486</v>
      </c>
      <c r="D682" s="1" t="s">
        <v>12</v>
      </c>
      <c r="E682" s="1">
        <v>4991</v>
      </c>
      <c r="F682" s="1" t="s">
        <v>13</v>
      </c>
      <c r="G682" s="1">
        <v>1144.21</v>
      </c>
      <c r="H682" s="1">
        <v>19.829999999999998</v>
      </c>
    </row>
    <row r="683" spans="1:8">
      <c r="A683" s="1" t="s">
        <v>1487</v>
      </c>
      <c r="B683" s="1" t="s">
        <v>1488</v>
      </c>
      <c r="C683" s="1" t="s">
        <v>1486</v>
      </c>
      <c r="D683" s="1" t="s">
        <v>12</v>
      </c>
      <c r="E683" s="1">
        <v>6572</v>
      </c>
      <c r="F683" s="1" t="s">
        <v>13</v>
      </c>
      <c r="G683" s="1">
        <v>1241.8800000000001</v>
      </c>
      <c r="H683" s="1">
        <v>24.06</v>
      </c>
    </row>
    <row r="684" spans="1:8">
      <c r="A684" s="1" t="s">
        <v>1489</v>
      </c>
      <c r="B684" s="1" t="s">
        <v>1490</v>
      </c>
      <c r="C684" s="1" t="s">
        <v>937</v>
      </c>
      <c r="D684" s="1" t="s">
        <v>12</v>
      </c>
      <c r="E684" s="1">
        <v>3639</v>
      </c>
      <c r="F684" s="1" t="s">
        <v>13</v>
      </c>
      <c r="G684" s="1">
        <v>673.26</v>
      </c>
      <c r="H684" s="1">
        <v>24.57</v>
      </c>
    </row>
    <row r="685" spans="1:8">
      <c r="A685" s="1" t="s">
        <v>1491</v>
      </c>
      <c r="B685" s="1" t="s">
        <v>1492</v>
      </c>
      <c r="C685" s="1" t="s">
        <v>1397</v>
      </c>
      <c r="D685" s="1" t="s">
        <v>12</v>
      </c>
      <c r="E685" s="1">
        <v>12397</v>
      </c>
      <c r="F685" s="1" t="s">
        <v>13</v>
      </c>
      <c r="G685" s="1">
        <v>1677.73</v>
      </c>
      <c r="H685" s="1">
        <v>33.590000000000003</v>
      </c>
    </row>
    <row r="686" spans="1:8">
      <c r="A686" s="1" t="s">
        <v>1493</v>
      </c>
      <c r="B686" s="1" t="s">
        <v>1494</v>
      </c>
      <c r="C686" s="1" t="s">
        <v>1397</v>
      </c>
      <c r="D686" s="1" t="s">
        <v>12</v>
      </c>
      <c r="E686" s="1">
        <v>20691</v>
      </c>
      <c r="F686" s="1" t="s">
        <v>13</v>
      </c>
      <c r="G686" s="1">
        <v>3061.67</v>
      </c>
      <c r="H686" s="1">
        <v>30.72</v>
      </c>
    </row>
    <row r="687" spans="1:8">
      <c r="A687" s="1" t="s">
        <v>1495</v>
      </c>
      <c r="B687" s="1" t="s">
        <v>1496</v>
      </c>
      <c r="C687" s="1" t="s">
        <v>1397</v>
      </c>
      <c r="D687" s="1" t="s">
        <v>12</v>
      </c>
      <c r="E687" s="1">
        <v>14893</v>
      </c>
      <c r="F687" s="1" t="s">
        <v>13</v>
      </c>
      <c r="G687" s="1">
        <v>2467.46</v>
      </c>
      <c r="H687" s="1">
        <v>27.44</v>
      </c>
    </row>
    <row r="688" spans="1:8">
      <c r="A688" s="1" t="s">
        <v>1497</v>
      </c>
      <c r="B688" s="1" t="s">
        <v>1498</v>
      </c>
      <c r="C688" s="1" t="s">
        <v>1397</v>
      </c>
      <c r="D688" s="1" t="s">
        <v>12</v>
      </c>
      <c r="E688" s="1">
        <v>7370</v>
      </c>
      <c r="F688" s="1" t="s">
        <v>13</v>
      </c>
      <c r="G688" s="1">
        <v>1264.1600000000001</v>
      </c>
      <c r="H688" s="1">
        <v>26.5</v>
      </c>
    </row>
    <row r="689" spans="1:8">
      <c r="A689" s="1" t="s">
        <v>1499</v>
      </c>
      <c r="B689" s="1" t="s">
        <v>1500</v>
      </c>
      <c r="C689" s="1" t="s">
        <v>1397</v>
      </c>
      <c r="D689" s="1" t="s">
        <v>12</v>
      </c>
      <c r="E689" s="1">
        <v>12212</v>
      </c>
      <c r="F689" s="1" t="s">
        <v>13</v>
      </c>
      <c r="G689" s="1">
        <v>1989.86</v>
      </c>
      <c r="H689" s="1">
        <v>27.9</v>
      </c>
    </row>
    <row r="690" spans="1:8">
      <c r="A690" s="1" t="s">
        <v>1501</v>
      </c>
      <c r="B690" s="1" t="s">
        <v>1502</v>
      </c>
      <c r="C690" s="1" t="s">
        <v>1503</v>
      </c>
      <c r="D690" s="1" t="s">
        <v>12</v>
      </c>
      <c r="E690" s="1">
        <v>6945</v>
      </c>
      <c r="F690" s="1" t="s">
        <v>13</v>
      </c>
      <c r="G690" s="1">
        <v>1157.0999999999999</v>
      </c>
      <c r="H690" s="1">
        <v>27.29</v>
      </c>
    </row>
    <row r="691" spans="1:8" hidden="1">
      <c r="A691" s="1" t="s">
        <v>1504</v>
      </c>
      <c r="B691" s="1" t="s">
        <v>1505</v>
      </c>
      <c r="C691" s="1" t="s">
        <v>1506</v>
      </c>
      <c r="D691" s="1" t="s">
        <v>12</v>
      </c>
      <c r="E691" s="1">
        <v>313</v>
      </c>
      <c r="F691" s="1" t="s">
        <v>623</v>
      </c>
      <c r="G691" s="1">
        <v>2576.08</v>
      </c>
      <c r="H691" s="1">
        <v>0</v>
      </c>
    </row>
    <row r="692" spans="1:8" hidden="1">
      <c r="A692" s="1" t="s">
        <v>1507</v>
      </c>
      <c r="B692" s="1" t="s">
        <v>1508</v>
      </c>
      <c r="C692" s="1" t="s">
        <v>1205</v>
      </c>
      <c r="D692" s="1" t="s">
        <v>12</v>
      </c>
      <c r="E692" s="1">
        <v>0</v>
      </c>
      <c r="F692" s="1" t="s">
        <v>623</v>
      </c>
      <c r="G692" s="1">
        <v>0</v>
      </c>
      <c r="H692" s="1">
        <v>0</v>
      </c>
    </row>
    <row r="693" spans="1:8">
      <c r="A693" s="1" t="s">
        <v>1509</v>
      </c>
      <c r="B693" s="1" t="s">
        <v>1510</v>
      </c>
      <c r="C693" s="1" t="s">
        <v>1511</v>
      </c>
      <c r="D693" s="1" t="s">
        <v>12</v>
      </c>
      <c r="E693" s="1">
        <v>3228</v>
      </c>
      <c r="F693" s="1" t="s">
        <v>13</v>
      </c>
      <c r="G693" s="1">
        <v>545.97</v>
      </c>
      <c r="H693" s="1">
        <v>26.88</v>
      </c>
    </row>
    <row r="694" spans="1:8">
      <c r="A694" s="1" t="s">
        <v>1512</v>
      </c>
      <c r="B694" s="1" t="s">
        <v>1513</v>
      </c>
      <c r="C694" s="1" t="s">
        <v>937</v>
      </c>
      <c r="D694" s="1" t="s">
        <v>12</v>
      </c>
      <c r="E694" s="1">
        <v>8231</v>
      </c>
      <c r="F694" s="1" t="s">
        <v>13</v>
      </c>
      <c r="G694" s="1">
        <v>1274.17</v>
      </c>
      <c r="H694" s="1">
        <v>29.37</v>
      </c>
    </row>
    <row r="695" spans="1:8" hidden="1">
      <c r="A695" s="1" t="s">
        <v>1514</v>
      </c>
      <c r="B695" s="1" t="s">
        <v>1515</v>
      </c>
      <c r="C695" s="1" t="s">
        <v>1516</v>
      </c>
      <c r="D695" s="1" t="s">
        <v>12</v>
      </c>
      <c r="E695" s="1">
        <v>0</v>
      </c>
      <c r="F695" s="1" t="s">
        <v>623</v>
      </c>
      <c r="G695" s="1">
        <v>0</v>
      </c>
      <c r="H695" s="1">
        <v>0</v>
      </c>
    </row>
    <row r="696" spans="1:8">
      <c r="A696" s="1" t="s">
        <v>1517</v>
      </c>
      <c r="B696" s="1" t="s">
        <v>1518</v>
      </c>
      <c r="C696" s="1" t="s">
        <v>937</v>
      </c>
      <c r="D696" s="1" t="s">
        <v>12</v>
      </c>
      <c r="E696" s="1">
        <v>5706</v>
      </c>
      <c r="F696" s="1" t="s">
        <v>13</v>
      </c>
      <c r="G696" s="1">
        <v>833.52</v>
      </c>
      <c r="H696" s="1">
        <v>31.12</v>
      </c>
    </row>
    <row r="697" spans="1:8">
      <c r="A697" s="1" t="s">
        <v>1519</v>
      </c>
      <c r="B697" s="1" t="s">
        <v>1520</v>
      </c>
      <c r="C697" s="1" t="s">
        <v>937</v>
      </c>
      <c r="D697" s="1" t="s">
        <v>12</v>
      </c>
      <c r="E697" s="1">
        <v>9120</v>
      </c>
      <c r="F697" s="1" t="s">
        <v>13</v>
      </c>
      <c r="G697" s="1">
        <v>1346.43</v>
      </c>
      <c r="H697" s="1">
        <v>30.79</v>
      </c>
    </row>
    <row r="698" spans="1:8">
      <c r="A698" s="1" t="s">
        <v>1521</v>
      </c>
      <c r="B698" s="1" t="s">
        <v>1522</v>
      </c>
      <c r="C698" s="1" t="s">
        <v>937</v>
      </c>
      <c r="D698" s="1" t="s">
        <v>12</v>
      </c>
      <c r="E698" s="1">
        <v>22579</v>
      </c>
      <c r="F698" s="1" t="s">
        <v>13</v>
      </c>
      <c r="G698" s="1">
        <v>3053.62</v>
      </c>
      <c r="H698" s="1">
        <v>33.61</v>
      </c>
    </row>
    <row r="699" spans="1:8">
      <c r="A699" s="1" t="s">
        <v>1523</v>
      </c>
      <c r="B699" s="1" t="s">
        <v>1524</v>
      </c>
      <c r="C699" s="1" t="s">
        <v>937</v>
      </c>
      <c r="D699" s="1" t="s">
        <v>12</v>
      </c>
      <c r="E699" s="1">
        <v>13098</v>
      </c>
      <c r="F699" s="1" t="s">
        <v>13</v>
      </c>
      <c r="G699" s="1">
        <v>2005.44</v>
      </c>
      <c r="H699" s="1">
        <v>29.69</v>
      </c>
    </row>
    <row r="700" spans="1:8">
      <c r="A700" s="1" t="s">
        <v>1525</v>
      </c>
      <c r="B700" s="1" t="s">
        <v>1526</v>
      </c>
      <c r="C700" s="1" t="s">
        <v>1527</v>
      </c>
      <c r="D700" s="1" t="s">
        <v>12</v>
      </c>
      <c r="E700" s="1">
        <v>14501</v>
      </c>
      <c r="F700" s="1" t="s">
        <v>13</v>
      </c>
      <c r="G700" s="1">
        <v>2734.78</v>
      </c>
      <c r="H700" s="1">
        <v>24.11</v>
      </c>
    </row>
    <row r="701" spans="1:8">
      <c r="A701" s="1" t="s">
        <v>1528</v>
      </c>
      <c r="B701" s="1" t="s">
        <v>1529</v>
      </c>
      <c r="C701" s="1" t="s">
        <v>1527</v>
      </c>
      <c r="D701" s="1" t="s">
        <v>12</v>
      </c>
      <c r="E701" s="1">
        <v>14851</v>
      </c>
      <c r="F701" s="1" t="s">
        <v>13</v>
      </c>
      <c r="G701" s="1">
        <v>2872.35</v>
      </c>
      <c r="H701" s="1">
        <v>23.5</v>
      </c>
    </row>
    <row r="702" spans="1:8" hidden="1">
      <c r="A702" s="1" t="s">
        <v>1530</v>
      </c>
      <c r="B702" s="1" t="s">
        <v>1531</v>
      </c>
      <c r="C702" s="1" t="s">
        <v>1532</v>
      </c>
      <c r="D702" s="1" t="s">
        <v>12</v>
      </c>
      <c r="E702" s="1">
        <v>192</v>
      </c>
      <c r="F702" s="1" t="s">
        <v>623</v>
      </c>
      <c r="G702" s="1">
        <v>975.46</v>
      </c>
      <c r="H702" s="1">
        <v>0</v>
      </c>
    </row>
    <row r="703" spans="1:8" hidden="1">
      <c r="A703" s="1" t="s">
        <v>1533</v>
      </c>
      <c r="B703" s="1" t="s">
        <v>1534</v>
      </c>
      <c r="C703" s="1" t="s">
        <v>1535</v>
      </c>
      <c r="D703" s="1" t="s">
        <v>12</v>
      </c>
      <c r="E703" s="1">
        <v>744</v>
      </c>
      <c r="F703" s="1" t="s">
        <v>623</v>
      </c>
      <c r="G703" s="1">
        <v>6254.97</v>
      </c>
      <c r="H703" s="1">
        <v>0</v>
      </c>
    </row>
    <row r="704" spans="1:8" hidden="1">
      <c r="A704" s="1" t="s">
        <v>1536</v>
      </c>
      <c r="B704" s="1" t="s">
        <v>1537</v>
      </c>
      <c r="C704" s="1" t="s">
        <v>1535</v>
      </c>
      <c r="D704" s="1" t="s">
        <v>12</v>
      </c>
      <c r="E704" s="1">
        <v>477</v>
      </c>
      <c r="F704" s="1" t="s">
        <v>623</v>
      </c>
      <c r="G704" s="1">
        <v>4444.41</v>
      </c>
      <c r="H704" s="1">
        <v>0</v>
      </c>
    </row>
    <row r="705" spans="1:8" hidden="1">
      <c r="A705" s="1" t="s">
        <v>1538</v>
      </c>
      <c r="B705" s="1" t="s">
        <v>1539</v>
      </c>
      <c r="C705" s="1" t="s">
        <v>1540</v>
      </c>
      <c r="D705" s="1" t="s">
        <v>12</v>
      </c>
      <c r="E705" s="1">
        <v>0</v>
      </c>
      <c r="F705" s="1" t="s">
        <v>623</v>
      </c>
      <c r="G705" s="1">
        <v>0</v>
      </c>
      <c r="H705" s="1">
        <v>0</v>
      </c>
    </row>
    <row r="706" spans="1:8" hidden="1">
      <c r="A706" s="1" t="s">
        <v>1541</v>
      </c>
      <c r="B706" s="1" t="s">
        <v>1542</v>
      </c>
      <c r="C706" s="1" t="s">
        <v>1543</v>
      </c>
      <c r="D706" s="1" t="s">
        <v>12</v>
      </c>
      <c r="E706" s="1">
        <v>379</v>
      </c>
      <c r="F706" s="1" t="s">
        <v>623</v>
      </c>
      <c r="G706" s="1">
        <v>2567.9299999999998</v>
      </c>
      <c r="H706" s="1">
        <v>0</v>
      </c>
    </row>
    <row r="707" spans="1:8">
      <c r="A707" s="1" t="s">
        <v>1544</v>
      </c>
      <c r="B707" s="1" t="s">
        <v>1545</v>
      </c>
      <c r="C707" s="1" t="s">
        <v>1486</v>
      </c>
      <c r="D707" s="1" t="s">
        <v>12</v>
      </c>
      <c r="E707" s="1">
        <v>7982</v>
      </c>
      <c r="F707" s="1" t="s">
        <v>13</v>
      </c>
      <c r="G707" s="1">
        <v>1627.27</v>
      </c>
      <c r="H707" s="1">
        <v>22.3</v>
      </c>
    </row>
    <row r="708" spans="1:8" hidden="1">
      <c r="A708" s="1" t="s">
        <v>1546</v>
      </c>
      <c r="B708" s="1" t="s">
        <v>1547</v>
      </c>
      <c r="C708" s="1" t="s">
        <v>1532</v>
      </c>
      <c r="D708" s="1" t="s">
        <v>12</v>
      </c>
      <c r="E708" s="1">
        <v>0</v>
      </c>
      <c r="F708" s="1" t="s">
        <v>623</v>
      </c>
      <c r="G708" s="1">
        <v>0</v>
      </c>
      <c r="H708" s="1">
        <v>0</v>
      </c>
    </row>
    <row r="709" spans="1:8">
      <c r="A709" s="1" t="s">
        <v>1548</v>
      </c>
      <c r="B709" s="1" t="s">
        <v>1549</v>
      </c>
      <c r="C709" s="1" t="s">
        <v>1483</v>
      </c>
      <c r="D709" s="1" t="s">
        <v>12</v>
      </c>
      <c r="E709" s="1">
        <v>4576</v>
      </c>
      <c r="F709" s="1" t="s">
        <v>13</v>
      </c>
      <c r="G709" s="1">
        <v>900.47</v>
      </c>
      <c r="H709" s="1">
        <v>23.1</v>
      </c>
    </row>
    <row r="710" spans="1:8" hidden="1">
      <c r="A710" s="1" t="s">
        <v>1550</v>
      </c>
      <c r="B710" s="1" t="s">
        <v>1550</v>
      </c>
      <c r="C710" s="1" t="s">
        <v>1551</v>
      </c>
      <c r="D710" s="1" t="s">
        <v>12</v>
      </c>
      <c r="E710" s="1">
        <v>88</v>
      </c>
      <c r="F710" s="1" t="s">
        <v>623</v>
      </c>
      <c r="G710" s="1">
        <v>246</v>
      </c>
      <c r="H710" s="1">
        <v>0</v>
      </c>
    </row>
    <row r="711" spans="1:8" hidden="1">
      <c r="A711" s="1" t="s">
        <v>1552</v>
      </c>
      <c r="B711" s="1" t="s">
        <v>1552</v>
      </c>
      <c r="C711" s="1" t="s">
        <v>1553</v>
      </c>
      <c r="D711" s="1" t="s">
        <v>12</v>
      </c>
      <c r="E711" s="1">
        <v>68</v>
      </c>
      <c r="F711" s="1" t="s">
        <v>623</v>
      </c>
      <c r="G711" s="1">
        <v>85.35</v>
      </c>
      <c r="H711" s="1">
        <v>0</v>
      </c>
    </row>
    <row r="712" spans="1:8">
      <c r="A712" s="1" t="s">
        <v>1554</v>
      </c>
      <c r="B712" s="1" t="s">
        <v>1555</v>
      </c>
      <c r="C712" s="1" t="s">
        <v>1556</v>
      </c>
      <c r="D712" s="1" t="s">
        <v>12</v>
      </c>
      <c r="E712" s="1">
        <v>3828</v>
      </c>
      <c r="F712" s="1" t="s">
        <v>13</v>
      </c>
      <c r="G712" s="1">
        <v>761.41</v>
      </c>
      <c r="H712" s="1">
        <v>22.86</v>
      </c>
    </row>
    <row r="713" spans="1:8">
      <c r="A713" s="1" t="s">
        <v>1557</v>
      </c>
      <c r="B713" s="1" t="s">
        <v>1558</v>
      </c>
      <c r="C713" s="1" t="s">
        <v>1559</v>
      </c>
      <c r="D713" s="1" t="s">
        <v>12</v>
      </c>
      <c r="E713" s="1">
        <v>2613</v>
      </c>
      <c r="F713" s="1" t="s">
        <v>13</v>
      </c>
      <c r="G713" s="1">
        <v>485.64</v>
      </c>
      <c r="H713" s="1">
        <v>24.46</v>
      </c>
    </row>
    <row r="714" spans="1:8">
      <c r="A714" s="1" t="s">
        <v>1560</v>
      </c>
      <c r="B714" s="1" t="s">
        <v>1561</v>
      </c>
      <c r="C714" s="1" t="s">
        <v>1559</v>
      </c>
      <c r="D714" s="1" t="s">
        <v>12</v>
      </c>
      <c r="E714" s="1">
        <v>9180</v>
      </c>
      <c r="F714" s="1" t="s">
        <v>13</v>
      </c>
      <c r="G714" s="1">
        <v>1636.05</v>
      </c>
      <c r="H714" s="1">
        <v>25.51</v>
      </c>
    </row>
    <row r="715" spans="1:8">
      <c r="A715" s="1" t="s">
        <v>1562</v>
      </c>
      <c r="B715" s="1" t="s">
        <v>1563</v>
      </c>
      <c r="C715" s="1" t="s">
        <v>1564</v>
      </c>
      <c r="D715" s="1" t="s">
        <v>12</v>
      </c>
      <c r="E715" s="1">
        <v>7068</v>
      </c>
      <c r="F715" s="1" t="s">
        <v>13</v>
      </c>
      <c r="G715" s="1">
        <v>1301.08</v>
      </c>
      <c r="H715" s="1">
        <v>24.7</v>
      </c>
    </row>
    <row r="716" spans="1:8">
      <c r="A716" s="1" t="s">
        <v>1565</v>
      </c>
      <c r="B716" s="1" t="s">
        <v>1566</v>
      </c>
      <c r="C716" s="1" t="s">
        <v>1564</v>
      </c>
      <c r="D716" s="1" t="s">
        <v>12</v>
      </c>
      <c r="E716" s="1">
        <v>11398</v>
      </c>
      <c r="F716" s="1" t="s">
        <v>13</v>
      </c>
      <c r="G716" s="1">
        <v>2454.88</v>
      </c>
      <c r="H716" s="1">
        <v>21.11</v>
      </c>
    </row>
    <row r="717" spans="1:8">
      <c r="A717" s="1" t="s">
        <v>1567</v>
      </c>
      <c r="B717" s="1" t="s">
        <v>1568</v>
      </c>
      <c r="C717" s="1" t="s">
        <v>1564</v>
      </c>
      <c r="D717" s="1" t="s">
        <v>12</v>
      </c>
      <c r="E717" s="1">
        <v>2797</v>
      </c>
      <c r="F717" s="1" t="s">
        <v>13</v>
      </c>
      <c r="G717" s="1">
        <v>532.9</v>
      </c>
      <c r="H717" s="1">
        <v>23.86</v>
      </c>
    </row>
    <row r="718" spans="1:8">
      <c r="A718" s="1" t="s">
        <v>1569</v>
      </c>
      <c r="B718" s="1" t="s">
        <v>1570</v>
      </c>
      <c r="C718" s="1" t="s">
        <v>1571</v>
      </c>
      <c r="D718" s="1" t="s">
        <v>12</v>
      </c>
      <c r="E718" s="1">
        <v>4693</v>
      </c>
      <c r="F718" s="1" t="s">
        <v>13</v>
      </c>
      <c r="G718" s="1">
        <v>933.79</v>
      </c>
      <c r="H718" s="1">
        <v>22.85</v>
      </c>
    </row>
    <row r="719" spans="1:8">
      <c r="A719" s="1" t="s">
        <v>1572</v>
      </c>
      <c r="B719" s="1" t="s">
        <v>1573</v>
      </c>
      <c r="C719" s="1" t="s">
        <v>1574</v>
      </c>
      <c r="D719" s="1" t="s">
        <v>12</v>
      </c>
      <c r="E719" s="1">
        <v>13989</v>
      </c>
      <c r="F719" s="1" t="s">
        <v>13</v>
      </c>
      <c r="G719" s="1">
        <v>2293.17</v>
      </c>
      <c r="H719" s="1">
        <v>27.73</v>
      </c>
    </row>
    <row r="720" spans="1:8">
      <c r="A720" s="1" t="s">
        <v>1575</v>
      </c>
      <c r="B720" s="1" t="s">
        <v>1576</v>
      </c>
      <c r="C720" s="1" t="s">
        <v>1577</v>
      </c>
      <c r="D720" s="1" t="s">
        <v>12</v>
      </c>
      <c r="E720" s="1">
        <v>1399</v>
      </c>
      <c r="F720" s="1" t="s">
        <v>13</v>
      </c>
      <c r="G720" s="1">
        <v>297.95</v>
      </c>
      <c r="H720" s="1">
        <v>21.35</v>
      </c>
    </row>
    <row r="721" spans="1:8">
      <c r="A721" s="1" t="s">
        <v>1578</v>
      </c>
      <c r="B721" s="1" t="s">
        <v>1579</v>
      </c>
      <c r="C721" s="1" t="s">
        <v>1580</v>
      </c>
      <c r="D721" s="1" t="s">
        <v>12</v>
      </c>
      <c r="E721" s="1">
        <v>7109</v>
      </c>
      <c r="F721" s="1" t="s">
        <v>13</v>
      </c>
      <c r="G721" s="1">
        <v>1314.41</v>
      </c>
      <c r="H721" s="1">
        <v>24.59</v>
      </c>
    </row>
    <row r="722" spans="1:8">
      <c r="A722" s="1" t="s">
        <v>1581</v>
      </c>
      <c r="B722" s="1" t="s">
        <v>1582</v>
      </c>
      <c r="C722" s="1" t="s">
        <v>1580</v>
      </c>
      <c r="D722" s="1" t="s">
        <v>12</v>
      </c>
      <c r="E722" s="1">
        <v>5784</v>
      </c>
      <c r="F722" s="1" t="s">
        <v>13</v>
      </c>
      <c r="G722" s="1">
        <v>199.4</v>
      </c>
      <c r="H722" s="1">
        <v>131.87</v>
      </c>
    </row>
    <row r="723" spans="1:8">
      <c r="A723" s="1" t="s">
        <v>1583</v>
      </c>
      <c r="B723" s="1" t="s">
        <v>1584</v>
      </c>
      <c r="C723" s="1" t="s">
        <v>1585</v>
      </c>
      <c r="D723" s="1" t="s">
        <v>12</v>
      </c>
      <c r="E723" s="1">
        <v>6398</v>
      </c>
      <c r="F723" s="1" t="s">
        <v>13</v>
      </c>
      <c r="G723" s="1">
        <v>1373.46</v>
      </c>
      <c r="H723" s="1">
        <v>21.18</v>
      </c>
    </row>
    <row r="724" spans="1:8">
      <c r="A724" s="1" t="s">
        <v>1586</v>
      </c>
      <c r="B724" s="1" t="s">
        <v>1587</v>
      </c>
      <c r="C724" s="1" t="s">
        <v>1588</v>
      </c>
      <c r="D724" s="1" t="s">
        <v>12</v>
      </c>
      <c r="E724" s="1">
        <v>6484</v>
      </c>
      <c r="F724" s="1" t="s">
        <v>13</v>
      </c>
      <c r="G724" s="1">
        <v>1000.29</v>
      </c>
      <c r="H724" s="1">
        <v>29.47</v>
      </c>
    </row>
    <row r="725" spans="1:8">
      <c r="A725" s="1" t="s">
        <v>1589</v>
      </c>
      <c r="B725" s="1" t="s">
        <v>1590</v>
      </c>
      <c r="C725" s="1" t="s">
        <v>1591</v>
      </c>
      <c r="D725" s="1" t="s">
        <v>12</v>
      </c>
      <c r="E725" s="1">
        <v>4780</v>
      </c>
      <c r="F725" s="1" t="s">
        <v>13</v>
      </c>
      <c r="G725" s="1">
        <v>1071.29</v>
      </c>
      <c r="H725" s="1">
        <v>20.28</v>
      </c>
    </row>
    <row r="726" spans="1:8">
      <c r="A726" s="1" t="s">
        <v>1592</v>
      </c>
      <c r="B726" s="1" t="s">
        <v>1593</v>
      </c>
      <c r="C726" s="1" t="s">
        <v>1594</v>
      </c>
      <c r="D726" s="1" t="s">
        <v>12</v>
      </c>
      <c r="E726" s="1">
        <v>4542</v>
      </c>
      <c r="F726" s="1" t="s">
        <v>13</v>
      </c>
      <c r="G726" s="1">
        <v>1188.46</v>
      </c>
      <c r="H726" s="1">
        <v>17.37</v>
      </c>
    </row>
    <row r="727" spans="1:8">
      <c r="A727" s="1" t="s">
        <v>1595</v>
      </c>
      <c r="B727" s="1" t="s">
        <v>1596</v>
      </c>
      <c r="C727" s="1" t="s">
        <v>1597</v>
      </c>
      <c r="D727" s="1" t="s">
        <v>12</v>
      </c>
      <c r="E727" s="1">
        <v>6438</v>
      </c>
      <c r="F727" s="1" t="s">
        <v>13</v>
      </c>
      <c r="G727" s="1">
        <v>1283.3699999999999</v>
      </c>
      <c r="H727" s="1">
        <v>22.81</v>
      </c>
    </row>
    <row r="728" spans="1:8">
      <c r="A728" s="1" t="s">
        <v>1598</v>
      </c>
      <c r="B728" s="1" t="s">
        <v>1599</v>
      </c>
      <c r="C728" s="1" t="s">
        <v>1597</v>
      </c>
      <c r="D728" s="1" t="s">
        <v>12</v>
      </c>
      <c r="E728" s="1">
        <v>5880</v>
      </c>
      <c r="F728" s="1" t="s">
        <v>13</v>
      </c>
      <c r="G728" s="1">
        <v>1305.0999999999999</v>
      </c>
      <c r="H728" s="1">
        <v>20.48</v>
      </c>
    </row>
    <row r="729" spans="1:8">
      <c r="A729" s="1" t="s">
        <v>1600</v>
      </c>
      <c r="B729" s="1" t="s">
        <v>1601</v>
      </c>
      <c r="C729" s="1" t="s">
        <v>1602</v>
      </c>
      <c r="D729" s="1" t="s">
        <v>12</v>
      </c>
      <c r="E729" s="1">
        <v>4862</v>
      </c>
      <c r="F729" s="1" t="s">
        <v>13</v>
      </c>
      <c r="G729" s="1">
        <v>1102.4000000000001</v>
      </c>
      <c r="H729" s="1">
        <v>20.05</v>
      </c>
    </row>
    <row r="730" spans="1:8">
      <c r="A730" s="1" t="s">
        <v>1603</v>
      </c>
      <c r="B730" s="1" t="s">
        <v>1604</v>
      </c>
      <c r="C730" s="1" t="s">
        <v>1605</v>
      </c>
      <c r="D730" s="1" t="s">
        <v>12</v>
      </c>
      <c r="E730" s="1">
        <v>8503</v>
      </c>
      <c r="F730" s="1" t="s">
        <v>13</v>
      </c>
      <c r="G730" s="1">
        <v>1413.34</v>
      </c>
      <c r="H730" s="1">
        <v>27.35</v>
      </c>
    </row>
    <row r="731" spans="1:8">
      <c r="A731" s="1" t="s">
        <v>1606</v>
      </c>
      <c r="B731" s="1" t="s">
        <v>1607</v>
      </c>
      <c r="C731" s="1" t="s">
        <v>1605</v>
      </c>
      <c r="D731" s="1" t="s">
        <v>12</v>
      </c>
      <c r="E731" s="1">
        <v>14871</v>
      </c>
      <c r="F731" s="1" t="s">
        <v>13</v>
      </c>
      <c r="G731" s="1">
        <v>2095.69</v>
      </c>
      <c r="H731" s="1">
        <v>32.26</v>
      </c>
    </row>
    <row r="732" spans="1:8">
      <c r="A732" s="1" t="s">
        <v>1608</v>
      </c>
      <c r="B732" s="1" t="s">
        <v>1609</v>
      </c>
      <c r="C732" s="1" t="s">
        <v>1610</v>
      </c>
      <c r="D732" s="1" t="s">
        <v>12</v>
      </c>
      <c r="E732" s="1">
        <v>2308</v>
      </c>
      <c r="F732" s="1" t="s">
        <v>13</v>
      </c>
      <c r="G732" s="1">
        <v>596.88</v>
      </c>
      <c r="H732" s="1">
        <v>17.579999999999998</v>
      </c>
    </row>
    <row r="733" spans="1:8">
      <c r="A733" s="1" t="s">
        <v>1611</v>
      </c>
      <c r="B733" s="1" t="s">
        <v>1612</v>
      </c>
      <c r="C733" s="1" t="s">
        <v>1610</v>
      </c>
      <c r="D733" s="1" t="s">
        <v>12</v>
      </c>
      <c r="E733" s="1">
        <v>6980</v>
      </c>
      <c r="F733" s="1" t="s">
        <v>13</v>
      </c>
      <c r="G733" s="1">
        <v>1317.96</v>
      </c>
      <c r="H733" s="1">
        <v>24.08</v>
      </c>
    </row>
    <row r="734" spans="1:8">
      <c r="A734" s="1" t="s">
        <v>1613</v>
      </c>
      <c r="B734" s="1" t="s">
        <v>1614</v>
      </c>
      <c r="C734" s="1" t="s">
        <v>1605</v>
      </c>
      <c r="D734" s="1" t="s">
        <v>12</v>
      </c>
      <c r="E734" s="1">
        <v>10661</v>
      </c>
      <c r="F734" s="1" t="s">
        <v>13</v>
      </c>
      <c r="G734" s="1">
        <v>3033.36</v>
      </c>
      <c r="H734" s="1">
        <v>15.98</v>
      </c>
    </row>
    <row r="735" spans="1:8">
      <c r="A735" s="1" t="s">
        <v>1615</v>
      </c>
      <c r="B735" s="1" t="s">
        <v>1616</v>
      </c>
      <c r="C735" s="1" t="s">
        <v>1617</v>
      </c>
      <c r="D735" s="1" t="s">
        <v>12</v>
      </c>
      <c r="E735" s="1">
        <v>6026</v>
      </c>
      <c r="F735" s="1" t="s">
        <v>13</v>
      </c>
      <c r="G735" s="1">
        <v>1173.8499999999999</v>
      </c>
      <c r="H735" s="1">
        <v>23.34</v>
      </c>
    </row>
    <row r="736" spans="1:8">
      <c r="A736" s="1" t="s">
        <v>1618</v>
      </c>
      <c r="B736" s="1" t="s">
        <v>1619</v>
      </c>
      <c r="C736" s="1" t="s">
        <v>1620</v>
      </c>
      <c r="D736" s="1" t="s">
        <v>12</v>
      </c>
      <c r="E736" s="1">
        <v>10854</v>
      </c>
      <c r="F736" s="1" t="s">
        <v>13</v>
      </c>
      <c r="G736" s="1">
        <v>2165.1999999999998</v>
      </c>
      <c r="H736" s="1">
        <v>22.79</v>
      </c>
    </row>
    <row r="737" spans="1:8">
      <c r="A737" s="1" t="s">
        <v>1621</v>
      </c>
      <c r="B737" s="1" t="s">
        <v>1622</v>
      </c>
      <c r="C737" s="1" t="s">
        <v>1620</v>
      </c>
      <c r="D737" s="1" t="s">
        <v>12</v>
      </c>
      <c r="E737" s="1">
        <v>7385</v>
      </c>
      <c r="F737" s="1" t="s">
        <v>13</v>
      </c>
      <c r="G737" s="1">
        <v>1178.47</v>
      </c>
      <c r="H737" s="1">
        <v>28.49</v>
      </c>
    </row>
    <row r="738" spans="1:8">
      <c r="A738" s="1" t="s">
        <v>1623</v>
      </c>
      <c r="B738" s="1" t="s">
        <v>1624</v>
      </c>
      <c r="C738" s="1" t="s">
        <v>937</v>
      </c>
      <c r="D738" s="1" t="s">
        <v>12</v>
      </c>
      <c r="E738" s="1">
        <v>9630</v>
      </c>
      <c r="F738" s="1" t="s">
        <v>13</v>
      </c>
      <c r="G738" s="1">
        <v>1737.42</v>
      </c>
      <c r="H738" s="1">
        <v>25.2</v>
      </c>
    </row>
    <row r="739" spans="1:8">
      <c r="A739" s="1" t="s">
        <v>1625</v>
      </c>
      <c r="B739" s="1" t="s">
        <v>1626</v>
      </c>
      <c r="C739" s="1" t="s">
        <v>937</v>
      </c>
      <c r="D739" s="1" t="s">
        <v>12</v>
      </c>
      <c r="E739" s="1">
        <v>3668</v>
      </c>
      <c r="F739" s="1" t="s">
        <v>13</v>
      </c>
      <c r="G739" s="1">
        <v>706.75</v>
      </c>
      <c r="H739" s="1">
        <v>23.59</v>
      </c>
    </row>
    <row r="740" spans="1:8">
      <c r="A740" s="1" t="s">
        <v>1627</v>
      </c>
      <c r="B740" s="1" t="s">
        <v>1628</v>
      </c>
      <c r="C740" s="1" t="s">
        <v>937</v>
      </c>
      <c r="D740" s="1" t="s">
        <v>12</v>
      </c>
      <c r="E740" s="1">
        <v>-3780</v>
      </c>
      <c r="F740" s="1" t="s">
        <v>13</v>
      </c>
      <c r="G740" s="1">
        <v>1130.3900000000001</v>
      </c>
      <c r="H740" s="1">
        <v>-15.2</v>
      </c>
    </row>
    <row r="741" spans="1:8">
      <c r="A741" s="1" t="s">
        <v>1629</v>
      </c>
      <c r="B741" s="1" t="s">
        <v>1630</v>
      </c>
      <c r="C741" s="1" t="s">
        <v>937</v>
      </c>
      <c r="D741" s="1" t="s">
        <v>12</v>
      </c>
      <c r="E741" s="1">
        <v>13550</v>
      </c>
      <c r="F741" s="1" t="s">
        <v>13</v>
      </c>
      <c r="G741" s="1">
        <v>2890.99</v>
      </c>
      <c r="H741" s="1">
        <v>21.31</v>
      </c>
    </row>
    <row r="742" spans="1:8" hidden="1">
      <c r="A742" s="1" t="s">
        <v>1631</v>
      </c>
      <c r="B742" s="1" t="s">
        <v>1632</v>
      </c>
      <c r="C742" s="1" t="s">
        <v>1633</v>
      </c>
      <c r="D742" s="1" t="s">
        <v>12</v>
      </c>
      <c r="E742" s="1">
        <v>0</v>
      </c>
      <c r="F742" s="1" t="s">
        <v>1634</v>
      </c>
      <c r="G742" s="1">
        <v>0</v>
      </c>
      <c r="H742" s="1">
        <v>0</v>
      </c>
    </row>
    <row r="743" spans="1:8" hidden="1">
      <c r="A743" s="1" t="s">
        <v>1635</v>
      </c>
      <c r="B743" s="1" t="s">
        <v>1635</v>
      </c>
      <c r="C743" s="1" t="s">
        <v>1636</v>
      </c>
      <c r="D743" s="1" t="s">
        <v>12</v>
      </c>
      <c r="E743" s="1">
        <v>0</v>
      </c>
      <c r="F743" s="1" t="s">
        <v>1634</v>
      </c>
      <c r="G743" s="1">
        <v>12.1</v>
      </c>
      <c r="H743" s="1">
        <v>0</v>
      </c>
    </row>
    <row r="744" spans="1:8" hidden="1">
      <c r="A744" s="1" t="s">
        <v>1637</v>
      </c>
      <c r="B744" s="1" t="s">
        <v>1637</v>
      </c>
      <c r="C744" s="1" t="s">
        <v>1638</v>
      </c>
      <c r="D744" s="1" t="s">
        <v>12</v>
      </c>
      <c r="E744" s="1">
        <v>0</v>
      </c>
      <c r="F744" s="1" t="s">
        <v>1634</v>
      </c>
      <c r="G744" s="1">
        <v>0</v>
      </c>
      <c r="H744" s="1">
        <v>0</v>
      </c>
    </row>
    <row r="745" spans="1:8" hidden="1">
      <c r="A745" s="1" t="s">
        <v>1639</v>
      </c>
      <c r="B745" s="1" t="s">
        <v>1640</v>
      </c>
      <c r="C745" s="1" t="s">
        <v>1535</v>
      </c>
      <c r="D745" s="1" t="s">
        <v>12</v>
      </c>
      <c r="E745" s="1">
        <v>711</v>
      </c>
      <c r="F745" s="1" t="s">
        <v>623</v>
      </c>
      <c r="G745" s="1">
        <v>5836.64</v>
      </c>
      <c r="H745" s="1">
        <v>0</v>
      </c>
    </row>
    <row r="746" spans="1:8" hidden="1">
      <c r="A746" s="1" t="s">
        <v>1641</v>
      </c>
      <c r="B746" s="1" t="s">
        <v>1642</v>
      </c>
      <c r="C746" s="1" t="s">
        <v>1535</v>
      </c>
      <c r="D746" s="1" t="s">
        <v>12</v>
      </c>
      <c r="E746" s="1">
        <v>1759</v>
      </c>
      <c r="F746" s="1" t="s">
        <v>623</v>
      </c>
      <c r="G746" s="1">
        <v>3685.2</v>
      </c>
      <c r="H746" s="1">
        <v>0</v>
      </c>
    </row>
    <row r="747" spans="1:8" hidden="1">
      <c r="A747" s="1" t="s">
        <v>1643</v>
      </c>
      <c r="B747" s="1" t="s">
        <v>1644</v>
      </c>
      <c r="C747" s="1" t="s">
        <v>1645</v>
      </c>
      <c r="D747" s="1" t="s">
        <v>12</v>
      </c>
      <c r="E747" s="1">
        <v>0</v>
      </c>
      <c r="F747" s="1" t="s">
        <v>623</v>
      </c>
      <c r="G747" s="1">
        <v>93.92</v>
      </c>
      <c r="H747" s="1">
        <v>0</v>
      </c>
    </row>
    <row r="748" spans="1:8">
      <c r="A748" s="1" t="s">
        <v>1646</v>
      </c>
      <c r="B748" s="1" t="s">
        <v>1647</v>
      </c>
      <c r="C748" s="1" t="s">
        <v>937</v>
      </c>
      <c r="D748" s="1" t="s">
        <v>12</v>
      </c>
      <c r="E748" s="1">
        <v>8743</v>
      </c>
      <c r="F748" s="1" t="s">
        <v>13</v>
      </c>
      <c r="G748" s="1">
        <v>1612.8</v>
      </c>
      <c r="H748" s="1">
        <v>24.64</v>
      </c>
    </row>
    <row r="749" spans="1:8">
      <c r="A749" s="1" t="s">
        <v>1648</v>
      </c>
      <c r="B749" s="1" t="s">
        <v>1649</v>
      </c>
      <c r="C749" s="1" t="s">
        <v>937</v>
      </c>
      <c r="D749" s="1" t="s">
        <v>12</v>
      </c>
      <c r="E749" s="1">
        <v>5716</v>
      </c>
      <c r="F749" s="1" t="s">
        <v>13</v>
      </c>
      <c r="G749" s="1">
        <v>1107.92</v>
      </c>
      <c r="H749" s="1">
        <v>23.45</v>
      </c>
    </row>
    <row r="750" spans="1:8">
      <c r="A750" s="1" t="s">
        <v>1650</v>
      </c>
      <c r="B750" s="1" t="s">
        <v>1651</v>
      </c>
      <c r="C750" s="1" t="s">
        <v>937</v>
      </c>
      <c r="D750" s="1" t="s">
        <v>12</v>
      </c>
      <c r="E750" s="1">
        <v>15930</v>
      </c>
      <c r="F750" s="1" t="s">
        <v>13</v>
      </c>
      <c r="G750" s="1">
        <v>2745.56</v>
      </c>
      <c r="H750" s="1">
        <v>26.38</v>
      </c>
    </row>
    <row r="751" spans="1:8">
      <c r="A751" s="1" t="s">
        <v>1652</v>
      </c>
      <c r="B751" s="1" t="s">
        <v>1653</v>
      </c>
      <c r="C751" s="1" t="s">
        <v>1654</v>
      </c>
      <c r="D751" s="1" t="s">
        <v>12</v>
      </c>
      <c r="E751" s="1">
        <v>9140</v>
      </c>
      <c r="F751" s="1" t="s">
        <v>13</v>
      </c>
      <c r="G751" s="1">
        <v>1614.66</v>
      </c>
      <c r="H751" s="1">
        <v>25.73</v>
      </c>
    </row>
    <row r="752" spans="1:8" hidden="1">
      <c r="A752" s="1" t="s">
        <v>1655</v>
      </c>
      <c r="B752" s="1" t="s">
        <v>1656</v>
      </c>
      <c r="C752" s="1" t="s">
        <v>1657</v>
      </c>
      <c r="D752" s="1" t="s">
        <v>12</v>
      </c>
      <c r="E752" s="1">
        <v>118</v>
      </c>
      <c r="F752" s="1" t="s">
        <v>623</v>
      </c>
      <c r="G752" s="1">
        <v>435.6</v>
      </c>
      <c r="H752" s="1">
        <v>0</v>
      </c>
    </row>
    <row r="753" spans="1:8" hidden="1">
      <c r="A753" s="1" t="s">
        <v>1658</v>
      </c>
      <c r="B753" s="1" t="s">
        <v>1659</v>
      </c>
      <c r="C753" s="1" t="s">
        <v>1660</v>
      </c>
      <c r="D753" s="1" t="s">
        <v>12</v>
      </c>
      <c r="E753" s="1">
        <v>434</v>
      </c>
      <c r="F753" s="1" t="s">
        <v>623</v>
      </c>
      <c r="G753" s="1">
        <v>1309.45</v>
      </c>
      <c r="H753" s="1">
        <v>0</v>
      </c>
    </row>
    <row r="754" spans="1:8" hidden="1">
      <c r="A754" s="1" t="s">
        <v>1661</v>
      </c>
      <c r="B754" s="1" t="s">
        <v>1662</v>
      </c>
      <c r="C754" s="1" t="s">
        <v>1657</v>
      </c>
      <c r="D754" s="1" t="s">
        <v>12</v>
      </c>
      <c r="E754" s="1">
        <v>412</v>
      </c>
      <c r="F754" s="1" t="s">
        <v>623</v>
      </c>
      <c r="G754" s="1">
        <v>1474.84</v>
      </c>
      <c r="H754" s="1">
        <v>0</v>
      </c>
    </row>
    <row r="755" spans="1:8" hidden="1">
      <c r="A755" s="1" t="s">
        <v>1663</v>
      </c>
      <c r="B755" s="1" t="s">
        <v>1664</v>
      </c>
      <c r="C755" s="1" t="s">
        <v>1665</v>
      </c>
      <c r="D755" s="1" t="s">
        <v>12</v>
      </c>
      <c r="E755" s="1">
        <v>435</v>
      </c>
      <c r="F755" s="1" t="s">
        <v>623</v>
      </c>
      <c r="G755" s="1">
        <v>1234.5</v>
      </c>
      <c r="H755" s="1">
        <v>0</v>
      </c>
    </row>
    <row r="756" spans="1:8">
      <c r="A756" s="1" t="s">
        <v>1666</v>
      </c>
      <c r="B756" s="1" t="s">
        <v>1667</v>
      </c>
      <c r="C756" s="1" t="s">
        <v>1668</v>
      </c>
      <c r="D756" s="1" t="s">
        <v>12</v>
      </c>
      <c r="E756" s="1">
        <v>1032</v>
      </c>
      <c r="F756" s="1" t="s">
        <v>13</v>
      </c>
      <c r="G756" s="1">
        <v>279.57</v>
      </c>
      <c r="H756" s="1">
        <v>16.78</v>
      </c>
    </row>
    <row r="757" spans="1:8">
      <c r="A757" s="1" t="s">
        <v>1669</v>
      </c>
      <c r="B757" s="1" t="s">
        <v>1670</v>
      </c>
      <c r="C757" s="1" t="s">
        <v>1668</v>
      </c>
      <c r="D757" s="1" t="s">
        <v>12</v>
      </c>
      <c r="E757" s="1">
        <v>289</v>
      </c>
      <c r="F757" s="1" t="s">
        <v>13</v>
      </c>
      <c r="G757" s="1">
        <v>73.52</v>
      </c>
      <c r="H757" s="1">
        <v>17.87</v>
      </c>
    </row>
    <row r="758" spans="1:8">
      <c r="A758" s="1" t="s">
        <v>1671</v>
      </c>
      <c r="B758" s="1" t="s">
        <v>1672</v>
      </c>
      <c r="C758" s="1" t="s">
        <v>1668</v>
      </c>
      <c r="D758" s="1" t="s">
        <v>12</v>
      </c>
      <c r="E758" s="1">
        <v>380</v>
      </c>
      <c r="F758" s="1" t="s">
        <v>13</v>
      </c>
      <c r="G758" s="1">
        <v>117.87</v>
      </c>
      <c r="H758" s="1">
        <v>14.66</v>
      </c>
    </row>
    <row r="759" spans="1:8">
      <c r="A759" s="1" t="s">
        <v>1673</v>
      </c>
      <c r="B759" s="1" t="s">
        <v>1674</v>
      </c>
      <c r="C759" s="1" t="s">
        <v>1668</v>
      </c>
      <c r="D759" s="1" t="s">
        <v>12</v>
      </c>
      <c r="E759" s="1">
        <v>1095</v>
      </c>
      <c r="F759" s="1" t="s">
        <v>13</v>
      </c>
      <c r="G759" s="1">
        <v>219.6</v>
      </c>
      <c r="H759" s="1">
        <v>22.67</v>
      </c>
    </row>
    <row r="760" spans="1:8">
      <c r="A760" s="1" t="s">
        <v>1675</v>
      </c>
      <c r="B760" s="1" t="s">
        <v>1676</v>
      </c>
      <c r="C760" s="1" t="s">
        <v>1668</v>
      </c>
      <c r="D760" s="1" t="s">
        <v>12</v>
      </c>
      <c r="E760" s="1">
        <v>172</v>
      </c>
      <c r="F760" s="1" t="s">
        <v>13</v>
      </c>
      <c r="G760" s="1">
        <v>79.02</v>
      </c>
      <c r="H760" s="1">
        <v>9.9</v>
      </c>
    </row>
    <row r="761" spans="1:8">
      <c r="A761" s="1" t="s">
        <v>1677</v>
      </c>
      <c r="B761" s="1" t="s">
        <v>1678</v>
      </c>
      <c r="C761" s="1" t="s">
        <v>1668</v>
      </c>
      <c r="D761" s="1" t="s">
        <v>12</v>
      </c>
      <c r="E761" s="1">
        <v>2982</v>
      </c>
      <c r="F761" s="1" t="s">
        <v>13</v>
      </c>
      <c r="G761" s="1">
        <v>448.87</v>
      </c>
      <c r="H761" s="1">
        <v>30.2</v>
      </c>
    </row>
    <row r="762" spans="1:8">
      <c r="A762" s="1" t="s">
        <v>1679</v>
      </c>
      <c r="B762" s="1" t="s">
        <v>1680</v>
      </c>
      <c r="C762" s="1" t="s">
        <v>1668</v>
      </c>
      <c r="D762" s="1" t="s">
        <v>12</v>
      </c>
      <c r="E762" s="1">
        <v>713</v>
      </c>
      <c r="F762" s="1" t="s">
        <v>13</v>
      </c>
      <c r="G762" s="1">
        <v>238.23</v>
      </c>
      <c r="H762" s="1">
        <v>13.61</v>
      </c>
    </row>
    <row r="763" spans="1:8">
      <c r="A763" s="1" t="s">
        <v>1681</v>
      </c>
      <c r="B763" s="1" t="s">
        <v>1682</v>
      </c>
      <c r="C763" s="1" t="s">
        <v>1683</v>
      </c>
      <c r="D763" s="1" t="s">
        <v>12</v>
      </c>
      <c r="E763" s="1">
        <v>-73872</v>
      </c>
      <c r="F763" s="1" t="s">
        <v>13</v>
      </c>
      <c r="G763" s="1">
        <v>2240.7199999999998</v>
      </c>
      <c r="H763" s="1">
        <v>-149.88</v>
      </c>
    </row>
    <row r="764" spans="1:8">
      <c r="A764" s="1" t="s">
        <v>1684</v>
      </c>
      <c r="B764" s="1" t="s">
        <v>1685</v>
      </c>
      <c r="C764" s="1" t="s">
        <v>1683</v>
      </c>
      <c r="D764" s="1" t="s">
        <v>12</v>
      </c>
      <c r="E764" s="1">
        <v>-20175667</v>
      </c>
      <c r="F764" s="1" t="s">
        <v>13</v>
      </c>
      <c r="G764" s="1">
        <v>126.78</v>
      </c>
      <c r="H764" s="1">
        <v>-723461.91</v>
      </c>
    </row>
    <row r="765" spans="1:8">
      <c r="A765" s="1" t="s">
        <v>1686</v>
      </c>
      <c r="B765" s="1" t="s">
        <v>1687</v>
      </c>
      <c r="C765" s="1" t="s">
        <v>1688</v>
      </c>
      <c r="D765" s="1" t="s">
        <v>12</v>
      </c>
      <c r="E765" s="1">
        <v>-1032</v>
      </c>
      <c r="F765" s="1" t="s">
        <v>13</v>
      </c>
      <c r="G765" s="1">
        <v>111.93</v>
      </c>
      <c r="H765" s="1">
        <v>-41.92</v>
      </c>
    </row>
    <row r="766" spans="1:8" hidden="1">
      <c r="A766" s="1" t="s">
        <v>1689</v>
      </c>
      <c r="B766" s="1" t="s">
        <v>1689</v>
      </c>
      <c r="C766" s="1" t="s">
        <v>1690</v>
      </c>
      <c r="D766" s="1" t="s">
        <v>1691</v>
      </c>
      <c r="E766" s="1">
        <v>0</v>
      </c>
      <c r="F766" s="1" t="s">
        <v>623</v>
      </c>
      <c r="G766" s="1">
        <v>28.4</v>
      </c>
      <c r="H766" s="1">
        <v>0</v>
      </c>
    </row>
    <row r="767" spans="1:8">
      <c r="A767" s="1" t="s">
        <v>1692</v>
      </c>
      <c r="B767" s="1" t="s">
        <v>1693</v>
      </c>
      <c r="C767" s="1" t="s">
        <v>1694</v>
      </c>
      <c r="D767" s="1" t="s">
        <v>12</v>
      </c>
      <c r="E767" s="1">
        <v>8149</v>
      </c>
      <c r="F767" s="1" t="s">
        <v>13</v>
      </c>
      <c r="G767" s="1">
        <v>1983.93</v>
      </c>
      <c r="H767" s="1">
        <v>18.670000000000002</v>
      </c>
    </row>
    <row r="768" spans="1:8">
      <c r="A768" s="1" t="s">
        <v>1695</v>
      </c>
      <c r="B768" s="1" t="s">
        <v>1696</v>
      </c>
      <c r="C768" s="1" t="s">
        <v>1694</v>
      </c>
      <c r="D768" s="1" t="s">
        <v>12</v>
      </c>
      <c r="E768" s="1">
        <v>3430</v>
      </c>
      <c r="F768" s="1" t="s">
        <v>13</v>
      </c>
      <c r="G768" s="1">
        <v>1029.52</v>
      </c>
      <c r="H768" s="1">
        <v>15.15</v>
      </c>
    </row>
    <row r="769" spans="1:8">
      <c r="A769" s="1" t="s">
        <v>1697</v>
      </c>
      <c r="B769" s="1" t="s">
        <v>1698</v>
      </c>
      <c r="C769" s="1" t="s">
        <v>1694</v>
      </c>
      <c r="D769" s="1" t="s">
        <v>12</v>
      </c>
      <c r="E769" s="1">
        <v>6112</v>
      </c>
      <c r="F769" s="1" t="s">
        <v>13</v>
      </c>
      <c r="G769" s="1">
        <v>1509.28</v>
      </c>
      <c r="H769" s="1">
        <v>18.41</v>
      </c>
    </row>
    <row r="770" spans="1:8">
      <c r="A770" s="1" t="s">
        <v>1699</v>
      </c>
      <c r="B770" s="1" t="s">
        <v>1700</v>
      </c>
      <c r="C770" s="1" t="s">
        <v>1694</v>
      </c>
      <c r="D770" s="1" t="s">
        <v>12</v>
      </c>
      <c r="E770" s="1">
        <v>4850</v>
      </c>
      <c r="F770" s="1" t="s">
        <v>13</v>
      </c>
      <c r="G770" s="1">
        <v>1254.8499999999999</v>
      </c>
      <c r="H770" s="1">
        <v>17.57</v>
      </c>
    </row>
    <row r="771" spans="1:8">
      <c r="A771" s="1" t="s">
        <v>1701</v>
      </c>
      <c r="B771" s="1" t="s">
        <v>1702</v>
      </c>
      <c r="C771" s="1" t="s">
        <v>1694</v>
      </c>
      <c r="D771" s="1" t="s">
        <v>12</v>
      </c>
      <c r="E771" s="1">
        <v>1914</v>
      </c>
      <c r="F771" s="1" t="s">
        <v>13</v>
      </c>
      <c r="G771" s="1">
        <v>565.86</v>
      </c>
      <c r="H771" s="1">
        <v>15.38</v>
      </c>
    </row>
    <row r="772" spans="1:8">
      <c r="A772" s="1" t="s">
        <v>1703</v>
      </c>
      <c r="B772" s="1" t="s">
        <v>1704</v>
      </c>
      <c r="C772" s="1" t="s">
        <v>1694</v>
      </c>
      <c r="D772" s="1" t="s">
        <v>12</v>
      </c>
      <c r="E772" s="1">
        <v>7834</v>
      </c>
      <c r="F772" s="1" t="s">
        <v>13</v>
      </c>
      <c r="G772" s="1">
        <v>1977.51</v>
      </c>
      <c r="H772" s="1">
        <v>18.010000000000002</v>
      </c>
    </row>
    <row r="773" spans="1:8">
      <c r="A773" s="1" t="s">
        <v>1705</v>
      </c>
      <c r="B773" s="1" t="s">
        <v>1706</v>
      </c>
      <c r="C773" s="1" t="s">
        <v>1694</v>
      </c>
      <c r="D773" s="1" t="s">
        <v>12</v>
      </c>
      <c r="E773" s="1">
        <v>1058</v>
      </c>
      <c r="F773" s="1" t="s">
        <v>13</v>
      </c>
      <c r="G773" s="1">
        <v>347.36</v>
      </c>
      <c r="H773" s="1">
        <v>13.85</v>
      </c>
    </row>
    <row r="774" spans="1:8">
      <c r="A774" s="1" t="s">
        <v>1707</v>
      </c>
      <c r="B774" s="1" t="s">
        <v>1708</v>
      </c>
      <c r="C774" s="1" t="s">
        <v>1694</v>
      </c>
      <c r="D774" s="1" t="s">
        <v>12</v>
      </c>
      <c r="E774" s="1">
        <v>4077</v>
      </c>
      <c r="F774" s="1" t="s">
        <v>13</v>
      </c>
      <c r="G774" s="1">
        <v>1028.81</v>
      </c>
      <c r="H774" s="1">
        <v>18.02</v>
      </c>
    </row>
    <row r="775" spans="1:8">
      <c r="A775" s="1" t="s">
        <v>1709</v>
      </c>
      <c r="B775" s="1" t="s">
        <v>1710</v>
      </c>
      <c r="C775" s="1" t="s">
        <v>1694</v>
      </c>
      <c r="D775" s="1" t="s">
        <v>12</v>
      </c>
      <c r="E775" s="1">
        <v>11599</v>
      </c>
      <c r="F775" s="1" t="s">
        <v>13</v>
      </c>
      <c r="G775" s="1">
        <v>2778.97</v>
      </c>
      <c r="H775" s="1">
        <v>18.97</v>
      </c>
    </row>
    <row r="776" spans="1:8">
      <c r="A776" s="1" t="s">
        <v>1711</v>
      </c>
      <c r="B776" s="1" t="s">
        <v>1712</v>
      </c>
      <c r="C776" s="1" t="s">
        <v>1694</v>
      </c>
      <c r="D776" s="1" t="s">
        <v>12</v>
      </c>
      <c r="E776" s="1">
        <v>7069</v>
      </c>
      <c r="F776" s="1" t="s">
        <v>13</v>
      </c>
      <c r="G776" s="1">
        <v>1754.89</v>
      </c>
      <c r="H776" s="1">
        <v>18.309999999999999</v>
      </c>
    </row>
    <row r="777" spans="1:8">
      <c r="A777" s="1" t="s">
        <v>1713</v>
      </c>
      <c r="B777" s="1" t="s">
        <v>1714</v>
      </c>
      <c r="C777" s="1" t="s">
        <v>1694</v>
      </c>
      <c r="D777" s="1" t="s">
        <v>12</v>
      </c>
      <c r="E777" s="1">
        <v>3269</v>
      </c>
      <c r="F777" s="1" t="s">
        <v>13</v>
      </c>
      <c r="G777" s="1">
        <v>842.54</v>
      </c>
      <c r="H777" s="1">
        <v>17.64</v>
      </c>
    </row>
    <row r="778" spans="1:8">
      <c r="A778" s="1" t="s">
        <v>1715</v>
      </c>
      <c r="B778" s="1" t="s">
        <v>1716</v>
      </c>
      <c r="C778" s="1" t="s">
        <v>1694</v>
      </c>
      <c r="D778" s="1" t="s">
        <v>12</v>
      </c>
      <c r="E778" s="1">
        <v>6894</v>
      </c>
      <c r="F778" s="1" t="s">
        <v>13</v>
      </c>
      <c r="G778" s="1">
        <v>1890.02</v>
      </c>
      <c r="H778" s="1">
        <v>16.579999999999998</v>
      </c>
    </row>
    <row r="779" spans="1:8">
      <c r="A779" s="1" t="s">
        <v>1717</v>
      </c>
      <c r="B779" s="1" t="s">
        <v>1718</v>
      </c>
      <c r="C779" s="1" t="s">
        <v>1694</v>
      </c>
      <c r="D779" s="1" t="s">
        <v>12</v>
      </c>
      <c r="E779" s="1">
        <v>5915</v>
      </c>
      <c r="F779" s="1" t="s">
        <v>13</v>
      </c>
      <c r="G779" s="1">
        <v>1431.69</v>
      </c>
      <c r="H779" s="1">
        <v>18.78</v>
      </c>
    </row>
    <row r="780" spans="1:8">
      <c r="A780" s="1" t="s">
        <v>1719</v>
      </c>
      <c r="B780" s="1" t="s">
        <v>1720</v>
      </c>
      <c r="C780" s="1" t="s">
        <v>1694</v>
      </c>
      <c r="D780" s="1" t="s">
        <v>12</v>
      </c>
      <c r="E780" s="1">
        <v>3413</v>
      </c>
      <c r="F780" s="1" t="s">
        <v>13</v>
      </c>
      <c r="G780" s="1">
        <v>827.93</v>
      </c>
      <c r="H780" s="1">
        <v>18.739999999999998</v>
      </c>
    </row>
    <row r="781" spans="1:8">
      <c r="A781" s="1" t="s">
        <v>1721</v>
      </c>
      <c r="B781" s="1" t="s">
        <v>1722</v>
      </c>
      <c r="C781" s="1" t="s">
        <v>1723</v>
      </c>
      <c r="D781" s="1" t="s">
        <v>12</v>
      </c>
      <c r="E781" s="1">
        <v>3702</v>
      </c>
      <c r="F781" s="1" t="s">
        <v>13</v>
      </c>
      <c r="G781" s="1">
        <v>639.48</v>
      </c>
      <c r="H781" s="1">
        <v>26.32</v>
      </c>
    </row>
    <row r="782" spans="1:8">
      <c r="A782" s="1" t="s">
        <v>1724</v>
      </c>
      <c r="B782" s="1" t="s">
        <v>1725</v>
      </c>
      <c r="C782" s="1" t="s">
        <v>1726</v>
      </c>
      <c r="D782" s="1" t="s">
        <v>12</v>
      </c>
      <c r="E782" s="1">
        <v>5290</v>
      </c>
      <c r="F782" s="1" t="s">
        <v>13</v>
      </c>
      <c r="G782" s="1">
        <v>828.4</v>
      </c>
      <c r="H782" s="1">
        <v>29.03</v>
      </c>
    </row>
    <row r="783" spans="1:8">
      <c r="A783" s="1" t="s">
        <v>1727</v>
      </c>
      <c r="B783" s="1" t="s">
        <v>1728</v>
      </c>
      <c r="C783" s="1" t="s">
        <v>1729</v>
      </c>
      <c r="D783" s="1" t="s">
        <v>12</v>
      </c>
      <c r="E783" s="1">
        <v>-36444</v>
      </c>
      <c r="F783" s="1" t="s">
        <v>13</v>
      </c>
      <c r="G783" s="1">
        <v>1045.54</v>
      </c>
      <c r="H783" s="1">
        <v>-158.46</v>
      </c>
    </row>
    <row r="784" spans="1:8">
      <c r="A784" s="1" t="s">
        <v>1730</v>
      </c>
      <c r="B784" s="1" t="s">
        <v>1731</v>
      </c>
      <c r="C784" s="1" t="s">
        <v>1732</v>
      </c>
      <c r="D784" s="1" t="s">
        <v>12</v>
      </c>
      <c r="E784" s="1">
        <v>4831</v>
      </c>
      <c r="F784" s="1" t="s">
        <v>13</v>
      </c>
      <c r="G784" s="1">
        <v>1036.3399999999999</v>
      </c>
      <c r="H784" s="1">
        <v>21.19</v>
      </c>
    </row>
    <row r="785" spans="1:8">
      <c r="A785" s="1" t="s">
        <v>1733</v>
      </c>
      <c r="B785" s="1" t="s">
        <v>1734</v>
      </c>
      <c r="C785" s="1" t="s">
        <v>1735</v>
      </c>
      <c r="D785" s="1" t="s">
        <v>12</v>
      </c>
      <c r="E785" s="1">
        <v>2841</v>
      </c>
      <c r="F785" s="1" t="s">
        <v>13</v>
      </c>
      <c r="G785" s="1">
        <v>737.88</v>
      </c>
      <c r="H785" s="1">
        <v>17.5</v>
      </c>
    </row>
    <row r="786" spans="1:8">
      <c r="A786" s="1" t="s">
        <v>1736</v>
      </c>
      <c r="B786" s="1" t="s">
        <v>1737</v>
      </c>
      <c r="C786" s="1" t="s">
        <v>1738</v>
      </c>
      <c r="D786" s="1" t="s">
        <v>12</v>
      </c>
      <c r="E786" s="1">
        <v>7611</v>
      </c>
      <c r="F786" s="1" t="s">
        <v>13</v>
      </c>
      <c r="G786" s="1">
        <v>2174.77</v>
      </c>
      <c r="H786" s="1">
        <v>15.91</v>
      </c>
    </row>
    <row r="787" spans="1:8">
      <c r="A787" s="1" t="s">
        <v>1739</v>
      </c>
      <c r="B787" s="1" t="s">
        <v>1740</v>
      </c>
      <c r="C787" s="1" t="s">
        <v>1738</v>
      </c>
      <c r="D787" s="1" t="s">
        <v>12</v>
      </c>
      <c r="E787" s="1">
        <v>4599</v>
      </c>
      <c r="F787" s="1" t="s">
        <v>13</v>
      </c>
      <c r="G787" s="1">
        <v>1222.1300000000001</v>
      </c>
      <c r="H787" s="1">
        <v>17.11</v>
      </c>
    </row>
    <row r="788" spans="1:8">
      <c r="A788" s="1" t="s">
        <v>1741</v>
      </c>
      <c r="B788" s="1" t="s">
        <v>1742</v>
      </c>
      <c r="C788" s="1" t="s">
        <v>1743</v>
      </c>
      <c r="D788" s="1" t="s">
        <v>12</v>
      </c>
      <c r="E788" s="1">
        <v>6617</v>
      </c>
      <c r="F788" s="1" t="s">
        <v>13</v>
      </c>
      <c r="G788" s="1">
        <v>1410.95</v>
      </c>
      <c r="H788" s="1">
        <v>21.32</v>
      </c>
    </row>
    <row r="789" spans="1:8">
      <c r="A789" s="1" t="s">
        <v>1744</v>
      </c>
      <c r="B789" s="1" t="s">
        <v>1745</v>
      </c>
      <c r="C789" s="1" t="s">
        <v>1738</v>
      </c>
      <c r="D789" s="1" t="s">
        <v>12</v>
      </c>
      <c r="E789" s="1">
        <v>3144</v>
      </c>
      <c r="F789" s="1" t="s">
        <v>13</v>
      </c>
      <c r="G789" s="1">
        <v>801.66</v>
      </c>
      <c r="H789" s="1">
        <v>17.829999999999998</v>
      </c>
    </row>
    <row r="790" spans="1:8">
      <c r="A790" s="1" t="s">
        <v>1746</v>
      </c>
      <c r="B790" s="1" t="s">
        <v>1747</v>
      </c>
      <c r="C790" s="1" t="s">
        <v>1748</v>
      </c>
      <c r="D790" s="1" t="s">
        <v>12</v>
      </c>
      <c r="E790" s="1">
        <v>4521</v>
      </c>
      <c r="F790" s="1" t="s">
        <v>13</v>
      </c>
      <c r="G790" s="1">
        <v>1147.6199999999999</v>
      </c>
      <c r="H790" s="1">
        <v>17.91</v>
      </c>
    </row>
    <row r="791" spans="1:8">
      <c r="A791" s="1" t="s">
        <v>1749</v>
      </c>
      <c r="B791" s="1" t="s">
        <v>1750</v>
      </c>
      <c r="C791" s="1" t="s">
        <v>1751</v>
      </c>
      <c r="D791" s="1" t="s">
        <v>12</v>
      </c>
      <c r="E791" s="1">
        <v>4743</v>
      </c>
      <c r="F791" s="1" t="s">
        <v>13</v>
      </c>
      <c r="G791" s="1">
        <v>1164.92</v>
      </c>
      <c r="H791" s="1">
        <v>18.510000000000002</v>
      </c>
    </row>
    <row r="792" spans="1:8">
      <c r="A792" s="1" t="s">
        <v>1752</v>
      </c>
      <c r="B792" s="1" t="s">
        <v>1753</v>
      </c>
      <c r="C792" s="1" t="s">
        <v>1735</v>
      </c>
      <c r="D792" s="1" t="s">
        <v>12</v>
      </c>
      <c r="E792" s="1">
        <v>4838</v>
      </c>
      <c r="F792" s="1" t="s">
        <v>13</v>
      </c>
      <c r="G792" s="1">
        <v>943.09</v>
      </c>
      <c r="H792" s="1">
        <v>23.32</v>
      </c>
    </row>
    <row r="793" spans="1:8">
      <c r="A793" s="1" t="s">
        <v>1754</v>
      </c>
      <c r="B793" s="1" t="s">
        <v>1755</v>
      </c>
      <c r="C793" s="1" t="s">
        <v>1756</v>
      </c>
      <c r="D793" s="1" t="s">
        <v>12</v>
      </c>
      <c r="E793" s="1">
        <v>5299</v>
      </c>
      <c r="F793" s="1" t="s">
        <v>13</v>
      </c>
      <c r="G793" s="1">
        <v>1344.64</v>
      </c>
      <c r="H793" s="1">
        <v>17.920000000000002</v>
      </c>
    </row>
    <row r="794" spans="1:8">
      <c r="A794" s="1" t="s">
        <v>1757</v>
      </c>
      <c r="B794" s="1" t="s">
        <v>1758</v>
      </c>
      <c r="C794" s="1" t="s">
        <v>1759</v>
      </c>
      <c r="D794" s="1" t="s">
        <v>12</v>
      </c>
      <c r="E794" s="1">
        <v>2836</v>
      </c>
      <c r="F794" s="1" t="s">
        <v>13</v>
      </c>
      <c r="G794" s="1">
        <v>776.28</v>
      </c>
      <c r="H794" s="1">
        <v>16.61</v>
      </c>
    </row>
    <row r="795" spans="1:8">
      <c r="A795" s="1" t="s">
        <v>1760</v>
      </c>
      <c r="B795" s="1" t="s">
        <v>1761</v>
      </c>
      <c r="C795" s="1" t="s">
        <v>1748</v>
      </c>
      <c r="D795" s="1" t="s">
        <v>12</v>
      </c>
      <c r="E795" s="1">
        <v>5444</v>
      </c>
      <c r="F795" s="1" t="s">
        <v>13</v>
      </c>
      <c r="G795" s="1">
        <v>1308.96</v>
      </c>
      <c r="H795" s="1">
        <v>18.91</v>
      </c>
    </row>
    <row r="796" spans="1:8">
      <c r="A796" s="1" t="s">
        <v>1763</v>
      </c>
      <c r="B796" s="1" t="s">
        <v>1764</v>
      </c>
      <c r="C796" s="1" t="s">
        <v>1588</v>
      </c>
      <c r="D796" s="1" t="s">
        <v>12</v>
      </c>
      <c r="E796" s="1">
        <v>5897</v>
      </c>
      <c r="F796" s="1" t="s">
        <v>13</v>
      </c>
      <c r="G796" s="1">
        <v>1105.45</v>
      </c>
      <c r="H796" s="1">
        <v>24.25</v>
      </c>
    </row>
    <row r="797" spans="1:8">
      <c r="A797" s="1" t="s">
        <v>1765</v>
      </c>
      <c r="B797" s="1" t="s">
        <v>1766</v>
      </c>
      <c r="C797" s="1" t="s">
        <v>1767</v>
      </c>
      <c r="D797" s="1" t="s">
        <v>12</v>
      </c>
      <c r="E797" s="1">
        <v>5121</v>
      </c>
      <c r="F797" s="1" t="s">
        <v>13</v>
      </c>
      <c r="G797" s="1">
        <v>1166.1300000000001</v>
      </c>
      <c r="H797" s="1">
        <v>19.96</v>
      </c>
    </row>
    <row r="798" spans="1:8">
      <c r="A798" s="1" t="s">
        <v>1768</v>
      </c>
      <c r="B798" s="1" t="s">
        <v>1769</v>
      </c>
      <c r="C798" s="1" t="s">
        <v>1762</v>
      </c>
      <c r="D798" s="1" t="s">
        <v>12</v>
      </c>
      <c r="E798" s="1">
        <v>3535</v>
      </c>
      <c r="F798" s="1" t="s">
        <v>13</v>
      </c>
      <c r="G798" s="1">
        <v>649.47</v>
      </c>
      <c r="H798" s="1">
        <v>24.74</v>
      </c>
    </row>
    <row r="799" spans="1:8">
      <c r="A799" s="1" t="s">
        <v>1770</v>
      </c>
      <c r="B799" s="1" t="s">
        <v>1771</v>
      </c>
      <c r="C799" s="1" t="s">
        <v>1772</v>
      </c>
      <c r="D799" s="1" t="s">
        <v>12</v>
      </c>
      <c r="E799" s="1">
        <v>3070</v>
      </c>
      <c r="F799" s="1" t="s">
        <v>13</v>
      </c>
      <c r="G799" s="1">
        <v>657.15</v>
      </c>
      <c r="H799" s="1">
        <v>21.24</v>
      </c>
    </row>
    <row r="800" spans="1:8">
      <c r="A800" s="1" t="s">
        <v>1773</v>
      </c>
      <c r="B800" s="1" t="s">
        <v>1774</v>
      </c>
      <c r="C800" s="1" t="s">
        <v>1775</v>
      </c>
      <c r="D800" s="1" t="s">
        <v>12</v>
      </c>
      <c r="E800" s="1">
        <v>3303</v>
      </c>
      <c r="F800" s="1" t="s">
        <v>13</v>
      </c>
      <c r="G800" s="1">
        <v>746.8</v>
      </c>
      <c r="H800" s="1">
        <v>20.11</v>
      </c>
    </row>
    <row r="801" spans="1:8">
      <c r="A801" s="1" t="s">
        <v>1776</v>
      </c>
      <c r="B801" s="1" t="s">
        <v>1777</v>
      </c>
      <c r="C801" s="1" t="s">
        <v>1775</v>
      </c>
      <c r="D801" s="1" t="s">
        <v>12</v>
      </c>
      <c r="E801" s="1">
        <v>4600</v>
      </c>
      <c r="F801" s="1" t="s">
        <v>13</v>
      </c>
      <c r="G801" s="1">
        <v>921.03</v>
      </c>
      <c r="H801" s="1">
        <v>22.71</v>
      </c>
    </row>
    <row r="802" spans="1:8">
      <c r="A802" s="1" t="s">
        <v>1778</v>
      </c>
      <c r="B802" s="1" t="s">
        <v>1779</v>
      </c>
      <c r="C802" s="1" t="s">
        <v>1780</v>
      </c>
      <c r="D802" s="1" t="s">
        <v>12</v>
      </c>
      <c r="E802" s="1">
        <v>9152</v>
      </c>
      <c r="F802" s="1" t="s">
        <v>13</v>
      </c>
      <c r="G802" s="1">
        <v>1636.85</v>
      </c>
      <c r="H802" s="1">
        <v>25.42</v>
      </c>
    </row>
    <row r="803" spans="1:8">
      <c r="A803" s="1" t="s">
        <v>1781</v>
      </c>
      <c r="B803" s="1" t="s">
        <v>1782</v>
      </c>
      <c r="C803" s="1" t="s">
        <v>1783</v>
      </c>
      <c r="D803" s="1" t="s">
        <v>12</v>
      </c>
      <c r="E803" s="1">
        <v>6891</v>
      </c>
      <c r="F803" s="1" t="s">
        <v>13</v>
      </c>
      <c r="G803" s="1">
        <v>1242.3</v>
      </c>
      <c r="H803" s="1">
        <v>25.22</v>
      </c>
    </row>
    <row r="804" spans="1:8">
      <c r="A804" s="1" t="s">
        <v>1784</v>
      </c>
      <c r="B804" s="1" t="s">
        <v>1785</v>
      </c>
      <c r="C804" s="1" t="s">
        <v>1780</v>
      </c>
      <c r="D804" s="1" t="s">
        <v>12</v>
      </c>
      <c r="E804" s="1">
        <v>6214</v>
      </c>
      <c r="F804" s="1" t="s">
        <v>13</v>
      </c>
      <c r="G804" s="1">
        <v>1204.3</v>
      </c>
      <c r="H804" s="1">
        <v>23.46</v>
      </c>
    </row>
    <row r="805" spans="1:8">
      <c r="A805" s="1" t="s">
        <v>1786</v>
      </c>
      <c r="B805" s="1" t="s">
        <v>1787</v>
      </c>
      <c r="C805" s="1" t="s">
        <v>1780</v>
      </c>
      <c r="D805" s="1" t="s">
        <v>12</v>
      </c>
      <c r="E805" s="1">
        <v>9535</v>
      </c>
      <c r="F805" s="1" t="s">
        <v>13</v>
      </c>
      <c r="G805" s="1">
        <v>1676.85</v>
      </c>
      <c r="H805" s="1">
        <v>25.85</v>
      </c>
    </row>
    <row r="806" spans="1:8">
      <c r="A806" s="1" t="s">
        <v>1788</v>
      </c>
      <c r="B806" s="1" t="s">
        <v>1789</v>
      </c>
      <c r="C806" s="1" t="s">
        <v>1780</v>
      </c>
      <c r="D806" s="1" t="s">
        <v>12</v>
      </c>
      <c r="E806" s="1">
        <v>3759</v>
      </c>
      <c r="F806" s="1" t="s">
        <v>13</v>
      </c>
      <c r="G806" s="1">
        <v>687.93</v>
      </c>
      <c r="H806" s="1">
        <v>24.84</v>
      </c>
    </row>
    <row r="807" spans="1:8">
      <c r="A807" s="1" t="s">
        <v>1790</v>
      </c>
      <c r="B807" s="1" t="s">
        <v>1791</v>
      </c>
      <c r="C807" s="1" t="s">
        <v>1792</v>
      </c>
      <c r="D807" s="1" t="s">
        <v>12</v>
      </c>
      <c r="E807" s="1">
        <v>7956</v>
      </c>
      <c r="F807" s="1" t="s">
        <v>13</v>
      </c>
      <c r="G807" s="1">
        <v>1447.98</v>
      </c>
      <c r="H807" s="1">
        <v>24.98</v>
      </c>
    </row>
    <row r="808" spans="1:8">
      <c r="A808" s="1" t="s">
        <v>1793</v>
      </c>
      <c r="B808" s="1" t="s">
        <v>1794</v>
      </c>
      <c r="C808" s="1" t="s">
        <v>1792</v>
      </c>
      <c r="D808" s="1" t="s">
        <v>12</v>
      </c>
      <c r="E808" s="1">
        <v>7588</v>
      </c>
      <c r="F808" s="1" t="s">
        <v>13</v>
      </c>
      <c r="G808" s="1">
        <v>1381.85</v>
      </c>
      <c r="H808" s="1">
        <v>24.96</v>
      </c>
    </row>
    <row r="809" spans="1:8">
      <c r="A809" s="1" t="s">
        <v>1795</v>
      </c>
      <c r="B809" s="1" t="s">
        <v>1796</v>
      </c>
      <c r="C809" s="1" t="s">
        <v>1792</v>
      </c>
      <c r="D809" s="1" t="s">
        <v>12</v>
      </c>
      <c r="E809" s="1">
        <v>14206</v>
      </c>
      <c r="F809" s="1" t="s">
        <v>13</v>
      </c>
      <c r="G809" s="1">
        <v>2333.64</v>
      </c>
      <c r="H809" s="1">
        <v>27.67</v>
      </c>
    </row>
    <row r="810" spans="1:8">
      <c r="A810" s="1" t="s">
        <v>1797</v>
      </c>
      <c r="B810" s="1" t="s">
        <v>1798</v>
      </c>
      <c r="C810" s="1" t="s">
        <v>1792</v>
      </c>
      <c r="D810" s="1" t="s">
        <v>12</v>
      </c>
      <c r="E810" s="1">
        <v>8894</v>
      </c>
      <c r="F810" s="1" t="s">
        <v>13</v>
      </c>
      <c r="G810" s="1">
        <v>1629</v>
      </c>
      <c r="H810" s="1">
        <v>24.82</v>
      </c>
    </row>
    <row r="811" spans="1:8">
      <c r="A811" s="1" t="s">
        <v>1799</v>
      </c>
      <c r="B811" s="1" t="s">
        <v>1800</v>
      </c>
      <c r="C811" s="1" t="s">
        <v>1792</v>
      </c>
      <c r="D811" s="1" t="s">
        <v>12</v>
      </c>
      <c r="E811" s="1">
        <v>6568</v>
      </c>
      <c r="F811" s="1" t="s">
        <v>13</v>
      </c>
      <c r="G811" s="1">
        <v>1281.25</v>
      </c>
      <c r="H811" s="1">
        <v>23.3</v>
      </c>
    </row>
    <row r="812" spans="1:8">
      <c r="A812" s="1" t="s">
        <v>1801</v>
      </c>
      <c r="B812" s="1" t="s">
        <v>1802</v>
      </c>
      <c r="C812" s="1" t="s">
        <v>1803</v>
      </c>
      <c r="D812" s="1" t="s">
        <v>12</v>
      </c>
      <c r="E812" s="1">
        <v>4847</v>
      </c>
      <c r="F812" s="1" t="s">
        <v>13</v>
      </c>
      <c r="G812" s="1">
        <v>891.8</v>
      </c>
      <c r="H812" s="1">
        <v>24.71</v>
      </c>
    </row>
    <row r="813" spans="1:8">
      <c r="A813" s="1" t="s">
        <v>1804</v>
      </c>
      <c r="B813" s="1" t="s">
        <v>1805</v>
      </c>
      <c r="C813" s="1" t="s">
        <v>1803</v>
      </c>
      <c r="D813" s="1" t="s">
        <v>12</v>
      </c>
      <c r="E813" s="1">
        <v>6082</v>
      </c>
      <c r="F813" s="1" t="s">
        <v>13</v>
      </c>
      <c r="G813" s="1">
        <v>1173.3</v>
      </c>
      <c r="H813" s="1">
        <v>23.57</v>
      </c>
    </row>
    <row r="814" spans="1:8">
      <c r="A814" s="1" t="s">
        <v>1806</v>
      </c>
      <c r="B814" s="1" t="s">
        <v>1807</v>
      </c>
      <c r="C814" s="1" t="s">
        <v>1803</v>
      </c>
      <c r="D814" s="1" t="s">
        <v>12</v>
      </c>
      <c r="E814" s="1">
        <v>5052</v>
      </c>
      <c r="F814" s="1" t="s">
        <v>13</v>
      </c>
      <c r="G814" s="1">
        <v>993.66</v>
      </c>
      <c r="H814" s="1">
        <v>23.11</v>
      </c>
    </row>
    <row r="815" spans="1:8">
      <c r="A815" s="1" t="s">
        <v>1808</v>
      </c>
      <c r="B815" s="1" t="s">
        <v>1809</v>
      </c>
      <c r="C815" s="1" t="s">
        <v>1803</v>
      </c>
      <c r="D815" s="1" t="s">
        <v>12</v>
      </c>
      <c r="E815" s="1">
        <v>11564</v>
      </c>
      <c r="F815" s="1" t="s">
        <v>13</v>
      </c>
      <c r="G815" s="1">
        <v>1774.92</v>
      </c>
      <c r="H815" s="1">
        <v>29.62</v>
      </c>
    </row>
    <row r="816" spans="1:8">
      <c r="A816" s="1" t="s">
        <v>1810</v>
      </c>
      <c r="B816" s="1" t="s">
        <v>1811</v>
      </c>
      <c r="C816" s="1" t="s">
        <v>1803</v>
      </c>
      <c r="D816" s="1" t="s">
        <v>12</v>
      </c>
      <c r="E816" s="1">
        <v>6828</v>
      </c>
      <c r="F816" s="1" t="s">
        <v>13</v>
      </c>
      <c r="G816" s="1">
        <v>1296.77</v>
      </c>
      <c r="H816" s="1">
        <v>23.94</v>
      </c>
    </row>
    <row r="817" spans="1:8">
      <c r="A817" s="1" t="s">
        <v>1812</v>
      </c>
      <c r="B817" s="1" t="s">
        <v>1813</v>
      </c>
      <c r="C817" s="1" t="s">
        <v>1803</v>
      </c>
      <c r="D817" s="1" t="s">
        <v>12</v>
      </c>
      <c r="E817" s="1">
        <v>4801</v>
      </c>
      <c r="F817" s="1" t="s">
        <v>13</v>
      </c>
      <c r="G817" s="1">
        <v>929.73</v>
      </c>
      <c r="H817" s="1">
        <v>23.48</v>
      </c>
    </row>
    <row r="818" spans="1:8">
      <c r="A818" s="1" t="s">
        <v>1814</v>
      </c>
      <c r="B818" s="1" t="s">
        <v>1815</v>
      </c>
      <c r="C818" s="1" t="s">
        <v>1803</v>
      </c>
      <c r="D818" s="1" t="s">
        <v>12</v>
      </c>
      <c r="E818" s="1">
        <v>6184</v>
      </c>
      <c r="F818" s="1" t="s">
        <v>13</v>
      </c>
      <c r="G818" s="1">
        <v>1307.82</v>
      </c>
      <c r="H818" s="1">
        <v>21.5</v>
      </c>
    </row>
    <row r="819" spans="1:8">
      <c r="A819" s="1" t="s">
        <v>1816</v>
      </c>
      <c r="B819" s="1" t="s">
        <v>1817</v>
      </c>
      <c r="C819" s="1" t="s">
        <v>1803</v>
      </c>
      <c r="D819" s="1" t="s">
        <v>12</v>
      </c>
      <c r="E819" s="1">
        <v>5783</v>
      </c>
      <c r="F819" s="1" t="s">
        <v>13</v>
      </c>
      <c r="G819" s="1">
        <v>1054.6500000000001</v>
      </c>
      <c r="H819" s="1">
        <v>24.93</v>
      </c>
    </row>
    <row r="820" spans="1:8">
      <c r="A820" s="1" t="s">
        <v>1818</v>
      </c>
      <c r="B820" s="1" t="s">
        <v>1819</v>
      </c>
      <c r="C820" s="1" t="s">
        <v>1820</v>
      </c>
      <c r="D820" s="1" t="s">
        <v>12</v>
      </c>
      <c r="E820" s="1">
        <v>7898</v>
      </c>
      <c r="F820" s="1" t="s">
        <v>13</v>
      </c>
      <c r="G820" s="1">
        <v>1360.29</v>
      </c>
      <c r="H820" s="1">
        <v>26.4</v>
      </c>
    </row>
    <row r="821" spans="1:8">
      <c r="A821" s="1" t="s">
        <v>1821</v>
      </c>
      <c r="B821" s="1" t="s">
        <v>1822</v>
      </c>
      <c r="C821" s="1" t="s">
        <v>1783</v>
      </c>
      <c r="D821" s="1" t="s">
        <v>12</v>
      </c>
      <c r="E821" s="1">
        <v>4434</v>
      </c>
      <c r="F821" s="1" t="s">
        <v>13</v>
      </c>
      <c r="G821" s="1">
        <v>882.72</v>
      </c>
      <c r="H821" s="1">
        <v>22.84</v>
      </c>
    </row>
    <row r="822" spans="1:8">
      <c r="A822" s="1" t="s">
        <v>1823</v>
      </c>
      <c r="B822" s="1" t="s">
        <v>1824</v>
      </c>
      <c r="C822" s="1" t="s">
        <v>1803</v>
      </c>
      <c r="D822" s="1" t="s">
        <v>12</v>
      </c>
      <c r="E822" s="1">
        <v>4684</v>
      </c>
      <c r="F822" s="1" t="s">
        <v>13</v>
      </c>
      <c r="G822" s="1">
        <v>938.61</v>
      </c>
      <c r="H822" s="1">
        <v>22.69</v>
      </c>
    </row>
    <row r="823" spans="1:8">
      <c r="A823" s="1" t="s">
        <v>1825</v>
      </c>
      <c r="B823" s="1" t="s">
        <v>1826</v>
      </c>
      <c r="C823" s="1" t="s">
        <v>1827</v>
      </c>
      <c r="D823" s="1" t="s">
        <v>12</v>
      </c>
      <c r="E823" s="1">
        <v>4022</v>
      </c>
      <c r="F823" s="1" t="s">
        <v>13</v>
      </c>
      <c r="G823" s="1">
        <v>851.1</v>
      </c>
      <c r="H823" s="1">
        <v>21.48</v>
      </c>
    </row>
    <row r="824" spans="1:8">
      <c r="A824" s="1" t="s">
        <v>1828</v>
      </c>
      <c r="B824" s="1" t="s">
        <v>1829</v>
      </c>
      <c r="C824" s="1" t="s">
        <v>1803</v>
      </c>
      <c r="D824" s="1" t="s">
        <v>12</v>
      </c>
      <c r="E824" s="1">
        <v>6679</v>
      </c>
      <c r="F824" s="1" t="s">
        <v>13</v>
      </c>
      <c r="G824" s="1">
        <v>1284.69</v>
      </c>
      <c r="H824" s="1">
        <v>23.63</v>
      </c>
    </row>
    <row r="825" spans="1:8">
      <c r="A825" s="1" t="s">
        <v>1830</v>
      </c>
      <c r="B825" s="1" t="s">
        <v>1831</v>
      </c>
      <c r="C825" s="1" t="s">
        <v>1803</v>
      </c>
      <c r="D825" s="1" t="s">
        <v>12</v>
      </c>
      <c r="E825" s="1">
        <v>10436</v>
      </c>
      <c r="F825" s="1" t="s">
        <v>13</v>
      </c>
      <c r="G825" s="1">
        <v>1873.58</v>
      </c>
      <c r="H825" s="1">
        <v>25.32</v>
      </c>
    </row>
    <row r="826" spans="1:8">
      <c r="A826" s="1" t="s">
        <v>1832</v>
      </c>
      <c r="B826" s="1" t="s">
        <v>1833</v>
      </c>
      <c r="C826" s="1" t="s">
        <v>1792</v>
      </c>
      <c r="D826" s="1" t="s">
        <v>12</v>
      </c>
      <c r="E826" s="1">
        <v>7179</v>
      </c>
      <c r="F826" s="1" t="s">
        <v>13</v>
      </c>
      <c r="G826" s="1">
        <v>1395.3</v>
      </c>
      <c r="H826" s="1">
        <v>23.39</v>
      </c>
    </row>
    <row r="827" spans="1:8">
      <c r="A827" s="1" t="s">
        <v>1834</v>
      </c>
      <c r="B827" s="1" t="s">
        <v>1835</v>
      </c>
      <c r="C827" s="1" t="s">
        <v>1803</v>
      </c>
      <c r="D827" s="1" t="s">
        <v>12</v>
      </c>
      <c r="E827" s="1">
        <v>6159</v>
      </c>
      <c r="F827" s="1" t="s">
        <v>13</v>
      </c>
      <c r="G827" s="1">
        <v>1310.3599999999999</v>
      </c>
      <c r="H827" s="1">
        <v>21.37</v>
      </c>
    </row>
    <row r="828" spans="1:8">
      <c r="A828" s="1" t="s">
        <v>1836</v>
      </c>
      <c r="B828" s="1" t="s">
        <v>1837</v>
      </c>
      <c r="C828" s="1" t="s">
        <v>1803</v>
      </c>
      <c r="D828" s="1" t="s">
        <v>12</v>
      </c>
      <c r="E828" s="1">
        <v>4536</v>
      </c>
      <c r="F828" s="1" t="s">
        <v>13</v>
      </c>
      <c r="G828" s="1">
        <v>845.02</v>
      </c>
      <c r="H828" s="1">
        <v>24.4</v>
      </c>
    </row>
    <row r="829" spans="1:8">
      <c r="A829" s="1" t="s">
        <v>1838</v>
      </c>
      <c r="B829" s="1" t="s">
        <v>1839</v>
      </c>
      <c r="C829" s="1" t="s">
        <v>1792</v>
      </c>
      <c r="D829" s="1" t="s">
        <v>12</v>
      </c>
      <c r="E829" s="1">
        <v>7211</v>
      </c>
      <c r="F829" s="1" t="s">
        <v>13</v>
      </c>
      <c r="G829" s="1">
        <v>1616.88</v>
      </c>
      <c r="H829" s="1">
        <v>20.27</v>
      </c>
    </row>
    <row r="830" spans="1:8">
      <c r="A830" s="1" t="s">
        <v>1840</v>
      </c>
      <c r="B830" s="1" t="s">
        <v>1841</v>
      </c>
      <c r="C830" s="1" t="s">
        <v>1803</v>
      </c>
      <c r="D830" s="1" t="s">
        <v>12</v>
      </c>
      <c r="E830" s="1">
        <v>6886</v>
      </c>
      <c r="F830" s="1" t="s">
        <v>13</v>
      </c>
      <c r="G830" s="1">
        <v>1126.49</v>
      </c>
      <c r="H830" s="1">
        <v>27.79</v>
      </c>
    </row>
    <row r="831" spans="1:8">
      <c r="A831" s="1" t="s">
        <v>1842</v>
      </c>
      <c r="B831" s="1" t="s">
        <v>1843</v>
      </c>
      <c r="C831" s="1" t="s">
        <v>1844</v>
      </c>
      <c r="D831" s="1" t="s">
        <v>12</v>
      </c>
      <c r="E831" s="1">
        <v>6775</v>
      </c>
      <c r="F831" s="1" t="s">
        <v>13</v>
      </c>
      <c r="G831" s="1">
        <v>1179.48</v>
      </c>
      <c r="H831" s="1">
        <v>26.11</v>
      </c>
    </row>
    <row r="832" spans="1:8">
      <c r="A832" s="1" t="s">
        <v>1845</v>
      </c>
      <c r="B832" s="1" t="s">
        <v>1846</v>
      </c>
      <c r="C832" s="1" t="s">
        <v>1844</v>
      </c>
      <c r="D832" s="1" t="s">
        <v>12</v>
      </c>
      <c r="E832" s="1">
        <v>6390</v>
      </c>
      <c r="F832" s="1" t="s">
        <v>13</v>
      </c>
      <c r="G832" s="1">
        <v>1132.17</v>
      </c>
      <c r="H832" s="1">
        <v>25.66</v>
      </c>
    </row>
    <row r="833" spans="1:8">
      <c r="A833" s="1" t="s">
        <v>1847</v>
      </c>
      <c r="B833" s="1" t="s">
        <v>1848</v>
      </c>
      <c r="C833" s="1" t="s">
        <v>1792</v>
      </c>
      <c r="D833" s="1" t="s">
        <v>12</v>
      </c>
      <c r="E833" s="1">
        <v>7257</v>
      </c>
      <c r="F833" s="1" t="s">
        <v>13</v>
      </c>
      <c r="G833" s="1">
        <v>1015.25</v>
      </c>
      <c r="H833" s="1">
        <v>32.5</v>
      </c>
    </row>
    <row r="834" spans="1:8">
      <c r="A834" s="1" t="s">
        <v>1849</v>
      </c>
      <c r="B834" s="1" t="s">
        <v>1850</v>
      </c>
      <c r="C834" s="1" t="s">
        <v>1844</v>
      </c>
      <c r="D834" s="1" t="s">
        <v>12</v>
      </c>
      <c r="E834" s="1">
        <v>4761</v>
      </c>
      <c r="F834" s="1" t="s">
        <v>13</v>
      </c>
      <c r="G834" s="1">
        <v>881.81</v>
      </c>
      <c r="H834" s="1">
        <v>24.54</v>
      </c>
    </row>
    <row r="835" spans="1:8">
      <c r="A835" s="1" t="s">
        <v>1851</v>
      </c>
      <c r="B835" s="1" t="s">
        <v>1852</v>
      </c>
      <c r="C835" s="1" t="s">
        <v>1844</v>
      </c>
      <c r="D835" s="1" t="s">
        <v>12</v>
      </c>
      <c r="E835" s="1">
        <v>6933</v>
      </c>
      <c r="F835" s="1" t="s">
        <v>13</v>
      </c>
      <c r="G835" s="1">
        <v>864.54</v>
      </c>
      <c r="H835" s="1">
        <v>36.46</v>
      </c>
    </row>
    <row r="836" spans="1:8">
      <c r="A836" s="1" t="s">
        <v>1853</v>
      </c>
      <c r="B836" s="1" t="s">
        <v>1854</v>
      </c>
      <c r="C836" s="1" t="s">
        <v>1844</v>
      </c>
      <c r="D836" s="1" t="s">
        <v>12</v>
      </c>
      <c r="E836" s="1">
        <v>10083</v>
      </c>
      <c r="F836" s="1" t="s">
        <v>13</v>
      </c>
      <c r="G836" s="1">
        <v>2011.64</v>
      </c>
      <c r="H836" s="1">
        <v>22.79</v>
      </c>
    </row>
    <row r="837" spans="1:8">
      <c r="A837" s="1" t="s">
        <v>1855</v>
      </c>
      <c r="B837" s="1" t="s">
        <v>1856</v>
      </c>
      <c r="C837" s="1" t="s">
        <v>1844</v>
      </c>
      <c r="D837" s="1" t="s">
        <v>12</v>
      </c>
      <c r="E837" s="1">
        <v>9549</v>
      </c>
      <c r="F837" s="1" t="s">
        <v>13</v>
      </c>
      <c r="G837" s="1">
        <v>1868.08</v>
      </c>
      <c r="H837" s="1">
        <v>23.24</v>
      </c>
    </row>
    <row r="838" spans="1:8">
      <c r="A838" s="1" t="s">
        <v>1857</v>
      </c>
      <c r="B838" s="1" t="s">
        <v>1858</v>
      </c>
      <c r="C838" s="1" t="s">
        <v>1844</v>
      </c>
      <c r="D838" s="1" t="s">
        <v>12</v>
      </c>
      <c r="E838" s="1">
        <v>15715</v>
      </c>
      <c r="F838" s="1" t="s">
        <v>13</v>
      </c>
      <c r="G838" s="1">
        <v>3257.98</v>
      </c>
      <c r="H838" s="1">
        <v>21.93</v>
      </c>
    </row>
    <row r="839" spans="1:8">
      <c r="A839" s="1" t="s">
        <v>1859</v>
      </c>
      <c r="B839" s="1" t="s">
        <v>1860</v>
      </c>
      <c r="C839" s="1" t="s">
        <v>1861</v>
      </c>
      <c r="D839" s="1" t="s">
        <v>12</v>
      </c>
      <c r="E839" s="1">
        <v>1068</v>
      </c>
      <c r="F839" s="1" t="s">
        <v>13</v>
      </c>
      <c r="G839" s="1">
        <v>1264.43</v>
      </c>
      <c r="H839" s="1">
        <v>3.84</v>
      </c>
    </row>
    <row r="840" spans="1:8">
      <c r="A840" s="1" t="s">
        <v>1862</v>
      </c>
      <c r="B840" s="1" t="s">
        <v>1863</v>
      </c>
      <c r="C840" s="1" t="s">
        <v>1864</v>
      </c>
      <c r="D840" s="1" t="s">
        <v>12</v>
      </c>
      <c r="E840" s="1">
        <v>10037</v>
      </c>
      <c r="F840" s="1" t="s">
        <v>13</v>
      </c>
      <c r="G840" s="1">
        <v>2366.04</v>
      </c>
      <c r="H840" s="1">
        <v>19.29</v>
      </c>
    </row>
    <row r="841" spans="1:8">
      <c r="A841" s="1" t="s">
        <v>1865</v>
      </c>
      <c r="B841" s="1" t="s">
        <v>1866</v>
      </c>
      <c r="C841" s="1" t="s">
        <v>1867</v>
      </c>
      <c r="D841" s="1" t="s">
        <v>12</v>
      </c>
      <c r="E841" s="1">
        <v>3372</v>
      </c>
      <c r="F841" s="1" t="s">
        <v>13</v>
      </c>
      <c r="G841" s="1">
        <v>938.39</v>
      </c>
      <c r="H841" s="1">
        <v>16.34</v>
      </c>
    </row>
    <row r="842" spans="1:8">
      <c r="A842" s="1" t="s">
        <v>1868</v>
      </c>
      <c r="B842" s="1" t="s">
        <v>1869</v>
      </c>
      <c r="C842" s="1" t="s">
        <v>1867</v>
      </c>
      <c r="D842" s="1" t="s">
        <v>12</v>
      </c>
      <c r="E842" s="1">
        <v>1246</v>
      </c>
      <c r="F842" s="1" t="s">
        <v>13</v>
      </c>
      <c r="G842" s="1">
        <v>375.94</v>
      </c>
      <c r="H842" s="1">
        <v>15.07</v>
      </c>
    </row>
    <row r="843" spans="1:8">
      <c r="A843" s="1" t="s">
        <v>1870</v>
      </c>
      <c r="B843" s="1" t="s">
        <v>1871</v>
      </c>
      <c r="C843" s="1" t="s">
        <v>1867</v>
      </c>
      <c r="D843" s="1" t="s">
        <v>12</v>
      </c>
      <c r="E843" s="1">
        <v>6848</v>
      </c>
      <c r="F843" s="1" t="s">
        <v>13</v>
      </c>
      <c r="G843" s="1">
        <v>1722.43</v>
      </c>
      <c r="H843" s="1">
        <v>18.07</v>
      </c>
    </row>
    <row r="844" spans="1:8">
      <c r="A844" s="1" t="s">
        <v>1872</v>
      </c>
      <c r="B844" s="1" t="s">
        <v>1873</v>
      </c>
      <c r="C844" s="1" t="s">
        <v>1874</v>
      </c>
      <c r="D844" s="1" t="s">
        <v>12</v>
      </c>
      <c r="E844" s="1">
        <v>2059</v>
      </c>
      <c r="F844" s="1" t="s">
        <v>13</v>
      </c>
      <c r="G844" s="1">
        <v>606.99</v>
      </c>
      <c r="H844" s="1">
        <v>15.42</v>
      </c>
    </row>
    <row r="845" spans="1:8">
      <c r="A845" s="1" t="s">
        <v>1875</v>
      </c>
      <c r="B845" s="1" t="s">
        <v>1876</v>
      </c>
      <c r="C845" s="1" t="s">
        <v>1874</v>
      </c>
      <c r="D845" s="1" t="s">
        <v>12</v>
      </c>
      <c r="E845" s="1">
        <v>5104</v>
      </c>
      <c r="F845" s="1" t="s">
        <v>13</v>
      </c>
      <c r="G845" s="1">
        <v>1347.68</v>
      </c>
      <c r="H845" s="1">
        <v>17.22</v>
      </c>
    </row>
    <row r="846" spans="1:8">
      <c r="A846" s="1" t="s">
        <v>1877</v>
      </c>
      <c r="B846" s="1" t="s">
        <v>1878</v>
      </c>
      <c r="C846" s="1" t="s">
        <v>1874</v>
      </c>
      <c r="D846" s="1" t="s">
        <v>12</v>
      </c>
      <c r="E846" s="1">
        <v>2601</v>
      </c>
      <c r="F846" s="1" t="s">
        <v>13</v>
      </c>
      <c r="G846" s="1">
        <v>632.22</v>
      </c>
      <c r="H846" s="1">
        <v>18.7</v>
      </c>
    </row>
    <row r="847" spans="1:8">
      <c r="A847" s="1" t="s">
        <v>1879</v>
      </c>
      <c r="B847" s="1" t="s">
        <v>1880</v>
      </c>
      <c r="C847" s="1" t="s">
        <v>1881</v>
      </c>
      <c r="D847" s="1" t="s">
        <v>12</v>
      </c>
      <c r="E847" s="1">
        <v>1559</v>
      </c>
      <c r="F847" s="1" t="s">
        <v>13</v>
      </c>
      <c r="G847" s="1">
        <v>445.42</v>
      </c>
      <c r="H847" s="1">
        <v>15.91</v>
      </c>
    </row>
    <row r="848" spans="1:8">
      <c r="A848" s="1" t="s">
        <v>1882</v>
      </c>
      <c r="B848" s="1" t="s">
        <v>1883</v>
      </c>
      <c r="C848" s="1" t="s">
        <v>1884</v>
      </c>
      <c r="D848" s="1" t="s">
        <v>12</v>
      </c>
      <c r="E848" s="1">
        <v>3440</v>
      </c>
      <c r="F848" s="1" t="s">
        <v>13</v>
      </c>
      <c r="G848" s="1">
        <v>956.53</v>
      </c>
      <c r="H848" s="1">
        <v>16.350000000000001</v>
      </c>
    </row>
    <row r="849" spans="1:8">
      <c r="A849" s="1" t="s">
        <v>1885</v>
      </c>
      <c r="B849" s="1" t="s">
        <v>1886</v>
      </c>
      <c r="C849" s="1" t="s">
        <v>1887</v>
      </c>
      <c r="D849" s="1" t="s">
        <v>12</v>
      </c>
      <c r="E849" s="1">
        <v>2338</v>
      </c>
      <c r="F849" s="1" t="s">
        <v>13</v>
      </c>
      <c r="G849" s="1">
        <v>822.44</v>
      </c>
      <c r="H849" s="1">
        <v>12.92</v>
      </c>
    </row>
    <row r="850" spans="1:8">
      <c r="A850" s="1" t="s">
        <v>1888</v>
      </c>
      <c r="B850" s="1" t="s">
        <v>1889</v>
      </c>
      <c r="C850" s="1" t="s">
        <v>1890</v>
      </c>
      <c r="D850" s="1" t="s">
        <v>12</v>
      </c>
      <c r="E850" s="1">
        <v>2169</v>
      </c>
      <c r="F850" s="1" t="s">
        <v>13</v>
      </c>
      <c r="G850" s="1">
        <v>497.64</v>
      </c>
      <c r="H850" s="1">
        <v>19.809999999999999</v>
      </c>
    </row>
    <row r="851" spans="1:8">
      <c r="A851" s="1" t="s">
        <v>1891</v>
      </c>
      <c r="B851" s="1" t="s">
        <v>1892</v>
      </c>
      <c r="C851" s="1" t="s">
        <v>1890</v>
      </c>
      <c r="D851" s="1" t="s">
        <v>12</v>
      </c>
      <c r="E851" s="1">
        <v>236</v>
      </c>
      <c r="F851" s="1" t="s">
        <v>13</v>
      </c>
      <c r="G851" s="1">
        <v>110.11</v>
      </c>
      <c r="H851" s="1">
        <v>9.74</v>
      </c>
    </row>
    <row r="852" spans="1:8">
      <c r="A852" s="1" t="s">
        <v>1893</v>
      </c>
      <c r="B852" s="1" t="s">
        <v>1894</v>
      </c>
      <c r="C852" s="1" t="s">
        <v>1890</v>
      </c>
      <c r="D852" s="1" t="s">
        <v>12</v>
      </c>
      <c r="E852" s="1">
        <v>6954</v>
      </c>
      <c r="F852" s="1" t="s">
        <v>137</v>
      </c>
      <c r="G852" s="1">
        <v>1540.02</v>
      </c>
      <c r="H852" s="1">
        <v>12.75</v>
      </c>
    </row>
    <row r="853" spans="1:8">
      <c r="A853" s="1" t="s">
        <v>1895</v>
      </c>
      <c r="B853" s="1" t="s">
        <v>1896</v>
      </c>
      <c r="C853" s="1" t="s">
        <v>1897</v>
      </c>
      <c r="D853" s="1" t="s">
        <v>12</v>
      </c>
      <c r="E853" s="1">
        <v>2063</v>
      </c>
      <c r="F853" s="1" t="s">
        <v>13</v>
      </c>
      <c r="G853" s="1">
        <v>431.63</v>
      </c>
      <c r="H853" s="1">
        <v>21.73</v>
      </c>
    </row>
    <row r="854" spans="1:8">
      <c r="A854" s="1" t="s">
        <v>1898</v>
      </c>
      <c r="B854" s="1" t="s">
        <v>1899</v>
      </c>
      <c r="C854" s="1" t="s">
        <v>1897</v>
      </c>
      <c r="D854" s="1" t="s">
        <v>12</v>
      </c>
      <c r="E854" s="1">
        <v>3646</v>
      </c>
      <c r="F854" s="1" t="s">
        <v>13</v>
      </c>
      <c r="G854" s="1">
        <v>726.96</v>
      </c>
      <c r="H854" s="1">
        <v>22.8</v>
      </c>
    </row>
    <row r="855" spans="1:8">
      <c r="A855" s="1" t="s">
        <v>1900</v>
      </c>
      <c r="B855" s="1" t="s">
        <v>1901</v>
      </c>
      <c r="C855" s="1" t="s">
        <v>1887</v>
      </c>
      <c r="D855" s="1" t="s">
        <v>12</v>
      </c>
      <c r="E855" s="1">
        <v>727</v>
      </c>
      <c r="F855" s="1" t="s">
        <v>13</v>
      </c>
      <c r="G855" s="1">
        <v>252.78</v>
      </c>
      <c r="H855" s="1">
        <v>13.07</v>
      </c>
    </row>
    <row r="856" spans="1:8">
      <c r="A856" s="1" t="s">
        <v>1902</v>
      </c>
      <c r="B856" s="1" t="s">
        <v>1903</v>
      </c>
      <c r="C856" s="1" t="s">
        <v>1904</v>
      </c>
      <c r="D856" s="1" t="s">
        <v>12</v>
      </c>
      <c r="E856" s="1">
        <v>16678</v>
      </c>
      <c r="F856" s="1" t="s">
        <v>13</v>
      </c>
      <c r="G856" s="1">
        <v>5051.68</v>
      </c>
      <c r="H856" s="1">
        <v>15.01</v>
      </c>
    </row>
    <row r="857" spans="1:8">
      <c r="A857" s="1" t="s">
        <v>1905</v>
      </c>
      <c r="B857" s="1" t="s">
        <v>1906</v>
      </c>
      <c r="C857" s="1" t="s">
        <v>1907</v>
      </c>
      <c r="D857" s="1" t="s">
        <v>12</v>
      </c>
      <c r="E857" s="1">
        <v>3073</v>
      </c>
      <c r="F857" s="1" t="s">
        <v>13</v>
      </c>
      <c r="G857" s="1">
        <v>2634.88</v>
      </c>
      <c r="H857" s="1">
        <v>5.3</v>
      </c>
    </row>
    <row r="858" spans="1:8">
      <c r="A858" s="1" t="s">
        <v>1908</v>
      </c>
      <c r="B858" s="1" t="s">
        <v>1909</v>
      </c>
      <c r="C858" s="1" t="s">
        <v>1910</v>
      </c>
      <c r="D858" s="1" t="s">
        <v>12</v>
      </c>
      <c r="E858" s="1">
        <v>1901</v>
      </c>
      <c r="F858" s="1" t="s">
        <v>137</v>
      </c>
      <c r="G858" s="1">
        <v>595.70000000000005</v>
      </c>
      <c r="H858" s="1">
        <v>9.01</v>
      </c>
    </row>
    <row r="859" spans="1:8">
      <c r="A859" s="1" t="s">
        <v>1911</v>
      </c>
      <c r="B859" s="1" t="s">
        <v>1912</v>
      </c>
      <c r="C859" s="1" t="s">
        <v>1913</v>
      </c>
      <c r="D859" s="1" t="s">
        <v>12</v>
      </c>
      <c r="E859" s="1">
        <v>5571</v>
      </c>
      <c r="F859" s="1" t="s">
        <v>13</v>
      </c>
      <c r="G859" s="1">
        <v>1672.5</v>
      </c>
      <c r="H859" s="1">
        <v>15.14</v>
      </c>
    </row>
    <row r="860" spans="1:8">
      <c r="A860" s="1" t="s">
        <v>1914</v>
      </c>
      <c r="B860" s="1" t="s">
        <v>1915</v>
      </c>
      <c r="C860" s="1" t="s">
        <v>1916</v>
      </c>
      <c r="D860" s="1" t="s">
        <v>12</v>
      </c>
      <c r="E860" s="1">
        <v>4883</v>
      </c>
      <c r="F860" s="1" t="s">
        <v>137</v>
      </c>
      <c r="G860" s="1">
        <v>1354.62</v>
      </c>
      <c r="H860" s="1">
        <v>10.18</v>
      </c>
    </row>
    <row r="861" spans="1:8">
      <c r="A861" s="1" t="s">
        <v>1917</v>
      </c>
      <c r="B861" s="1" t="s">
        <v>1918</v>
      </c>
      <c r="C861" s="1" t="s">
        <v>1916</v>
      </c>
      <c r="D861" s="1" t="s">
        <v>12</v>
      </c>
      <c r="E861" s="1">
        <v>4394</v>
      </c>
      <c r="F861" s="1" t="s">
        <v>13</v>
      </c>
      <c r="G861" s="1">
        <v>1257.8399999999999</v>
      </c>
      <c r="H861" s="1">
        <v>15.88</v>
      </c>
    </row>
    <row r="862" spans="1:8">
      <c r="A862" s="1" t="s">
        <v>1919</v>
      </c>
      <c r="B862" s="1" t="s">
        <v>1920</v>
      </c>
      <c r="C862" s="1" t="s">
        <v>1921</v>
      </c>
      <c r="D862" s="1" t="s">
        <v>12</v>
      </c>
      <c r="E862" s="1">
        <v>2272</v>
      </c>
      <c r="F862" s="1" t="s">
        <v>13</v>
      </c>
      <c r="G862" s="1">
        <v>667.42</v>
      </c>
      <c r="H862" s="1">
        <v>15.48</v>
      </c>
    </row>
    <row r="863" spans="1:8">
      <c r="A863" s="1" t="s">
        <v>1922</v>
      </c>
      <c r="B863" s="1" t="s">
        <v>1923</v>
      </c>
      <c r="C863" s="1" t="s">
        <v>1924</v>
      </c>
      <c r="D863" s="1" t="s">
        <v>12</v>
      </c>
      <c r="E863" s="1">
        <v>1906</v>
      </c>
      <c r="F863" s="1" t="s">
        <v>13</v>
      </c>
      <c r="G863" s="1">
        <v>640.82000000000005</v>
      </c>
      <c r="H863" s="1">
        <v>13.52</v>
      </c>
    </row>
    <row r="864" spans="1:8">
      <c r="A864" s="1" t="s">
        <v>1925</v>
      </c>
      <c r="B864" s="1" t="s">
        <v>1926</v>
      </c>
      <c r="C864" s="1" t="s">
        <v>1924</v>
      </c>
      <c r="D864" s="1" t="s">
        <v>12</v>
      </c>
      <c r="E864" s="1">
        <v>5292</v>
      </c>
      <c r="F864" s="1" t="s">
        <v>13</v>
      </c>
      <c r="G864" s="1">
        <v>1465.84</v>
      </c>
      <c r="H864" s="1">
        <v>16.41</v>
      </c>
    </row>
    <row r="865" spans="1:8">
      <c r="A865" s="1" t="s">
        <v>1927</v>
      </c>
      <c r="B865" s="1" t="s">
        <v>1928</v>
      </c>
      <c r="C865" s="1" t="s">
        <v>1924</v>
      </c>
      <c r="D865" s="1" t="s">
        <v>12</v>
      </c>
      <c r="E865" s="1">
        <v>5575</v>
      </c>
      <c r="F865" s="1" t="s">
        <v>13</v>
      </c>
      <c r="G865" s="1">
        <v>1759.43</v>
      </c>
      <c r="H865" s="1">
        <v>14.4</v>
      </c>
    </row>
    <row r="866" spans="1:8">
      <c r="A866" s="1" t="s">
        <v>1929</v>
      </c>
      <c r="B866" s="1" t="s">
        <v>1930</v>
      </c>
      <c r="C866" s="1" t="s">
        <v>1924</v>
      </c>
      <c r="D866" s="1" t="s">
        <v>12</v>
      </c>
      <c r="E866" s="1">
        <v>2039</v>
      </c>
      <c r="F866" s="1" t="s">
        <v>13</v>
      </c>
      <c r="G866" s="1">
        <v>582.19000000000005</v>
      </c>
      <c r="H866" s="1">
        <v>15.92</v>
      </c>
    </row>
    <row r="867" spans="1:8">
      <c r="A867" s="1" t="s">
        <v>1931</v>
      </c>
      <c r="B867" s="1" t="s">
        <v>1932</v>
      </c>
      <c r="C867" s="1" t="s">
        <v>1924</v>
      </c>
      <c r="D867" s="1" t="s">
        <v>12</v>
      </c>
      <c r="E867" s="1">
        <v>5811</v>
      </c>
      <c r="F867" s="1" t="s">
        <v>137</v>
      </c>
      <c r="G867" s="1">
        <v>1864.26</v>
      </c>
      <c r="H867" s="1">
        <v>8.81</v>
      </c>
    </row>
    <row r="868" spans="1:8">
      <c r="A868" s="1" t="s">
        <v>1933</v>
      </c>
      <c r="B868" s="1" t="s">
        <v>1934</v>
      </c>
      <c r="C868" s="1" t="s">
        <v>1924</v>
      </c>
      <c r="D868" s="1" t="s">
        <v>12</v>
      </c>
      <c r="E868" s="1">
        <v>6296</v>
      </c>
      <c r="F868" s="1" t="s">
        <v>13</v>
      </c>
      <c r="G868" s="1">
        <v>1811.51</v>
      </c>
      <c r="H868" s="1">
        <v>15.8</v>
      </c>
    </row>
    <row r="869" spans="1:8">
      <c r="A869" s="1" t="s">
        <v>1935</v>
      </c>
      <c r="B869" s="1" t="s">
        <v>1936</v>
      </c>
      <c r="C869" s="1" t="s">
        <v>1924</v>
      </c>
      <c r="D869" s="1" t="s">
        <v>12</v>
      </c>
      <c r="E869" s="1">
        <v>4751</v>
      </c>
      <c r="F869" s="1" t="s">
        <v>13</v>
      </c>
      <c r="G869" s="1">
        <v>1412.98</v>
      </c>
      <c r="H869" s="1">
        <v>15.29</v>
      </c>
    </row>
    <row r="870" spans="1:8">
      <c r="A870" s="1" t="s">
        <v>1937</v>
      </c>
      <c r="B870" s="1" t="s">
        <v>1938</v>
      </c>
      <c r="C870" s="1" t="s">
        <v>1924</v>
      </c>
      <c r="D870" s="1" t="s">
        <v>12</v>
      </c>
      <c r="E870" s="1">
        <v>8364</v>
      </c>
      <c r="F870" s="1" t="s">
        <v>13</v>
      </c>
      <c r="G870" s="1">
        <v>2662.92</v>
      </c>
      <c r="H870" s="1">
        <v>14.28</v>
      </c>
    </row>
    <row r="871" spans="1:8">
      <c r="A871" s="1" t="s">
        <v>1939</v>
      </c>
      <c r="B871" s="1" t="s">
        <v>1940</v>
      </c>
      <c r="C871" s="1" t="s">
        <v>1924</v>
      </c>
      <c r="D871" s="1" t="s">
        <v>12</v>
      </c>
      <c r="E871" s="1">
        <v>11528</v>
      </c>
      <c r="F871" s="1" t="s">
        <v>13</v>
      </c>
      <c r="G871" s="1">
        <v>3204.46</v>
      </c>
      <c r="H871" s="1">
        <v>16.350000000000001</v>
      </c>
    </row>
    <row r="872" spans="1:8">
      <c r="A872" s="1" t="s">
        <v>1941</v>
      </c>
      <c r="B872" s="1" t="s">
        <v>1942</v>
      </c>
      <c r="C872" s="1" t="s">
        <v>1924</v>
      </c>
      <c r="D872" s="1" t="s">
        <v>12</v>
      </c>
      <c r="E872" s="1">
        <v>11465</v>
      </c>
      <c r="F872" s="1" t="s">
        <v>13</v>
      </c>
      <c r="G872" s="1">
        <v>3176.6</v>
      </c>
      <c r="H872" s="1">
        <v>16.41</v>
      </c>
    </row>
    <row r="873" spans="1:8">
      <c r="A873" s="1" t="s">
        <v>1943</v>
      </c>
      <c r="B873" s="1" t="s">
        <v>1944</v>
      </c>
      <c r="C873" s="1" t="s">
        <v>1924</v>
      </c>
      <c r="D873" s="1" t="s">
        <v>12</v>
      </c>
      <c r="E873" s="1">
        <v>3745</v>
      </c>
      <c r="F873" s="1" t="s">
        <v>13</v>
      </c>
      <c r="G873" s="1">
        <v>1076.92</v>
      </c>
      <c r="H873" s="1">
        <v>15.81</v>
      </c>
    </row>
    <row r="874" spans="1:8">
      <c r="A874" s="1" t="s">
        <v>1945</v>
      </c>
      <c r="B874" s="1" t="s">
        <v>1946</v>
      </c>
      <c r="C874" s="1" t="s">
        <v>1924</v>
      </c>
      <c r="D874" s="1" t="s">
        <v>12</v>
      </c>
      <c r="E874" s="1">
        <v>8336</v>
      </c>
      <c r="F874" s="1" t="s">
        <v>137</v>
      </c>
      <c r="G874" s="1">
        <v>1632.89</v>
      </c>
      <c r="H874" s="1">
        <v>14.42</v>
      </c>
    </row>
    <row r="875" spans="1:8">
      <c r="A875" s="1" t="s">
        <v>1947</v>
      </c>
      <c r="B875" s="1" t="s">
        <v>1948</v>
      </c>
      <c r="C875" s="1" t="s">
        <v>1949</v>
      </c>
      <c r="D875" s="1" t="s">
        <v>12</v>
      </c>
      <c r="E875" s="1">
        <v>1502</v>
      </c>
      <c r="F875" s="1" t="s">
        <v>13</v>
      </c>
      <c r="G875" s="1">
        <v>1080.42</v>
      </c>
      <c r="H875" s="1">
        <v>6.32</v>
      </c>
    </row>
    <row r="876" spans="1:8">
      <c r="A876" s="1" t="s">
        <v>1950</v>
      </c>
      <c r="B876" s="1" t="s">
        <v>1951</v>
      </c>
      <c r="C876" s="1" t="s">
        <v>1949</v>
      </c>
      <c r="D876" s="1" t="s">
        <v>12</v>
      </c>
      <c r="E876" s="1">
        <v>2352</v>
      </c>
      <c r="F876" s="1" t="s">
        <v>137</v>
      </c>
      <c r="G876" s="1">
        <v>866.48</v>
      </c>
      <c r="H876" s="1">
        <v>7.67</v>
      </c>
    </row>
    <row r="877" spans="1:8">
      <c r="A877" s="1" t="s">
        <v>1952</v>
      </c>
      <c r="B877" s="1" t="s">
        <v>1953</v>
      </c>
      <c r="C877" s="1" t="s">
        <v>1954</v>
      </c>
      <c r="D877" s="1" t="s">
        <v>12</v>
      </c>
      <c r="E877" s="1">
        <v>1725</v>
      </c>
      <c r="F877" s="1" t="s">
        <v>13</v>
      </c>
      <c r="G877" s="1">
        <v>1539.95</v>
      </c>
      <c r="H877" s="1">
        <v>5.09</v>
      </c>
    </row>
    <row r="878" spans="1:8">
      <c r="A878" s="1" t="s">
        <v>1955</v>
      </c>
      <c r="B878" s="1" t="s">
        <v>1956</v>
      </c>
      <c r="C878" s="1" t="s">
        <v>1957</v>
      </c>
      <c r="D878" s="1" t="s">
        <v>12</v>
      </c>
      <c r="E878" s="1">
        <v>4453</v>
      </c>
      <c r="F878" s="1" t="s">
        <v>137</v>
      </c>
      <c r="G878" s="1">
        <v>2243.4</v>
      </c>
      <c r="H878" s="1">
        <v>5.61</v>
      </c>
    </row>
    <row r="879" spans="1:8">
      <c r="A879" s="1" t="s">
        <v>1959</v>
      </c>
      <c r="B879" s="1" t="s">
        <v>1960</v>
      </c>
      <c r="C879" s="1" t="s">
        <v>1958</v>
      </c>
      <c r="D879" s="1" t="s">
        <v>12</v>
      </c>
      <c r="E879" s="1">
        <v>3583</v>
      </c>
      <c r="F879" s="1" t="s">
        <v>137</v>
      </c>
      <c r="G879" s="1">
        <v>1362.64</v>
      </c>
      <c r="H879" s="1">
        <v>7.43</v>
      </c>
    </row>
    <row r="880" spans="1:8">
      <c r="A880" s="1" t="s">
        <v>1961</v>
      </c>
      <c r="B880" s="1" t="s">
        <v>1962</v>
      </c>
      <c r="C880" s="1" t="s">
        <v>1963</v>
      </c>
      <c r="D880" s="1" t="s">
        <v>12</v>
      </c>
      <c r="E880" s="1">
        <v>11406</v>
      </c>
      <c r="F880" s="1" t="s">
        <v>137</v>
      </c>
      <c r="G880" s="1">
        <v>12511.32</v>
      </c>
      <c r="H880" s="1">
        <v>2.58</v>
      </c>
    </row>
    <row r="881" spans="1:8">
      <c r="A881" s="1" t="s">
        <v>1964</v>
      </c>
      <c r="B881" s="1" t="s">
        <v>1965</v>
      </c>
      <c r="C881" s="1" t="s">
        <v>1963</v>
      </c>
      <c r="D881" s="1" t="s">
        <v>12</v>
      </c>
      <c r="E881" s="1">
        <v>28971</v>
      </c>
      <c r="F881" s="1" t="s">
        <v>137</v>
      </c>
      <c r="G881" s="1">
        <v>8837.8799999999992</v>
      </c>
      <c r="H881" s="1">
        <v>9.26</v>
      </c>
    </row>
    <row r="882" spans="1:8">
      <c r="A882" s="1" t="s">
        <v>1966</v>
      </c>
      <c r="B882" s="1" t="s">
        <v>1967</v>
      </c>
      <c r="C882" s="1" t="s">
        <v>1963</v>
      </c>
      <c r="D882" s="1" t="s">
        <v>12</v>
      </c>
      <c r="E882" s="1">
        <v>14200</v>
      </c>
      <c r="F882" s="1" t="s">
        <v>137</v>
      </c>
      <c r="G882" s="1">
        <v>11687.67</v>
      </c>
      <c r="H882" s="1">
        <v>3.43</v>
      </c>
    </row>
    <row r="883" spans="1:8">
      <c r="A883" s="1" t="s">
        <v>1968</v>
      </c>
      <c r="B883" s="1" t="s">
        <v>1969</v>
      </c>
      <c r="C883" s="1" t="s">
        <v>1963</v>
      </c>
      <c r="D883" s="1" t="s">
        <v>12</v>
      </c>
      <c r="E883" s="1">
        <v>14799</v>
      </c>
      <c r="F883" s="1" t="s">
        <v>137</v>
      </c>
      <c r="G883" s="1">
        <v>11593.17</v>
      </c>
      <c r="H883" s="1">
        <v>3.61</v>
      </c>
    </row>
    <row r="884" spans="1:8">
      <c r="A884" s="1" t="s">
        <v>1970</v>
      </c>
      <c r="B884" s="1" t="s">
        <v>1971</v>
      </c>
      <c r="C884" s="1" t="s">
        <v>1963</v>
      </c>
      <c r="D884" s="1" t="s">
        <v>12</v>
      </c>
      <c r="E884" s="1">
        <v>8034</v>
      </c>
      <c r="F884" s="1" t="s">
        <v>137</v>
      </c>
      <c r="G884" s="1">
        <v>10998.54</v>
      </c>
      <c r="H884" s="1">
        <v>2.06</v>
      </c>
    </row>
    <row r="885" spans="1:8">
      <c r="A885" s="1" t="s">
        <v>1972</v>
      </c>
      <c r="B885" s="1" t="s">
        <v>1973</v>
      </c>
      <c r="C885" s="1" t="s">
        <v>1963</v>
      </c>
      <c r="D885" s="1" t="s">
        <v>12</v>
      </c>
      <c r="E885" s="1">
        <v>15161</v>
      </c>
      <c r="F885" s="1" t="s">
        <v>137</v>
      </c>
      <c r="G885" s="1">
        <v>11333.85</v>
      </c>
      <c r="H885" s="1">
        <v>3.78</v>
      </c>
    </row>
    <row r="886" spans="1:8">
      <c r="A886" s="1" t="s">
        <v>1974</v>
      </c>
      <c r="B886" s="1" t="s">
        <v>1975</v>
      </c>
      <c r="C886" s="1" t="s">
        <v>1963</v>
      </c>
      <c r="D886" s="1" t="s">
        <v>12</v>
      </c>
      <c r="E886" s="1">
        <v>5561</v>
      </c>
      <c r="F886" s="1" t="s">
        <v>137</v>
      </c>
      <c r="G886" s="1">
        <v>8117.19</v>
      </c>
      <c r="H886" s="1">
        <v>1.94</v>
      </c>
    </row>
    <row r="887" spans="1:8">
      <c r="A887" s="1" t="s">
        <v>1976</v>
      </c>
      <c r="B887" s="1" t="s">
        <v>1977</v>
      </c>
      <c r="C887" s="1" t="s">
        <v>518</v>
      </c>
      <c r="D887" s="1" t="s">
        <v>12</v>
      </c>
      <c r="E887" s="1">
        <v>7896</v>
      </c>
      <c r="F887" s="1" t="s">
        <v>137</v>
      </c>
      <c r="G887" s="1">
        <v>11802.77</v>
      </c>
      <c r="H887" s="1">
        <v>1.89</v>
      </c>
    </row>
    <row r="888" spans="1:8">
      <c r="A888" s="1" t="s">
        <v>1978</v>
      </c>
      <c r="B888" s="1" t="s">
        <v>1979</v>
      </c>
      <c r="C888" s="1" t="s">
        <v>1963</v>
      </c>
      <c r="D888" s="1" t="s">
        <v>12</v>
      </c>
      <c r="E888" s="1">
        <v>10474</v>
      </c>
      <c r="F888" s="1" t="s">
        <v>137</v>
      </c>
      <c r="G888" s="1">
        <v>12867.81</v>
      </c>
      <c r="H888" s="1">
        <v>2.2999999999999998</v>
      </c>
    </row>
    <row r="889" spans="1:8">
      <c r="A889" s="1" t="s">
        <v>1980</v>
      </c>
      <c r="B889" s="1" t="s">
        <v>1981</v>
      </c>
      <c r="C889" s="1" t="s">
        <v>1963</v>
      </c>
      <c r="D889" s="1" t="s">
        <v>12</v>
      </c>
      <c r="E889" s="1">
        <v>5907</v>
      </c>
      <c r="F889" s="1" t="s">
        <v>137</v>
      </c>
      <c r="G889" s="1">
        <v>9771.94</v>
      </c>
      <c r="H889" s="1">
        <v>1.71</v>
      </c>
    </row>
    <row r="890" spans="1:8">
      <c r="A890" s="1" t="s">
        <v>1982</v>
      </c>
      <c r="B890" s="1" t="s">
        <v>1983</v>
      </c>
      <c r="C890" s="1" t="s">
        <v>1984</v>
      </c>
      <c r="D890" s="1" t="s">
        <v>12</v>
      </c>
      <c r="E890" s="1">
        <v>7311</v>
      </c>
      <c r="F890" s="1" t="s">
        <v>137</v>
      </c>
      <c r="G890" s="1">
        <v>11034.28</v>
      </c>
      <c r="H890" s="1">
        <v>1.87</v>
      </c>
    </row>
    <row r="891" spans="1:8">
      <c r="A891" s="1" t="s">
        <v>1985</v>
      </c>
      <c r="B891" s="1" t="s">
        <v>1986</v>
      </c>
      <c r="C891" s="1" t="s">
        <v>1987</v>
      </c>
      <c r="D891" s="1" t="s">
        <v>12</v>
      </c>
      <c r="E891" s="1">
        <v>13292</v>
      </c>
      <c r="F891" s="1" t="s">
        <v>137</v>
      </c>
      <c r="G891" s="1">
        <v>10501.78</v>
      </c>
      <c r="H891" s="1">
        <v>3.58</v>
      </c>
    </row>
    <row r="892" spans="1:8">
      <c r="A892" s="1" t="s">
        <v>1988</v>
      </c>
      <c r="B892" s="1" t="s">
        <v>1989</v>
      </c>
      <c r="C892" s="1" t="s">
        <v>1990</v>
      </c>
      <c r="D892" s="1" t="s">
        <v>12</v>
      </c>
      <c r="E892" s="1">
        <v>349</v>
      </c>
      <c r="F892" s="1" t="s">
        <v>137</v>
      </c>
      <c r="G892" s="1">
        <v>435.15</v>
      </c>
      <c r="H892" s="1">
        <v>2.27</v>
      </c>
    </row>
    <row r="893" spans="1:8">
      <c r="A893" s="1" t="s">
        <v>1991</v>
      </c>
      <c r="B893" s="1" t="s">
        <v>1992</v>
      </c>
      <c r="C893" s="1" t="s">
        <v>1990</v>
      </c>
      <c r="D893" s="1" t="s">
        <v>12</v>
      </c>
      <c r="E893" s="1">
        <v>990</v>
      </c>
      <c r="F893" s="1" t="s">
        <v>137</v>
      </c>
      <c r="G893" s="1">
        <v>862.71</v>
      </c>
      <c r="H893" s="1">
        <v>3.24</v>
      </c>
    </row>
    <row r="894" spans="1:8">
      <c r="A894" s="1" t="s">
        <v>1993</v>
      </c>
      <c r="B894" s="1" t="s">
        <v>1994</v>
      </c>
      <c r="C894" s="1" t="s">
        <v>518</v>
      </c>
      <c r="D894" s="1" t="s">
        <v>12</v>
      </c>
      <c r="E894" s="1">
        <v>6915</v>
      </c>
      <c r="F894" s="1" t="s">
        <v>137</v>
      </c>
      <c r="G894" s="1">
        <v>9342.11</v>
      </c>
      <c r="H894" s="1">
        <v>2.09</v>
      </c>
    </row>
    <row r="895" spans="1:8">
      <c r="A895" s="1" t="s">
        <v>1995</v>
      </c>
      <c r="B895" s="1" t="s">
        <v>1996</v>
      </c>
      <c r="C895" s="1" t="s">
        <v>1963</v>
      </c>
      <c r="D895" s="1" t="s">
        <v>12</v>
      </c>
      <c r="E895" s="1">
        <v>9418</v>
      </c>
      <c r="F895" s="1" t="s">
        <v>137</v>
      </c>
      <c r="G895" s="1">
        <v>11620.77</v>
      </c>
      <c r="H895" s="1">
        <v>2.29</v>
      </c>
    </row>
    <row r="896" spans="1:8">
      <c r="A896" s="1" t="s">
        <v>1997</v>
      </c>
      <c r="B896" s="1" t="s">
        <v>1998</v>
      </c>
      <c r="C896" s="1" t="s">
        <v>1999</v>
      </c>
      <c r="D896" s="1" t="s">
        <v>12</v>
      </c>
      <c r="E896" s="1">
        <v>-105161</v>
      </c>
      <c r="F896" s="1" t="s">
        <v>137</v>
      </c>
      <c r="G896" s="1">
        <v>1591.6</v>
      </c>
      <c r="H896" s="1">
        <v>-187.07</v>
      </c>
    </row>
    <row r="897" spans="1:8">
      <c r="A897" s="1" t="s">
        <v>2000</v>
      </c>
      <c r="B897" s="1" t="s">
        <v>2001</v>
      </c>
      <c r="C897" s="1" t="s">
        <v>1990</v>
      </c>
      <c r="D897" s="1" t="s">
        <v>12</v>
      </c>
      <c r="E897" s="1">
        <v>-126099</v>
      </c>
      <c r="F897" s="1" t="s">
        <v>13</v>
      </c>
      <c r="G897" s="1">
        <v>2647.5</v>
      </c>
      <c r="H897" s="1">
        <v>-216.53</v>
      </c>
    </row>
    <row r="898" spans="1:8">
      <c r="A898" s="1" t="s">
        <v>2002</v>
      </c>
      <c r="B898" s="1" t="s">
        <v>2003</v>
      </c>
      <c r="C898" s="1" t="s">
        <v>1990</v>
      </c>
      <c r="D898" s="1" t="s">
        <v>12</v>
      </c>
      <c r="E898" s="1">
        <v>647</v>
      </c>
      <c r="F898" s="1" t="s">
        <v>13</v>
      </c>
      <c r="G898" s="1">
        <v>654.66</v>
      </c>
      <c r="H898" s="1">
        <v>4.49</v>
      </c>
    </row>
    <row r="899" spans="1:8">
      <c r="A899" s="1" t="s">
        <v>2004</v>
      </c>
      <c r="B899" s="1" t="s">
        <v>2005</v>
      </c>
      <c r="C899" s="1" t="s">
        <v>2006</v>
      </c>
      <c r="D899" s="1" t="s">
        <v>12</v>
      </c>
      <c r="E899" s="1">
        <v>6591</v>
      </c>
      <c r="F899" s="1" t="s">
        <v>137</v>
      </c>
      <c r="G899" s="1">
        <v>9250.4</v>
      </c>
      <c r="H899" s="1">
        <v>2.0099999999999998</v>
      </c>
    </row>
    <row r="900" spans="1:8">
      <c r="A900" s="1" t="s">
        <v>2007</v>
      </c>
      <c r="B900" s="1" t="s">
        <v>2008</v>
      </c>
      <c r="C900" s="1" t="s">
        <v>1990</v>
      </c>
      <c r="D900" s="1" t="s">
        <v>12</v>
      </c>
      <c r="E900" s="1">
        <v>164</v>
      </c>
      <c r="F900" s="1" t="s">
        <v>137</v>
      </c>
      <c r="G900" s="1">
        <v>286.2</v>
      </c>
      <c r="H900" s="1">
        <v>1.62</v>
      </c>
    </row>
    <row r="901" spans="1:8">
      <c r="A901" s="1" t="s">
        <v>2009</v>
      </c>
      <c r="B901" s="1" t="s">
        <v>2010</v>
      </c>
      <c r="C901" s="1" t="s">
        <v>1990</v>
      </c>
      <c r="D901" s="1" t="s">
        <v>12</v>
      </c>
      <c r="E901" s="1">
        <v>768</v>
      </c>
      <c r="F901" s="1" t="s">
        <v>137</v>
      </c>
      <c r="G901" s="1">
        <v>598.28</v>
      </c>
      <c r="H901" s="1">
        <v>3.63</v>
      </c>
    </row>
    <row r="902" spans="1:8">
      <c r="A902" s="1" t="s">
        <v>2011</v>
      </c>
      <c r="B902" s="1" t="s">
        <v>2012</v>
      </c>
      <c r="C902" s="1" t="s">
        <v>2006</v>
      </c>
      <c r="D902" s="1" t="s">
        <v>12</v>
      </c>
      <c r="E902" s="1">
        <v>4683</v>
      </c>
      <c r="F902" s="1" t="s">
        <v>137</v>
      </c>
      <c r="G902" s="1">
        <v>7003.71</v>
      </c>
      <c r="H902" s="1">
        <v>1.89</v>
      </c>
    </row>
    <row r="903" spans="1:8">
      <c r="A903" s="1" t="s">
        <v>2013</v>
      </c>
      <c r="B903" s="1" t="s">
        <v>2014</v>
      </c>
      <c r="C903" s="1" t="s">
        <v>2006</v>
      </c>
      <c r="D903" s="1" t="s">
        <v>12</v>
      </c>
      <c r="E903" s="1">
        <v>7191</v>
      </c>
      <c r="F903" s="1" t="s">
        <v>137</v>
      </c>
      <c r="G903" s="1">
        <v>10562.36</v>
      </c>
      <c r="H903" s="1">
        <v>1.92</v>
      </c>
    </row>
    <row r="904" spans="1:8">
      <c r="A904" s="1" t="s">
        <v>2015</v>
      </c>
      <c r="B904" s="1" t="s">
        <v>2016</v>
      </c>
      <c r="C904" s="1" t="s">
        <v>2006</v>
      </c>
      <c r="D904" s="1" t="s">
        <v>12</v>
      </c>
      <c r="E904" s="1">
        <v>7420</v>
      </c>
      <c r="F904" s="1" t="s">
        <v>137</v>
      </c>
      <c r="G904" s="1">
        <v>11204.87</v>
      </c>
      <c r="H904" s="1">
        <v>1.87</v>
      </c>
    </row>
    <row r="905" spans="1:8">
      <c r="A905" s="1" t="s">
        <v>2017</v>
      </c>
      <c r="B905" s="1" t="s">
        <v>2018</v>
      </c>
      <c r="C905" s="1" t="s">
        <v>1990</v>
      </c>
      <c r="D905" s="1" t="s">
        <v>12</v>
      </c>
      <c r="E905" s="1">
        <v>489</v>
      </c>
      <c r="F905" s="1" t="s">
        <v>137</v>
      </c>
      <c r="G905" s="1">
        <v>566.42999999999995</v>
      </c>
      <c r="H905" s="1">
        <v>2.44</v>
      </c>
    </row>
    <row r="906" spans="1:8">
      <c r="A906" s="1" t="s">
        <v>2019</v>
      </c>
      <c r="B906" s="1" t="s">
        <v>2020</v>
      </c>
      <c r="C906" s="1" t="s">
        <v>2006</v>
      </c>
      <c r="D906" s="1" t="s">
        <v>12</v>
      </c>
      <c r="E906" s="1">
        <v>8947</v>
      </c>
      <c r="F906" s="1" t="s">
        <v>137</v>
      </c>
      <c r="G906" s="1">
        <v>10897.2</v>
      </c>
      <c r="H906" s="1">
        <v>2.3199999999999998</v>
      </c>
    </row>
    <row r="907" spans="1:8">
      <c r="A907" s="1" t="s">
        <v>2021</v>
      </c>
      <c r="B907" s="1" t="s">
        <v>2022</v>
      </c>
      <c r="C907" s="1" t="s">
        <v>2006</v>
      </c>
      <c r="D907" s="1" t="s">
        <v>12</v>
      </c>
      <c r="E907" s="1">
        <v>8416</v>
      </c>
      <c r="F907" s="1" t="s">
        <v>137</v>
      </c>
      <c r="G907" s="1">
        <v>11968.99</v>
      </c>
      <c r="H907" s="1">
        <v>1.99</v>
      </c>
    </row>
    <row r="908" spans="1:8">
      <c r="A908" s="1" t="s">
        <v>2023</v>
      </c>
      <c r="B908" s="1" t="s">
        <v>2024</v>
      </c>
      <c r="C908" s="1" t="s">
        <v>2025</v>
      </c>
      <c r="D908" s="1" t="s">
        <v>12</v>
      </c>
      <c r="E908" s="1">
        <v>6430</v>
      </c>
      <c r="F908" s="1" t="s">
        <v>137</v>
      </c>
      <c r="G908" s="1">
        <v>5282.76</v>
      </c>
      <c r="H908" s="1">
        <v>3.44</v>
      </c>
    </row>
    <row r="909" spans="1:8">
      <c r="A909" s="1" t="s">
        <v>2026</v>
      </c>
      <c r="B909" s="1" t="s">
        <v>2027</v>
      </c>
      <c r="C909" s="1" t="s">
        <v>1990</v>
      </c>
      <c r="D909" s="1" t="s">
        <v>12</v>
      </c>
      <c r="E909" s="1">
        <v>258</v>
      </c>
      <c r="F909" s="1" t="s">
        <v>137</v>
      </c>
      <c r="G909" s="1">
        <v>541.15</v>
      </c>
      <c r="H909" s="1">
        <v>1.35</v>
      </c>
    </row>
    <row r="910" spans="1:8">
      <c r="A910" s="1" t="s">
        <v>2028</v>
      </c>
      <c r="B910" s="1" t="s">
        <v>2029</v>
      </c>
      <c r="C910" s="1" t="s">
        <v>2030</v>
      </c>
      <c r="D910" s="1" t="s">
        <v>12</v>
      </c>
      <c r="E910" s="1">
        <v>11731</v>
      </c>
      <c r="F910" s="1" t="s">
        <v>137</v>
      </c>
      <c r="G910" s="1">
        <v>5407.88</v>
      </c>
      <c r="H910" s="1">
        <v>6.13</v>
      </c>
    </row>
    <row r="911" spans="1:8">
      <c r="A911" s="1" t="s">
        <v>2031</v>
      </c>
      <c r="B911" s="1" t="s">
        <v>2032</v>
      </c>
      <c r="C911" s="1" t="s">
        <v>2030</v>
      </c>
      <c r="D911" s="1" t="s">
        <v>12</v>
      </c>
      <c r="E911" s="1">
        <v>10041</v>
      </c>
      <c r="F911" s="1" t="s">
        <v>137</v>
      </c>
      <c r="G911" s="1">
        <v>5218.6400000000003</v>
      </c>
      <c r="H911" s="1">
        <v>5.44</v>
      </c>
    </row>
    <row r="912" spans="1:8">
      <c r="A912" s="1" t="s">
        <v>2033</v>
      </c>
      <c r="B912" s="1" t="s">
        <v>2034</v>
      </c>
      <c r="C912" s="1" t="s">
        <v>2035</v>
      </c>
      <c r="D912" s="1" t="s">
        <v>12</v>
      </c>
      <c r="E912" s="1">
        <v>1728</v>
      </c>
      <c r="F912" s="1" t="s">
        <v>137</v>
      </c>
      <c r="G912" s="1">
        <v>3425.53</v>
      </c>
      <c r="H912" s="1">
        <v>1.42</v>
      </c>
    </row>
    <row r="913" spans="1:8">
      <c r="A913" s="1" t="s">
        <v>2036</v>
      </c>
      <c r="B913" s="1" t="s">
        <v>2037</v>
      </c>
      <c r="C913" s="1" t="s">
        <v>1990</v>
      </c>
      <c r="D913" s="1" t="s">
        <v>12</v>
      </c>
      <c r="E913" s="1">
        <v>419</v>
      </c>
      <c r="F913" s="1" t="s">
        <v>137</v>
      </c>
      <c r="G913" s="1">
        <v>437.69</v>
      </c>
      <c r="H913" s="1">
        <v>2.7</v>
      </c>
    </row>
    <row r="914" spans="1:8">
      <c r="A914" s="1" t="s">
        <v>2038</v>
      </c>
      <c r="B914" s="1" t="s">
        <v>2039</v>
      </c>
      <c r="C914" s="1" t="s">
        <v>2035</v>
      </c>
      <c r="D914" s="1" t="s">
        <v>12</v>
      </c>
      <c r="E914" s="1">
        <v>3689</v>
      </c>
      <c r="F914" s="1" t="s">
        <v>137</v>
      </c>
      <c r="G914" s="1">
        <v>6618.96</v>
      </c>
      <c r="H914" s="1">
        <v>1.57</v>
      </c>
    </row>
    <row r="915" spans="1:8">
      <c r="A915" s="1" t="s">
        <v>2040</v>
      </c>
      <c r="B915" s="1" t="s">
        <v>2041</v>
      </c>
      <c r="C915" s="1" t="s">
        <v>1999</v>
      </c>
      <c r="D915" s="1" t="s">
        <v>12</v>
      </c>
      <c r="E915" s="1">
        <v>-70413</v>
      </c>
      <c r="F915" s="1" t="s">
        <v>137</v>
      </c>
      <c r="G915" s="1">
        <v>1568.93</v>
      </c>
      <c r="H915" s="1">
        <v>-126.67</v>
      </c>
    </row>
    <row r="916" spans="1:8">
      <c r="A916" s="1" t="s">
        <v>2042</v>
      </c>
      <c r="B916" s="1" t="s">
        <v>2043</v>
      </c>
      <c r="C916" s="1" t="s">
        <v>2006</v>
      </c>
      <c r="D916" s="1" t="s">
        <v>12</v>
      </c>
      <c r="E916" s="1">
        <v>4803</v>
      </c>
      <c r="F916" s="1" t="s">
        <v>137</v>
      </c>
      <c r="G916" s="1">
        <v>6674.43</v>
      </c>
      <c r="H916" s="1">
        <v>2.0299999999999998</v>
      </c>
    </row>
    <row r="917" spans="1:8">
      <c r="A917" s="1" t="s">
        <v>2044</v>
      </c>
      <c r="B917" s="1" t="s">
        <v>2045</v>
      </c>
      <c r="C917" s="1" t="s">
        <v>2006</v>
      </c>
      <c r="D917" s="1" t="s">
        <v>12</v>
      </c>
      <c r="E917" s="1">
        <v>8237</v>
      </c>
      <c r="F917" s="1" t="s">
        <v>137</v>
      </c>
      <c r="G917" s="1">
        <v>10361.51</v>
      </c>
      <c r="H917" s="1">
        <v>2.25</v>
      </c>
    </row>
    <row r="918" spans="1:8">
      <c r="A918" s="1" t="s">
        <v>2046</v>
      </c>
      <c r="B918" s="1" t="s">
        <v>2047</v>
      </c>
      <c r="C918" s="1" t="s">
        <v>2006</v>
      </c>
      <c r="D918" s="1" t="s">
        <v>12</v>
      </c>
      <c r="E918" s="1">
        <v>11446</v>
      </c>
      <c r="F918" s="1" t="s">
        <v>137</v>
      </c>
      <c r="G918" s="1">
        <v>11134.25</v>
      </c>
      <c r="H918" s="1">
        <v>2.9</v>
      </c>
    </row>
    <row r="919" spans="1:8">
      <c r="A919" s="1" t="s">
        <v>2048</v>
      </c>
      <c r="B919" s="1" t="s">
        <v>2049</v>
      </c>
      <c r="C919" s="1" t="s">
        <v>2050</v>
      </c>
      <c r="D919" s="1" t="s">
        <v>12</v>
      </c>
      <c r="E919" s="1">
        <v>9341</v>
      </c>
      <c r="F919" s="1" t="s">
        <v>137</v>
      </c>
      <c r="G919" s="1">
        <v>11694.24</v>
      </c>
      <c r="H919" s="1">
        <v>2.2599999999999998</v>
      </c>
    </row>
    <row r="920" spans="1:8">
      <c r="A920" s="1" t="s">
        <v>2051</v>
      </c>
      <c r="B920" s="1" t="s">
        <v>2052</v>
      </c>
      <c r="C920" s="1" t="s">
        <v>2006</v>
      </c>
      <c r="D920" s="1" t="s">
        <v>12</v>
      </c>
      <c r="E920" s="1">
        <v>6834</v>
      </c>
      <c r="F920" s="1" t="s">
        <v>137</v>
      </c>
      <c r="G920" s="1">
        <v>9755.16</v>
      </c>
      <c r="H920" s="1">
        <v>1.98</v>
      </c>
    </row>
    <row r="921" spans="1:8">
      <c r="A921" s="1" t="s">
        <v>2053</v>
      </c>
      <c r="B921" s="1" t="s">
        <v>2054</v>
      </c>
      <c r="C921" s="1" t="s">
        <v>2006</v>
      </c>
      <c r="D921" s="1" t="s">
        <v>12</v>
      </c>
      <c r="E921" s="1">
        <v>7305</v>
      </c>
      <c r="F921" s="1" t="s">
        <v>137</v>
      </c>
      <c r="G921" s="1">
        <v>8677.93</v>
      </c>
      <c r="H921" s="1">
        <v>2.38</v>
      </c>
    </row>
    <row r="922" spans="1:8">
      <c r="A922" s="1" t="s">
        <v>2055</v>
      </c>
      <c r="B922" s="1" t="s">
        <v>2056</v>
      </c>
      <c r="C922" s="1" t="s">
        <v>2006</v>
      </c>
      <c r="D922" s="1" t="s">
        <v>12</v>
      </c>
      <c r="E922" s="1">
        <v>7711</v>
      </c>
      <c r="F922" s="1" t="s">
        <v>137</v>
      </c>
      <c r="G922" s="1">
        <v>10321.17</v>
      </c>
      <c r="H922" s="1">
        <v>2.11</v>
      </c>
    </row>
    <row r="923" spans="1:8">
      <c r="A923" s="1" t="s">
        <v>2057</v>
      </c>
      <c r="B923" s="1" t="s">
        <v>2058</v>
      </c>
      <c r="C923" s="1" t="s">
        <v>1990</v>
      </c>
      <c r="D923" s="1" t="s">
        <v>12</v>
      </c>
      <c r="E923" s="1">
        <v>-117153</v>
      </c>
      <c r="F923" s="1" t="s">
        <v>137</v>
      </c>
      <c r="G923" s="1">
        <v>14992.61</v>
      </c>
      <c r="H923" s="1">
        <v>-22.07</v>
      </c>
    </row>
    <row r="924" spans="1:8">
      <c r="A924" s="1" t="s">
        <v>2059</v>
      </c>
      <c r="B924" s="1" t="s">
        <v>2060</v>
      </c>
      <c r="C924" s="1" t="s">
        <v>2006</v>
      </c>
      <c r="D924" s="1" t="s">
        <v>12</v>
      </c>
      <c r="E924" s="1">
        <v>6159</v>
      </c>
      <c r="F924" s="1" t="s">
        <v>137</v>
      </c>
      <c r="G924" s="1">
        <v>8809.24</v>
      </c>
      <c r="H924" s="1">
        <v>1.97</v>
      </c>
    </row>
    <row r="925" spans="1:8">
      <c r="A925" s="1" t="s">
        <v>2061</v>
      </c>
      <c r="B925" s="1" t="s">
        <v>2062</v>
      </c>
      <c r="C925" s="1" t="s">
        <v>2006</v>
      </c>
      <c r="D925" s="1" t="s">
        <v>12</v>
      </c>
      <c r="E925" s="1">
        <v>3354</v>
      </c>
      <c r="F925" s="1" t="s">
        <v>137</v>
      </c>
      <c r="G925" s="1">
        <v>4555.1000000000004</v>
      </c>
      <c r="H925" s="1">
        <v>2.08</v>
      </c>
    </row>
    <row r="926" spans="1:8">
      <c r="A926" s="1" t="s">
        <v>2063</v>
      </c>
      <c r="B926" s="1" t="s">
        <v>2064</v>
      </c>
      <c r="C926" s="1" t="s">
        <v>1999</v>
      </c>
      <c r="D926" s="1" t="s">
        <v>12</v>
      </c>
      <c r="E926" s="1">
        <v>107</v>
      </c>
      <c r="F926" s="1" t="s">
        <v>137</v>
      </c>
      <c r="G926" s="1">
        <v>227.87</v>
      </c>
      <c r="H926" s="1">
        <v>1.33</v>
      </c>
    </row>
    <row r="927" spans="1:8">
      <c r="A927" s="1" t="s">
        <v>2065</v>
      </c>
      <c r="B927" s="1" t="s">
        <v>2066</v>
      </c>
      <c r="C927" s="1" t="s">
        <v>1990</v>
      </c>
      <c r="D927" s="1" t="s">
        <v>12</v>
      </c>
      <c r="E927" s="1">
        <v>-111537</v>
      </c>
      <c r="F927" s="1" t="s">
        <v>137</v>
      </c>
      <c r="G927" s="1">
        <v>942.5</v>
      </c>
      <c r="H927" s="1">
        <v>-332.33</v>
      </c>
    </row>
    <row r="928" spans="1:8">
      <c r="A928" s="1" t="s">
        <v>2067</v>
      </c>
      <c r="B928" s="1" t="s">
        <v>2068</v>
      </c>
      <c r="C928" s="1" t="s">
        <v>2069</v>
      </c>
      <c r="D928" s="1" t="s">
        <v>12</v>
      </c>
      <c r="E928" s="1">
        <v>9982</v>
      </c>
      <c r="F928" s="1" t="s">
        <v>137</v>
      </c>
      <c r="G928" s="1">
        <v>7260.81</v>
      </c>
      <c r="H928" s="1">
        <v>3.88</v>
      </c>
    </row>
    <row r="929" spans="1:8">
      <c r="A929" s="1" t="s">
        <v>2070</v>
      </c>
      <c r="B929" s="1" t="s">
        <v>2071</v>
      </c>
      <c r="C929" s="1" t="s">
        <v>2069</v>
      </c>
      <c r="D929" s="1" t="s">
        <v>12</v>
      </c>
      <c r="E929" s="1">
        <v>6615</v>
      </c>
      <c r="F929" s="1" t="s">
        <v>137</v>
      </c>
      <c r="G929" s="1">
        <v>4938.53</v>
      </c>
      <c r="H929" s="1">
        <v>3.78</v>
      </c>
    </row>
    <row r="930" spans="1:8">
      <c r="A930" s="1" t="s">
        <v>2072</v>
      </c>
      <c r="B930" s="1" t="s">
        <v>2073</v>
      </c>
      <c r="C930" s="1" t="s">
        <v>2069</v>
      </c>
      <c r="D930" s="1" t="s">
        <v>12</v>
      </c>
      <c r="E930" s="1">
        <v>6564</v>
      </c>
      <c r="F930" s="1" t="s">
        <v>137</v>
      </c>
      <c r="G930" s="1">
        <v>4890.97</v>
      </c>
      <c r="H930" s="1">
        <v>3.79</v>
      </c>
    </row>
    <row r="931" spans="1:8">
      <c r="A931" s="1" t="s">
        <v>2074</v>
      </c>
      <c r="B931" s="1" t="s">
        <v>2075</v>
      </c>
      <c r="C931" s="1" t="s">
        <v>2076</v>
      </c>
      <c r="D931" s="1" t="s">
        <v>12</v>
      </c>
      <c r="E931" s="1">
        <v>17868</v>
      </c>
      <c r="F931" s="1" t="s">
        <v>13</v>
      </c>
      <c r="G931" s="1">
        <v>11616.27</v>
      </c>
      <c r="H931" s="1">
        <v>6.99</v>
      </c>
    </row>
    <row r="932" spans="1:8">
      <c r="A932" s="1" t="s">
        <v>2077</v>
      </c>
      <c r="B932" s="1" t="s">
        <v>2078</v>
      </c>
      <c r="C932" s="1" t="s">
        <v>2076</v>
      </c>
      <c r="D932" s="1" t="s">
        <v>12</v>
      </c>
      <c r="E932" s="1">
        <v>10462</v>
      </c>
      <c r="F932" s="1" t="s">
        <v>13</v>
      </c>
      <c r="G932" s="1">
        <v>8725.5300000000007</v>
      </c>
      <c r="H932" s="1">
        <v>5.45</v>
      </c>
    </row>
    <row r="933" spans="1:8">
      <c r="A933" s="1" t="s">
        <v>2079</v>
      </c>
      <c r="B933" s="1" t="s">
        <v>2080</v>
      </c>
      <c r="C933" s="1" t="s">
        <v>2076</v>
      </c>
      <c r="D933" s="1" t="s">
        <v>12</v>
      </c>
      <c r="E933" s="1">
        <v>6191</v>
      </c>
      <c r="F933" s="1" t="s">
        <v>13</v>
      </c>
      <c r="G933" s="1">
        <v>4733.54</v>
      </c>
      <c r="H933" s="1">
        <v>5.95</v>
      </c>
    </row>
    <row r="934" spans="1:8">
      <c r="A934" s="1" t="s">
        <v>2081</v>
      </c>
      <c r="B934" s="1" t="s">
        <v>2082</v>
      </c>
      <c r="C934" s="1" t="s">
        <v>2083</v>
      </c>
      <c r="D934" s="1" t="s">
        <v>12</v>
      </c>
      <c r="E934" s="1">
        <v>12849</v>
      </c>
      <c r="F934" s="1" t="s">
        <v>137</v>
      </c>
      <c r="G934" s="1">
        <v>7152.24</v>
      </c>
      <c r="H934" s="1">
        <v>5.08</v>
      </c>
    </row>
    <row r="935" spans="1:8">
      <c r="A935" s="1" t="s">
        <v>2084</v>
      </c>
      <c r="B935" s="1" t="s">
        <v>2085</v>
      </c>
      <c r="C935" s="1" t="s">
        <v>2083</v>
      </c>
      <c r="D935" s="1" t="s">
        <v>12</v>
      </c>
      <c r="E935" s="1">
        <v>15140</v>
      </c>
      <c r="F935" s="1" t="s">
        <v>137</v>
      </c>
      <c r="G935" s="1">
        <v>8349.01</v>
      </c>
      <c r="H935" s="1">
        <v>5.12</v>
      </c>
    </row>
    <row r="936" spans="1:8">
      <c r="A936" s="1" t="s">
        <v>2086</v>
      </c>
      <c r="B936" s="1" t="s">
        <v>2087</v>
      </c>
      <c r="C936" s="1" t="s">
        <v>2088</v>
      </c>
      <c r="D936" s="1" t="s">
        <v>12</v>
      </c>
      <c r="E936" s="1">
        <v>8085</v>
      </c>
      <c r="F936" s="1" t="s">
        <v>137</v>
      </c>
      <c r="G936" s="1">
        <v>9228.11</v>
      </c>
      <c r="H936" s="1">
        <v>2.4700000000000002</v>
      </c>
    </row>
    <row r="937" spans="1:8">
      <c r="A937" s="1" t="s">
        <v>2089</v>
      </c>
      <c r="B937" s="1" t="s">
        <v>2090</v>
      </c>
      <c r="C937" s="1" t="s">
        <v>2088</v>
      </c>
      <c r="D937" s="1" t="s">
        <v>12</v>
      </c>
      <c r="E937" s="1">
        <v>9090</v>
      </c>
      <c r="F937" s="1" t="s">
        <v>137</v>
      </c>
      <c r="G937" s="1">
        <v>8635.8799999999992</v>
      </c>
      <c r="H937" s="1">
        <v>2.97</v>
      </c>
    </row>
    <row r="938" spans="1:8">
      <c r="A938" s="1" t="s">
        <v>2091</v>
      </c>
      <c r="B938" s="1" t="s">
        <v>2092</v>
      </c>
      <c r="C938" s="1" t="s">
        <v>2088</v>
      </c>
      <c r="D938" s="1" t="s">
        <v>12</v>
      </c>
      <c r="E938" s="1">
        <v>19608</v>
      </c>
      <c r="F938" s="1" t="s">
        <v>137</v>
      </c>
      <c r="G938" s="1">
        <v>14056.12</v>
      </c>
      <c r="H938" s="1">
        <v>3.94</v>
      </c>
    </row>
    <row r="939" spans="1:8">
      <c r="A939" s="1" t="s">
        <v>2093</v>
      </c>
      <c r="B939" s="1" t="s">
        <v>2094</v>
      </c>
      <c r="C939" s="1" t="s">
        <v>2088</v>
      </c>
      <c r="D939" s="1" t="s">
        <v>12</v>
      </c>
      <c r="E939" s="1">
        <v>16455</v>
      </c>
      <c r="F939" s="1" t="s">
        <v>137</v>
      </c>
      <c r="G939" s="1">
        <v>10316.85</v>
      </c>
      <c r="H939" s="1">
        <v>4.51</v>
      </c>
    </row>
    <row r="940" spans="1:8">
      <c r="A940" s="1" t="s">
        <v>2095</v>
      </c>
      <c r="B940" s="1" t="s">
        <v>2096</v>
      </c>
      <c r="C940" s="1" t="s">
        <v>1963</v>
      </c>
      <c r="D940" s="1" t="s">
        <v>12</v>
      </c>
      <c r="E940" s="1">
        <v>5581</v>
      </c>
      <c r="F940" s="1" t="s">
        <v>137</v>
      </c>
      <c r="G940" s="1">
        <v>12409.76</v>
      </c>
      <c r="H940" s="1">
        <v>1.27</v>
      </c>
    </row>
    <row r="941" spans="1:8">
      <c r="A941" s="1" t="s">
        <v>2097</v>
      </c>
      <c r="B941" s="1" t="s">
        <v>2098</v>
      </c>
      <c r="C941" s="1" t="s">
        <v>1963</v>
      </c>
      <c r="D941" s="1" t="s">
        <v>12</v>
      </c>
      <c r="E941" s="1">
        <v>9059</v>
      </c>
      <c r="F941" s="1" t="s">
        <v>137</v>
      </c>
      <c r="G941" s="1">
        <v>11509.36</v>
      </c>
      <c r="H941" s="1">
        <v>2.2200000000000002</v>
      </c>
    </row>
    <row r="942" spans="1:8">
      <c r="A942" s="1" t="s">
        <v>2099</v>
      </c>
      <c r="B942" s="1" t="s">
        <v>2100</v>
      </c>
      <c r="C942" s="1" t="s">
        <v>1963</v>
      </c>
      <c r="D942" s="1" t="s">
        <v>12</v>
      </c>
      <c r="E942" s="1">
        <v>11544</v>
      </c>
      <c r="F942" s="1" t="s">
        <v>137</v>
      </c>
      <c r="G942" s="1">
        <v>12331.37</v>
      </c>
      <c r="H942" s="1">
        <v>2.64</v>
      </c>
    </row>
    <row r="943" spans="1:8">
      <c r="A943" s="1" t="s">
        <v>2101</v>
      </c>
      <c r="B943" s="1" t="s">
        <v>2102</v>
      </c>
      <c r="C943" s="1" t="s">
        <v>1963</v>
      </c>
      <c r="D943" s="1" t="s">
        <v>12</v>
      </c>
      <c r="E943" s="1">
        <v>7157</v>
      </c>
      <c r="F943" s="1" t="s">
        <v>137</v>
      </c>
      <c r="G943" s="1">
        <v>11281.85</v>
      </c>
      <c r="H943" s="1">
        <v>1.79</v>
      </c>
    </row>
    <row r="944" spans="1:8">
      <c r="A944" s="1" t="s">
        <v>2103</v>
      </c>
      <c r="B944" s="1" t="s">
        <v>2104</v>
      </c>
      <c r="C944" s="1" t="s">
        <v>1963</v>
      </c>
      <c r="D944" s="1" t="s">
        <v>12</v>
      </c>
      <c r="E944" s="1">
        <v>7305</v>
      </c>
      <c r="F944" s="1" t="s">
        <v>137</v>
      </c>
      <c r="G944" s="1">
        <v>11644.13</v>
      </c>
      <c r="H944" s="1">
        <v>1.77</v>
      </c>
    </row>
    <row r="945" spans="1:8">
      <c r="A945" s="1" t="s">
        <v>2105</v>
      </c>
      <c r="B945" s="1" t="s">
        <v>2106</v>
      </c>
      <c r="C945" s="1" t="s">
        <v>1963</v>
      </c>
      <c r="D945" s="1" t="s">
        <v>12</v>
      </c>
      <c r="E945" s="1">
        <v>11030</v>
      </c>
      <c r="F945" s="1" t="s">
        <v>137</v>
      </c>
      <c r="G945" s="1">
        <v>10545.54</v>
      </c>
      <c r="H945" s="1">
        <v>2.95</v>
      </c>
    </row>
    <row r="946" spans="1:8">
      <c r="A946" s="1" t="s">
        <v>2107</v>
      </c>
      <c r="B946" s="1" t="s">
        <v>2108</v>
      </c>
      <c r="C946" s="1" t="s">
        <v>1963</v>
      </c>
      <c r="D946" s="1" t="s">
        <v>12</v>
      </c>
      <c r="E946" s="1">
        <v>11957</v>
      </c>
      <c r="F946" s="1" t="s">
        <v>137</v>
      </c>
      <c r="G946" s="1">
        <v>9673.43</v>
      </c>
      <c r="H946" s="1">
        <v>3.49</v>
      </c>
    </row>
    <row r="947" spans="1:8">
      <c r="A947" s="1" t="s">
        <v>2109</v>
      </c>
      <c r="B947" s="1" t="s">
        <v>2110</v>
      </c>
      <c r="C947" s="1" t="s">
        <v>1963</v>
      </c>
      <c r="D947" s="1" t="s">
        <v>12</v>
      </c>
      <c r="E947" s="1">
        <v>7420</v>
      </c>
      <c r="F947" s="1" t="s">
        <v>137</v>
      </c>
      <c r="G947" s="1">
        <v>10319.129999999999</v>
      </c>
      <c r="H947" s="1">
        <v>2.0299999999999998</v>
      </c>
    </row>
    <row r="948" spans="1:8">
      <c r="A948" s="1" t="s">
        <v>2111</v>
      </c>
      <c r="B948" s="1" t="s">
        <v>2112</v>
      </c>
      <c r="C948" s="1" t="s">
        <v>1963</v>
      </c>
      <c r="D948" s="1" t="s">
        <v>12</v>
      </c>
      <c r="E948" s="1">
        <v>5131</v>
      </c>
      <c r="F948" s="1" t="s">
        <v>137</v>
      </c>
      <c r="G948" s="1">
        <v>8227.35</v>
      </c>
      <c r="H948" s="1">
        <v>1.76</v>
      </c>
    </row>
    <row r="949" spans="1:8">
      <c r="A949" s="1" t="s">
        <v>2113</v>
      </c>
      <c r="B949" s="1" t="s">
        <v>2114</v>
      </c>
      <c r="C949" s="1" t="s">
        <v>1963</v>
      </c>
      <c r="D949" s="1" t="s">
        <v>12</v>
      </c>
      <c r="E949" s="1">
        <v>12236</v>
      </c>
      <c r="F949" s="1" t="s">
        <v>137</v>
      </c>
      <c r="G949" s="1">
        <v>10999.04</v>
      </c>
      <c r="H949" s="1">
        <v>3.14</v>
      </c>
    </row>
    <row r="950" spans="1:8">
      <c r="A950" s="1" t="s">
        <v>2115</v>
      </c>
      <c r="B950" s="1" t="s">
        <v>2116</v>
      </c>
      <c r="C950" s="1" t="s">
        <v>1963</v>
      </c>
      <c r="D950" s="1" t="s">
        <v>12</v>
      </c>
      <c r="E950" s="1">
        <v>6921</v>
      </c>
      <c r="F950" s="1" t="s">
        <v>137</v>
      </c>
      <c r="G950" s="1">
        <v>10862.13</v>
      </c>
      <c r="H950" s="1">
        <v>1.8</v>
      </c>
    </row>
    <row r="951" spans="1:8">
      <c r="A951" s="1" t="s">
        <v>2117</v>
      </c>
      <c r="B951" s="1" t="s">
        <v>2118</v>
      </c>
      <c r="C951" s="1" t="s">
        <v>1963</v>
      </c>
      <c r="D951" s="1" t="s">
        <v>12</v>
      </c>
      <c r="E951" s="1">
        <v>6657</v>
      </c>
      <c r="F951" s="1" t="s">
        <v>137</v>
      </c>
      <c r="G951" s="1">
        <v>9893.32</v>
      </c>
      <c r="H951" s="1">
        <v>1.9</v>
      </c>
    </row>
    <row r="952" spans="1:8">
      <c r="A952" s="1" t="s">
        <v>2119</v>
      </c>
      <c r="B952" s="1" t="s">
        <v>2120</v>
      </c>
      <c r="C952" s="1" t="s">
        <v>1963</v>
      </c>
      <c r="D952" s="1" t="s">
        <v>12</v>
      </c>
      <c r="E952" s="1">
        <v>6003</v>
      </c>
      <c r="F952" s="1" t="s">
        <v>137</v>
      </c>
      <c r="G952" s="1">
        <v>9041.99</v>
      </c>
      <c r="H952" s="1">
        <v>1.88</v>
      </c>
    </row>
    <row r="953" spans="1:8">
      <c r="A953" s="1" t="s">
        <v>2121</v>
      </c>
      <c r="B953" s="1" t="s">
        <v>2122</v>
      </c>
      <c r="C953" s="1" t="s">
        <v>1963</v>
      </c>
      <c r="D953" s="1" t="s">
        <v>12</v>
      </c>
      <c r="E953" s="1">
        <v>8960</v>
      </c>
      <c r="F953" s="1" t="s">
        <v>137</v>
      </c>
      <c r="G953" s="1">
        <v>13824.2</v>
      </c>
      <c r="H953" s="1">
        <v>1.83</v>
      </c>
    </row>
    <row r="954" spans="1:8">
      <c r="A954" s="1" t="s">
        <v>2123</v>
      </c>
      <c r="B954" s="1" t="s">
        <v>2124</v>
      </c>
      <c r="C954" s="1" t="s">
        <v>1963</v>
      </c>
      <c r="D954" s="1" t="s">
        <v>12</v>
      </c>
      <c r="E954" s="1">
        <v>9434</v>
      </c>
      <c r="F954" s="1" t="s">
        <v>137</v>
      </c>
      <c r="G954" s="1">
        <v>9375.02</v>
      </c>
      <c r="H954" s="1">
        <v>2.84</v>
      </c>
    </row>
    <row r="955" spans="1:8">
      <c r="A955" s="1" t="s">
        <v>2125</v>
      </c>
      <c r="B955" s="1" t="s">
        <v>2126</v>
      </c>
      <c r="C955" s="1" t="s">
        <v>1963</v>
      </c>
      <c r="D955" s="1" t="s">
        <v>12</v>
      </c>
      <c r="E955" s="1">
        <v>3927</v>
      </c>
      <c r="F955" s="1" t="s">
        <v>137</v>
      </c>
      <c r="G955" s="1">
        <v>5009.6099999999997</v>
      </c>
      <c r="H955" s="1">
        <v>2.21</v>
      </c>
    </row>
    <row r="956" spans="1:8">
      <c r="A956" s="1" t="s">
        <v>2127</v>
      </c>
      <c r="B956" s="1" t="s">
        <v>2128</v>
      </c>
      <c r="C956" s="1" t="s">
        <v>1963</v>
      </c>
      <c r="D956" s="1" t="s">
        <v>12</v>
      </c>
      <c r="E956" s="1">
        <v>7993</v>
      </c>
      <c r="F956" s="1" t="s">
        <v>137</v>
      </c>
      <c r="G956" s="1">
        <v>10712.96</v>
      </c>
      <c r="H956" s="1">
        <v>2.11</v>
      </c>
    </row>
    <row r="957" spans="1:8">
      <c r="A957" s="1" t="s">
        <v>2129</v>
      </c>
      <c r="B957" s="1" t="s">
        <v>2130</v>
      </c>
      <c r="C957" s="1" t="s">
        <v>1963</v>
      </c>
      <c r="D957" s="1" t="s">
        <v>12</v>
      </c>
      <c r="E957" s="1">
        <v>40593</v>
      </c>
      <c r="F957" s="1" t="s">
        <v>137</v>
      </c>
      <c r="G957" s="1">
        <v>12184.3</v>
      </c>
      <c r="H957" s="1">
        <v>9.41</v>
      </c>
    </row>
    <row r="958" spans="1:8">
      <c r="A958" s="1" t="s">
        <v>2131</v>
      </c>
      <c r="B958" s="1" t="s">
        <v>2132</v>
      </c>
      <c r="C958" s="1" t="s">
        <v>1963</v>
      </c>
      <c r="D958" s="1" t="s">
        <v>12</v>
      </c>
      <c r="E958" s="1">
        <v>6857</v>
      </c>
      <c r="F958" s="1" t="s">
        <v>137</v>
      </c>
      <c r="G958" s="1">
        <v>9374.23</v>
      </c>
      <c r="H958" s="1">
        <v>2.0699999999999998</v>
      </c>
    </row>
    <row r="959" spans="1:8">
      <c r="A959" s="1" t="s">
        <v>2133</v>
      </c>
      <c r="B959" s="1" t="s">
        <v>2134</v>
      </c>
      <c r="C959" s="1" t="s">
        <v>1963</v>
      </c>
      <c r="D959" s="1" t="s">
        <v>12</v>
      </c>
      <c r="E959" s="1">
        <v>6405</v>
      </c>
      <c r="F959" s="1" t="s">
        <v>137</v>
      </c>
      <c r="G959" s="1">
        <v>7959.93</v>
      </c>
      <c r="H959" s="1">
        <v>2.27</v>
      </c>
    </row>
    <row r="960" spans="1:8">
      <c r="A960" s="1" t="s">
        <v>2135</v>
      </c>
      <c r="B960" s="1" t="s">
        <v>2136</v>
      </c>
      <c r="C960" s="1" t="s">
        <v>2137</v>
      </c>
      <c r="D960" s="1" t="s">
        <v>12</v>
      </c>
      <c r="E960" s="1">
        <v>8713</v>
      </c>
      <c r="F960" s="1" t="s">
        <v>137</v>
      </c>
      <c r="G960" s="1">
        <v>11796.91</v>
      </c>
      <c r="H960" s="1">
        <v>2.09</v>
      </c>
    </row>
    <row r="961" spans="1:8">
      <c r="A961" s="1" t="s">
        <v>2138</v>
      </c>
      <c r="B961" s="1" t="s">
        <v>2139</v>
      </c>
      <c r="C961" s="1" t="s">
        <v>2140</v>
      </c>
      <c r="D961" s="1" t="s">
        <v>12</v>
      </c>
      <c r="E961" s="1">
        <v>8209</v>
      </c>
      <c r="F961" s="1" t="s">
        <v>13</v>
      </c>
      <c r="G961" s="1">
        <v>5113.55</v>
      </c>
      <c r="H961" s="1">
        <v>7.3</v>
      </c>
    </row>
    <row r="962" spans="1:8">
      <c r="A962" s="1" t="s">
        <v>2141</v>
      </c>
      <c r="B962" s="1" t="s">
        <v>2142</v>
      </c>
      <c r="C962" s="1" t="s">
        <v>1963</v>
      </c>
      <c r="D962" s="1" t="s">
        <v>12</v>
      </c>
      <c r="E962" s="1">
        <v>4697</v>
      </c>
      <c r="F962" s="1" t="s">
        <v>137</v>
      </c>
      <c r="G962" s="1">
        <v>7173.85</v>
      </c>
      <c r="H962" s="1">
        <v>1.85</v>
      </c>
    </row>
    <row r="963" spans="1:8">
      <c r="A963" s="1" t="s">
        <v>2143</v>
      </c>
      <c r="B963" s="1" t="s">
        <v>2144</v>
      </c>
      <c r="C963" s="1" t="s">
        <v>1963</v>
      </c>
      <c r="D963" s="1" t="s">
        <v>12</v>
      </c>
      <c r="E963" s="1">
        <v>6957</v>
      </c>
      <c r="F963" s="1" t="s">
        <v>137</v>
      </c>
      <c r="G963" s="1">
        <v>8305.77</v>
      </c>
      <c r="H963" s="1">
        <v>2.37</v>
      </c>
    </row>
    <row r="964" spans="1:8">
      <c r="A964" s="1" t="s">
        <v>2145</v>
      </c>
      <c r="B964" s="1" t="s">
        <v>2146</v>
      </c>
      <c r="C964" s="1" t="s">
        <v>2147</v>
      </c>
      <c r="D964" s="1" t="s">
        <v>12</v>
      </c>
      <c r="E964" s="1">
        <v>10205</v>
      </c>
      <c r="F964" s="1" t="s">
        <v>137</v>
      </c>
      <c r="G964" s="1">
        <v>5823.32</v>
      </c>
      <c r="H964" s="1">
        <v>4.95</v>
      </c>
    </row>
    <row r="965" spans="1:8">
      <c r="A965" s="1" t="s">
        <v>2148</v>
      </c>
      <c r="B965" s="1" t="s">
        <v>2149</v>
      </c>
      <c r="C965" s="1" t="s">
        <v>2147</v>
      </c>
      <c r="D965" s="1" t="s">
        <v>12</v>
      </c>
      <c r="E965" s="1">
        <v>5465</v>
      </c>
      <c r="F965" s="1" t="s">
        <v>137</v>
      </c>
      <c r="G965" s="1">
        <v>5424.89</v>
      </c>
      <c r="H965" s="1">
        <v>2.85</v>
      </c>
    </row>
    <row r="966" spans="1:8">
      <c r="A966" s="1" t="s">
        <v>2150</v>
      </c>
      <c r="B966" s="1" t="s">
        <v>2151</v>
      </c>
      <c r="C966" s="1" t="s">
        <v>1990</v>
      </c>
      <c r="D966" s="1" t="s">
        <v>12</v>
      </c>
      <c r="E966" s="1">
        <v>486</v>
      </c>
      <c r="F966" s="1" t="s">
        <v>137</v>
      </c>
      <c r="G966" s="1">
        <v>779.56</v>
      </c>
      <c r="H966" s="1">
        <v>1.76</v>
      </c>
    </row>
    <row r="967" spans="1:8">
      <c r="A967" s="1" t="s">
        <v>2152</v>
      </c>
      <c r="B967" s="1" t="s">
        <v>2153</v>
      </c>
      <c r="C967" s="1" t="s">
        <v>2154</v>
      </c>
      <c r="D967" s="1" t="s">
        <v>12</v>
      </c>
      <c r="E967" s="1">
        <v>1384</v>
      </c>
      <c r="F967" s="1" t="s">
        <v>137</v>
      </c>
      <c r="G967" s="1">
        <v>699.51</v>
      </c>
      <c r="H967" s="1">
        <v>5.59</v>
      </c>
    </row>
    <row r="968" spans="1:8">
      <c r="A968" s="1" t="s">
        <v>2155</v>
      </c>
      <c r="B968" s="1" t="s">
        <v>2156</v>
      </c>
      <c r="C968" s="1" t="s">
        <v>2154</v>
      </c>
      <c r="D968" s="1" t="s">
        <v>12</v>
      </c>
      <c r="E968" s="1">
        <v>858</v>
      </c>
      <c r="F968" s="1" t="s">
        <v>137</v>
      </c>
      <c r="G968" s="1">
        <v>691.99</v>
      </c>
      <c r="H968" s="1">
        <v>3.5</v>
      </c>
    </row>
    <row r="969" spans="1:8">
      <c r="A969" s="1" t="s">
        <v>2157</v>
      </c>
      <c r="B969" s="1" t="s">
        <v>2158</v>
      </c>
      <c r="C969" s="1" t="s">
        <v>1990</v>
      </c>
      <c r="D969" s="1" t="s">
        <v>12</v>
      </c>
      <c r="E969" s="1">
        <v>634</v>
      </c>
      <c r="F969" s="1" t="s">
        <v>137</v>
      </c>
      <c r="G969" s="1">
        <v>679.71</v>
      </c>
      <c r="H969" s="1">
        <v>2.63</v>
      </c>
    </row>
    <row r="970" spans="1:8">
      <c r="A970" s="1" t="s">
        <v>2159</v>
      </c>
      <c r="B970" s="1" t="s">
        <v>2160</v>
      </c>
      <c r="C970" s="1" t="s">
        <v>2161</v>
      </c>
      <c r="D970" s="1" t="s">
        <v>12</v>
      </c>
      <c r="E970" s="1">
        <v>678</v>
      </c>
      <c r="F970" s="1" t="s">
        <v>137</v>
      </c>
      <c r="G970" s="1">
        <v>709.77</v>
      </c>
      <c r="H970" s="1">
        <v>2.7</v>
      </c>
    </row>
    <row r="971" spans="1:8">
      <c r="A971" s="1" t="s">
        <v>2162</v>
      </c>
      <c r="B971" s="1" t="s">
        <v>2163</v>
      </c>
      <c r="C971" s="1" t="s">
        <v>1999</v>
      </c>
      <c r="D971" s="1" t="s">
        <v>12</v>
      </c>
      <c r="E971" s="1">
        <v>346</v>
      </c>
      <c r="F971" s="1" t="s">
        <v>137</v>
      </c>
      <c r="G971" s="1">
        <v>402.74</v>
      </c>
      <c r="H971" s="1">
        <v>2.4300000000000002</v>
      </c>
    </row>
    <row r="972" spans="1:8">
      <c r="A972" s="1" t="s">
        <v>2164</v>
      </c>
      <c r="B972" s="1" t="s">
        <v>2165</v>
      </c>
      <c r="C972" s="1" t="s">
        <v>1999</v>
      </c>
      <c r="D972" s="1" t="s">
        <v>12</v>
      </c>
      <c r="E972" s="1">
        <v>260</v>
      </c>
      <c r="F972" s="1" t="s">
        <v>137</v>
      </c>
      <c r="G972" s="1">
        <v>357.21</v>
      </c>
      <c r="H972" s="1">
        <v>2.06</v>
      </c>
    </row>
    <row r="973" spans="1:8">
      <c r="A973" s="1" t="s">
        <v>2166</v>
      </c>
      <c r="B973" s="1" t="s">
        <v>2167</v>
      </c>
      <c r="C973" s="1" t="s">
        <v>1999</v>
      </c>
      <c r="D973" s="1" t="s">
        <v>12</v>
      </c>
      <c r="E973" s="1">
        <v>796</v>
      </c>
      <c r="F973" s="1" t="s">
        <v>137</v>
      </c>
      <c r="G973" s="1">
        <v>572.95000000000005</v>
      </c>
      <c r="H973" s="1">
        <v>3.92</v>
      </c>
    </row>
    <row r="974" spans="1:8">
      <c r="A974" s="1" t="s">
        <v>2168</v>
      </c>
      <c r="B974" s="1" t="s">
        <v>2169</v>
      </c>
      <c r="C974" s="1" t="s">
        <v>2170</v>
      </c>
      <c r="D974" s="1" t="s">
        <v>12</v>
      </c>
      <c r="E974" s="1">
        <v>3387</v>
      </c>
      <c r="F974" s="1" t="s">
        <v>137</v>
      </c>
      <c r="G974" s="1">
        <v>1961.37</v>
      </c>
      <c r="H974" s="1">
        <v>4.88</v>
      </c>
    </row>
    <row r="975" spans="1:8">
      <c r="A975" s="1" t="s">
        <v>2171</v>
      </c>
      <c r="B975" s="1" t="s">
        <v>2172</v>
      </c>
      <c r="C975" s="1" t="s">
        <v>2173</v>
      </c>
      <c r="D975" s="1" t="s">
        <v>12</v>
      </c>
      <c r="E975" s="1">
        <v>9407</v>
      </c>
      <c r="F975" s="1" t="s">
        <v>137</v>
      </c>
      <c r="G975" s="1">
        <v>5739.47</v>
      </c>
      <c r="H975" s="1">
        <v>4.63</v>
      </c>
    </row>
    <row r="976" spans="1:8">
      <c r="A976" s="1" t="s">
        <v>2174</v>
      </c>
      <c r="B976" s="1" t="s">
        <v>2175</v>
      </c>
      <c r="C976" s="1" t="s">
        <v>2173</v>
      </c>
      <c r="D976" s="1" t="s">
        <v>12</v>
      </c>
      <c r="E976" s="1">
        <v>13477</v>
      </c>
      <c r="F976" s="1" t="s">
        <v>137</v>
      </c>
      <c r="G976" s="1">
        <v>10946.3</v>
      </c>
      <c r="H976" s="1">
        <v>3.48</v>
      </c>
    </row>
    <row r="977" spans="1:8">
      <c r="A977" s="1" t="s">
        <v>2176</v>
      </c>
      <c r="B977" s="1" t="s">
        <v>2177</v>
      </c>
      <c r="C977" s="1" t="s">
        <v>2173</v>
      </c>
      <c r="D977" s="1" t="s">
        <v>12</v>
      </c>
      <c r="E977" s="1">
        <v>15339</v>
      </c>
      <c r="F977" s="1" t="s">
        <v>137</v>
      </c>
      <c r="G977" s="1">
        <v>8793.5400000000009</v>
      </c>
      <c r="H977" s="1">
        <v>4.93</v>
      </c>
    </row>
    <row r="978" spans="1:8">
      <c r="A978" s="1" t="s">
        <v>2178</v>
      </c>
      <c r="B978" s="1" t="s">
        <v>2179</v>
      </c>
      <c r="C978" s="1" t="s">
        <v>2180</v>
      </c>
      <c r="D978" s="1" t="s">
        <v>12</v>
      </c>
      <c r="E978" s="1">
        <v>29183</v>
      </c>
      <c r="F978" s="1" t="s">
        <v>137</v>
      </c>
      <c r="G978" s="1">
        <v>14208.23</v>
      </c>
      <c r="H978" s="1">
        <v>5.8</v>
      </c>
    </row>
    <row r="979" spans="1:8">
      <c r="A979" s="1" t="s">
        <v>2181</v>
      </c>
      <c r="B979" s="1" t="s">
        <v>2182</v>
      </c>
      <c r="C979" s="1" t="s">
        <v>2183</v>
      </c>
      <c r="D979" s="1" t="s">
        <v>12</v>
      </c>
      <c r="E979" s="1">
        <v>18109</v>
      </c>
      <c r="F979" s="1" t="s">
        <v>137</v>
      </c>
      <c r="G979" s="1">
        <v>9314.83</v>
      </c>
      <c r="H979" s="1">
        <v>5.49</v>
      </c>
    </row>
    <row r="980" spans="1:8">
      <c r="A980" s="1" t="s">
        <v>2184</v>
      </c>
      <c r="B980" s="1" t="s">
        <v>2185</v>
      </c>
      <c r="C980" s="1" t="s">
        <v>2183</v>
      </c>
      <c r="D980" s="1" t="s">
        <v>12</v>
      </c>
      <c r="E980" s="1">
        <v>15489</v>
      </c>
      <c r="F980" s="1" t="s">
        <v>137</v>
      </c>
      <c r="G980" s="1">
        <v>8502.7199999999993</v>
      </c>
      <c r="H980" s="1">
        <v>5.15</v>
      </c>
    </row>
    <row r="981" spans="1:8">
      <c r="A981" s="1" t="s">
        <v>2186</v>
      </c>
      <c r="B981" s="1" t="s">
        <v>2187</v>
      </c>
      <c r="C981" s="1" t="s">
        <v>2183</v>
      </c>
      <c r="D981" s="1" t="s">
        <v>12</v>
      </c>
      <c r="E981" s="1">
        <v>21677</v>
      </c>
      <c r="F981" s="1" t="s">
        <v>137</v>
      </c>
      <c r="G981" s="1">
        <v>10731.77</v>
      </c>
      <c r="H981" s="1">
        <v>5.71</v>
      </c>
    </row>
    <row r="982" spans="1:8">
      <c r="A982" s="1" t="s">
        <v>2188</v>
      </c>
      <c r="B982" s="1" t="s">
        <v>2189</v>
      </c>
      <c r="C982" s="1" t="s">
        <v>2183</v>
      </c>
      <c r="D982" s="1" t="s">
        <v>12</v>
      </c>
      <c r="E982" s="1">
        <v>17870</v>
      </c>
      <c r="F982" s="1" t="s">
        <v>137</v>
      </c>
      <c r="G982" s="1">
        <v>9633.02</v>
      </c>
      <c r="H982" s="1">
        <v>5.24</v>
      </c>
    </row>
    <row r="983" spans="1:8">
      <c r="A983" s="1" t="s">
        <v>2190</v>
      </c>
      <c r="B983" s="1" t="s">
        <v>2191</v>
      </c>
      <c r="C983" s="1" t="s">
        <v>2192</v>
      </c>
      <c r="D983" s="1" t="s">
        <v>12</v>
      </c>
      <c r="E983" s="1">
        <v>22744</v>
      </c>
      <c r="F983" s="1" t="s">
        <v>137</v>
      </c>
      <c r="G983" s="1">
        <v>12293.85</v>
      </c>
      <c r="H983" s="1">
        <v>5.23</v>
      </c>
    </row>
    <row r="984" spans="1:8">
      <c r="A984" s="1" t="s">
        <v>2193</v>
      </c>
      <c r="B984" s="1" t="s">
        <v>2194</v>
      </c>
      <c r="C984" s="1" t="s">
        <v>2195</v>
      </c>
      <c r="D984" s="1" t="s">
        <v>12</v>
      </c>
      <c r="E984" s="1">
        <v>4585</v>
      </c>
      <c r="F984" s="1" t="s">
        <v>137</v>
      </c>
      <c r="G984" s="1">
        <v>1729.41</v>
      </c>
      <c r="H984" s="1">
        <v>7.49</v>
      </c>
    </row>
    <row r="985" spans="1:8">
      <c r="A985" s="1" t="s">
        <v>2196</v>
      </c>
      <c r="B985" s="1" t="s">
        <v>2197</v>
      </c>
      <c r="C985" s="1" t="s">
        <v>2195</v>
      </c>
      <c r="D985" s="1" t="s">
        <v>12</v>
      </c>
      <c r="E985" s="1">
        <v>6366</v>
      </c>
      <c r="F985" s="1" t="s">
        <v>137</v>
      </c>
      <c r="G985" s="1">
        <v>1394.66</v>
      </c>
      <c r="H985" s="1">
        <v>12.89</v>
      </c>
    </row>
    <row r="986" spans="1:8">
      <c r="A986" s="1" t="s">
        <v>2198</v>
      </c>
      <c r="B986" s="1" t="s">
        <v>2199</v>
      </c>
      <c r="C986" s="1" t="s">
        <v>2195</v>
      </c>
      <c r="D986" s="1" t="s">
        <v>12</v>
      </c>
      <c r="E986" s="1">
        <v>5256</v>
      </c>
      <c r="F986" s="1" t="s">
        <v>137</v>
      </c>
      <c r="G986" s="1">
        <v>2082.21</v>
      </c>
      <c r="H986" s="1">
        <v>7.13</v>
      </c>
    </row>
    <row r="987" spans="1:8">
      <c r="A987" s="1" t="s">
        <v>2200</v>
      </c>
      <c r="B987" s="1" t="s">
        <v>2201</v>
      </c>
      <c r="C987" s="1" t="s">
        <v>518</v>
      </c>
      <c r="D987" s="1" t="s">
        <v>12</v>
      </c>
      <c r="E987" s="1">
        <v>7105</v>
      </c>
      <c r="F987" s="1" t="s">
        <v>13</v>
      </c>
      <c r="G987" s="1">
        <v>2995.13</v>
      </c>
      <c r="H987" s="1">
        <v>10.78</v>
      </c>
    </row>
    <row r="988" spans="1:8">
      <c r="A988" s="1" t="s">
        <v>2202</v>
      </c>
      <c r="B988" s="1" t="s">
        <v>2203</v>
      </c>
      <c r="C988" s="1" t="s">
        <v>2195</v>
      </c>
      <c r="D988" s="1" t="s">
        <v>12</v>
      </c>
      <c r="E988" s="1">
        <v>7246</v>
      </c>
      <c r="F988" s="1" t="s">
        <v>137</v>
      </c>
      <c r="G988" s="1">
        <v>2501.44</v>
      </c>
      <c r="H988" s="1">
        <v>8.18</v>
      </c>
    </row>
    <row r="989" spans="1:8">
      <c r="A989" s="1" t="s">
        <v>2204</v>
      </c>
      <c r="B989" s="1" t="s">
        <v>2205</v>
      </c>
      <c r="C989" s="1" t="s">
        <v>2195</v>
      </c>
      <c r="D989" s="1" t="s">
        <v>12</v>
      </c>
      <c r="E989" s="1">
        <v>9689</v>
      </c>
      <c r="F989" s="1" t="s">
        <v>137</v>
      </c>
      <c r="G989" s="1">
        <v>4195.8999999999996</v>
      </c>
      <c r="H989" s="1">
        <v>6.52</v>
      </c>
    </row>
    <row r="990" spans="1:8">
      <c r="A990" s="1" t="s">
        <v>2206</v>
      </c>
      <c r="B990" s="1" t="s">
        <v>2207</v>
      </c>
      <c r="C990" s="1" t="s">
        <v>2195</v>
      </c>
      <c r="D990" s="1" t="s">
        <v>12</v>
      </c>
      <c r="E990" s="1">
        <v>9848</v>
      </c>
      <c r="F990" s="1" t="s">
        <v>137</v>
      </c>
      <c r="G990" s="1">
        <v>4097.28</v>
      </c>
      <c r="H990" s="1">
        <v>6.79</v>
      </c>
    </row>
    <row r="991" spans="1:8">
      <c r="A991" s="1" t="s">
        <v>2208</v>
      </c>
      <c r="B991" s="1" t="s">
        <v>2209</v>
      </c>
      <c r="C991" s="1" t="s">
        <v>2195</v>
      </c>
      <c r="D991" s="1" t="s">
        <v>12</v>
      </c>
      <c r="E991" s="1">
        <v>6649</v>
      </c>
      <c r="F991" s="1" t="s">
        <v>137</v>
      </c>
      <c r="G991" s="1">
        <v>1575.79</v>
      </c>
      <c r="H991" s="1">
        <v>11.92</v>
      </c>
    </row>
    <row r="992" spans="1:8">
      <c r="A992" s="1" t="s">
        <v>2210</v>
      </c>
      <c r="B992" s="1" t="s">
        <v>2211</v>
      </c>
      <c r="C992" s="1" t="s">
        <v>2212</v>
      </c>
      <c r="D992" s="1" t="s">
        <v>12</v>
      </c>
      <c r="E992" s="1">
        <v>9125</v>
      </c>
      <c r="F992" s="1" t="s">
        <v>137</v>
      </c>
      <c r="G992" s="1">
        <v>3552.36</v>
      </c>
      <c r="H992" s="1">
        <v>7.26</v>
      </c>
    </row>
    <row r="993" spans="1:8">
      <c r="A993" s="1" t="s">
        <v>2213</v>
      </c>
      <c r="B993" s="1" t="s">
        <v>2214</v>
      </c>
      <c r="C993" s="1" t="s">
        <v>2212</v>
      </c>
      <c r="D993" s="1" t="s">
        <v>12</v>
      </c>
      <c r="E993" s="1">
        <v>5370</v>
      </c>
      <c r="F993" s="1" t="s">
        <v>137</v>
      </c>
      <c r="G993" s="1">
        <v>2226.2199999999998</v>
      </c>
      <c r="H993" s="1">
        <v>6.81</v>
      </c>
    </row>
    <row r="994" spans="1:8">
      <c r="A994" s="1" t="s">
        <v>2215</v>
      </c>
      <c r="B994" s="1" t="s">
        <v>2216</v>
      </c>
      <c r="C994" s="1" t="s">
        <v>2217</v>
      </c>
      <c r="D994" s="1" t="s">
        <v>12</v>
      </c>
      <c r="E994" s="1">
        <v>9741</v>
      </c>
      <c r="F994" s="1" t="s">
        <v>137</v>
      </c>
      <c r="G994" s="1">
        <v>3872.53</v>
      </c>
      <c r="H994" s="1">
        <v>7.11</v>
      </c>
    </row>
    <row r="995" spans="1:8">
      <c r="A995" s="1" t="s">
        <v>2218</v>
      </c>
      <c r="B995" s="1" t="s">
        <v>2219</v>
      </c>
      <c r="C995" s="1" t="s">
        <v>2220</v>
      </c>
      <c r="D995" s="1" t="s">
        <v>12</v>
      </c>
      <c r="E995" s="1">
        <v>6825</v>
      </c>
      <c r="F995" s="1" t="s">
        <v>137</v>
      </c>
      <c r="G995" s="1">
        <v>2284.44</v>
      </c>
      <c r="H995" s="1">
        <v>8.44</v>
      </c>
    </row>
    <row r="996" spans="1:8">
      <c r="A996" s="1" t="s">
        <v>2221</v>
      </c>
      <c r="B996" s="1" t="s">
        <v>2222</v>
      </c>
      <c r="C996" s="1" t="s">
        <v>2223</v>
      </c>
      <c r="D996" s="1" t="s">
        <v>12</v>
      </c>
      <c r="E996" s="1">
        <v>8703</v>
      </c>
      <c r="F996" s="1" t="s">
        <v>137</v>
      </c>
      <c r="G996" s="1">
        <v>3643.3</v>
      </c>
      <c r="H996" s="1">
        <v>6.75</v>
      </c>
    </row>
    <row r="997" spans="1:8">
      <c r="A997" s="1" t="s">
        <v>2224</v>
      </c>
      <c r="B997" s="1" t="s">
        <v>2225</v>
      </c>
      <c r="C997" s="1" t="s">
        <v>2226</v>
      </c>
      <c r="D997" s="1" t="s">
        <v>12</v>
      </c>
      <c r="E997" s="1">
        <v>4180</v>
      </c>
      <c r="F997" s="1" t="s">
        <v>13</v>
      </c>
      <c r="G997" s="1">
        <v>3150.8</v>
      </c>
      <c r="H997" s="1">
        <v>6.03</v>
      </c>
    </row>
    <row r="998" spans="1:8">
      <c r="A998" s="1" t="s">
        <v>2227</v>
      </c>
      <c r="B998" s="1" t="s">
        <v>2228</v>
      </c>
      <c r="C998" s="1" t="s">
        <v>2226</v>
      </c>
      <c r="D998" s="1" t="s">
        <v>12</v>
      </c>
      <c r="E998" s="1">
        <v>2789</v>
      </c>
      <c r="F998" s="1" t="s">
        <v>13</v>
      </c>
      <c r="G998" s="1">
        <v>1638.72</v>
      </c>
      <c r="H998" s="1">
        <v>7.74</v>
      </c>
    </row>
    <row r="999" spans="1:8">
      <c r="A999" s="1" t="s">
        <v>2229</v>
      </c>
      <c r="B999" s="1" t="s">
        <v>2230</v>
      </c>
      <c r="C999" s="1" t="s">
        <v>2226</v>
      </c>
      <c r="D999" s="1" t="s">
        <v>12</v>
      </c>
      <c r="E999" s="1">
        <v>6616</v>
      </c>
      <c r="F999" s="1" t="s">
        <v>13</v>
      </c>
      <c r="G999" s="1">
        <v>3393.94</v>
      </c>
      <c r="H999" s="1">
        <v>8.86</v>
      </c>
    </row>
    <row r="1000" spans="1:8">
      <c r="A1000" s="1" t="s">
        <v>2231</v>
      </c>
      <c r="B1000" s="1" t="s">
        <v>2232</v>
      </c>
      <c r="C1000" s="1" t="s">
        <v>2226</v>
      </c>
      <c r="D1000" s="1" t="s">
        <v>12</v>
      </c>
      <c r="E1000" s="1">
        <v>4812</v>
      </c>
      <c r="F1000" s="1" t="s">
        <v>13</v>
      </c>
      <c r="G1000" s="1">
        <v>2130.94</v>
      </c>
      <c r="H1000" s="1">
        <v>10.27</v>
      </c>
    </row>
    <row r="1001" spans="1:8">
      <c r="A1001" s="1" t="s">
        <v>2233</v>
      </c>
      <c r="B1001" s="1" t="s">
        <v>2234</v>
      </c>
      <c r="C1001" s="1" t="s">
        <v>2226</v>
      </c>
      <c r="D1001" s="1" t="s">
        <v>12</v>
      </c>
      <c r="E1001" s="1">
        <v>1229</v>
      </c>
      <c r="F1001" s="1" t="s">
        <v>13</v>
      </c>
      <c r="G1001" s="1">
        <v>1225.25</v>
      </c>
      <c r="H1001" s="1">
        <v>4.5599999999999996</v>
      </c>
    </row>
    <row r="1002" spans="1:8">
      <c r="A1002" s="1" t="s">
        <v>2235</v>
      </c>
      <c r="B1002" s="1" t="s">
        <v>2236</v>
      </c>
      <c r="C1002" s="1" t="s">
        <v>1958</v>
      </c>
      <c r="D1002" s="1" t="s">
        <v>12</v>
      </c>
      <c r="E1002" s="1">
        <v>4120</v>
      </c>
      <c r="F1002" s="1" t="s">
        <v>137</v>
      </c>
      <c r="G1002" s="1">
        <v>1452.57</v>
      </c>
      <c r="H1002" s="1">
        <v>8.01</v>
      </c>
    </row>
    <row r="1003" spans="1:8">
      <c r="A1003" s="1" t="s">
        <v>2237</v>
      </c>
      <c r="B1003" s="1" t="s">
        <v>2238</v>
      </c>
      <c r="C1003" s="1" t="s">
        <v>1958</v>
      </c>
      <c r="D1003" s="1" t="s">
        <v>12</v>
      </c>
      <c r="E1003" s="1">
        <v>3666</v>
      </c>
      <c r="F1003" s="1" t="s">
        <v>137</v>
      </c>
      <c r="G1003" s="1">
        <v>2208.3000000000002</v>
      </c>
      <c r="H1003" s="1">
        <v>4.6900000000000004</v>
      </c>
    </row>
    <row r="1004" spans="1:8">
      <c r="A1004" s="1" t="s">
        <v>2239</v>
      </c>
      <c r="B1004" s="1" t="s">
        <v>2240</v>
      </c>
      <c r="C1004" s="1" t="s">
        <v>1958</v>
      </c>
      <c r="D1004" s="1" t="s">
        <v>12</v>
      </c>
      <c r="E1004" s="1">
        <v>1792</v>
      </c>
      <c r="F1004" s="1" t="s">
        <v>137</v>
      </c>
      <c r="G1004" s="1">
        <v>1179.77</v>
      </c>
      <c r="H1004" s="1">
        <v>4.29</v>
      </c>
    </row>
    <row r="1005" spans="1:8">
      <c r="A1005" s="1" t="s">
        <v>2241</v>
      </c>
      <c r="B1005" s="1" t="s">
        <v>2242</v>
      </c>
      <c r="C1005" s="1" t="s">
        <v>1958</v>
      </c>
      <c r="D1005" s="1" t="s">
        <v>12</v>
      </c>
      <c r="E1005" s="1">
        <v>5992</v>
      </c>
      <c r="F1005" s="1" t="s">
        <v>137</v>
      </c>
      <c r="G1005" s="1">
        <v>2062.89</v>
      </c>
      <c r="H1005" s="1">
        <v>8.1999999999999993</v>
      </c>
    </row>
    <row r="1006" spans="1:8">
      <c r="A1006" s="1" t="s">
        <v>2243</v>
      </c>
      <c r="B1006" s="1" t="s">
        <v>2244</v>
      </c>
      <c r="C1006" s="1" t="s">
        <v>1958</v>
      </c>
      <c r="D1006" s="1" t="s">
        <v>12</v>
      </c>
      <c r="E1006" s="1">
        <v>1640</v>
      </c>
      <c r="F1006" s="1" t="s">
        <v>137</v>
      </c>
      <c r="G1006" s="1">
        <v>559.63</v>
      </c>
      <c r="H1006" s="1">
        <v>8.2799999999999994</v>
      </c>
    </row>
    <row r="1007" spans="1:8">
      <c r="A1007" s="1" t="s">
        <v>2245</v>
      </c>
      <c r="B1007" s="1" t="s">
        <v>2246</v>
      </c>
      <c r="C1007" s="1" t="s">
        <v>1958</v>
      </c>
      <c r="D1007" s="1" t="s">
        <v>12</v>
      </c>
      <c r="E1007" s="1">
        <v>4847</v>
      </c>
      <c r="F1007" s="1" t="s">
        <v>137</v>
      </c>
      <c r="G1007" s="1">
        <v>2141.12</v>
      </c>
      <c r="H1007" s="1">
        <v>6.4</v>
      </c>
    </row>
    <row r="1008" spans="1:8">
      <c r="A1008" s="1" t="s">
        <v>2247</v>
      </c>
      <c r="B1008" s="1" t="s">
        <v>2248</v>
      </c>
      <c r="C1008" s="1" t="s">
        <v>1958</v>
      </c>
      <c r="D1008" s="1" t="s">
        <v>12</v>
      </c>
      <c r="E1008" s="1">
        <v>5651</v>
      </c>
      <c r="F1008" s="1" t="s">
        <v>137</v>
      </c>
      <c r="G1008" s="1">
        <v>1887.05</v>
      </c>
      <c r="H1008" s="1">
        <v>8.4600000000000009</v>
      </c>
    </row>
    <row r="1009" spans="1:8">
      <c r="A1009" s="1" t="s">
        <v>2249</v>
      </c>
      <c r="B1009" s="1" t="s">
        <v>2250</v>
      </c>
      <c r="C1009" s="1" t="s">
        <v>1958</v>
      </c>
      <c r="D1009" s="1" t="s">
        <v>12</v>
      </c>
      <c r="E1009" s="1">
        <v>5470</v>
      </c>
      <c r="F1009" s="1" t="s">
        <v>137</v>
      </c>
      <c r="G1009" s="1">
        <v>2016.99</v>
      </c>
      <c r="H1009" s="1">
        <v>7.66</v>
      </c>
    </row>
    <row r="1010" spans="1:8">
      <c r="A1010" s="1" t="s">
        <v>2251</v>
      </c>
      <c r="B1010" s="1" t="s">
        <v>2252</v>
      </c>
      <c r="C1010" s="1" t="s">
        <v>1958</v>
      </c>
      <c r="D1010" s="1" t="s">
        <v>12</v>
      </c>
      <c r="E1010" s="1">
        <v>6096</v>
      </c>
      <c r="F1010" s="1" t="s">
        <v>137</v>
      </c>
      <c r="G1010" s="1">
        <v>2325.2800000000002</v>
      </c>
      <c r="H1010" s="1">
        <v>7.41</v>
      </c>
    </row>
    <row r="1011" spans="1:8">
      <c r="A1011" s="1" t="s">
        <v>2253</v>
      </c>
      <c r="B1011" s="1" t="s">
        <v>2254</v>
      </c>
      <c r="C1011" s="1" t="s">
        <v>1958</v>
      </c>
      <c r="D1011" s="1" t="s">
        <v>12</v>
      </c>
      <c r="E1011" s="1">
        <v>4190</v>
      </c>
      <c r="F1011" s="1" t="s">
        <v>137</v>
      </c>
      <c r="G1011" s="1">
        <v>1635.19</v>
      </c>
      <c r="H1011" s="1">
        <v>7.24</v>
      </c>
    </row>
    <row r="1012" spans="1:8">
      <c r="A1012" s="1" t="s">
        <v>2255</v>
      </c>
      <c r="B1012" s="1" t="s">
        <v>2256</v>
      </c>
      <c r="C1012" s="1" t="s">
        <v>1958</v>
      </c>
      <c r="D1012" s="1" t="s">
        <v>12</v>
      </c>
      <c r="E1012" s="1">
        <v>4860</v>
      </c>
      <c r="F1012" s="1" t="s">
        <v>137</v>
      </c>
      <c r="G1012" s="1">
        <v>1786.4</v>
      </c>
      <c r="H1012" s="1">
        <v>7.68</v>
      </c>
    </row>
    <row r="1013" spans="1:8">
      <c r="A1013" s="1" t="s">
        <v>2257</v>
      </c>
      <c r="B1013" s="1" t="s">
        <v>2258</v>
      </c>
      <c r="C1013" s="1" t="s">
        <v>221</v>
      </c>
      <c r="D1013" s="1" t="s">
        <v>12</v>
      </c>
      <c r="E1013" s="1">
        <v>640</v>
      </c>
      <c r="F1013" s="1" t="s">
        <v>13</v>
      </c>
      <c r="G1013" s="1">
        <v>96.65</v>
      </c>
      <c r="H1013" s="1">
        <v>30.1</v>
      </c>
    </row>
    <row r="1014" spans="1:8">
      <c r="A1014" s="1" t="s">
        <v>2259</v>
      </c>
      <c r="B1014" s="1" t="s">
        <v>2260</v>
      </c>
      <c r="C1014" s="1" t="s">
        <v>249</v>
      </c>
      <c r="D1014" s="1" t="s">
        <v>12</v>
      </c>
      <c r="E1014" s="1">
        <v>1735</v>
      </c>
      <c r="F1014" s="1" t="s">
        <v>13</v>
      </c>
      <c r="G1014" s="1">
        <v>383.42</v>
      </c>
      <c r="H1014" s="1">
        <v>20.57</v>
      </c>
    </row>
    <row r="1015" spans="1:8">
      <c r="A1015" s="1" t="s">
        <v>2261</v>
      </c>
      <c r="B1015" s="1" t="s">
        <v>2262</v>
      </c>
      <c r="C1015" s="1" t="s">
        <v>249</v>
      </c>
      <c r="D1015" s="1" t="s">
        <v>12</v>
      </c>
      <c r="E1015" s="1">
        <v>2111</v>
      </c>
      <c r="F1015" s="1" t="s">
        <v>13</v>
      </c>
      <c r="G1015" s="1">
        <v>440.57</v>
      </c>
      <c r="H1015" s="1">
        <v>21.78</v>
      </c>
    </row>
    <row r="1016" spans="1:8">
      <c r="A1016" s="1" t="s">
        <v>2263</v>
      </c>
      <c r="B1016" s="1" t="s">
        <v>2264</v>
      </c>
      <c r="C1016" s="1" t="s">
        <v>249</v>
      </c>
      <c r="D1016" s="1" t="s">
        <v>12</v>
      </c>
      <c r="E1016" s="1">
        <v>814</v>
      </c>
      <c r="F1016" s="1" t="s">
        <v>13</v>
      </c>
      <c r="G1016" s="1">
        <v>200.27</v>
      </c>
      <c r="H1016" s="1">
        <v>18.48</v>
      </c>
    </row>
    <row r="1017" spans="1:8">
      <c r="A1017" s="1" t="s">
        <v>2265</v>
      </c>
      <c r="B1017" s="1" t="s">
        <v>2266</v>
      </c>
      <c r="C1017" s="1" t="s">
        <v>2267</v>
      </c>
      <c r="D1017" s="1" t="s">
        <v>12</v>
      </c>
      <c r="E1017" s="1">
        <v>4423</v>
      </c>
      <c r="F1017" s="1" t="s">
        <v>13</v>
      </c>
      <c r="G1017" s="1">
        <v>485.28</v>
      </c>
      <c r="H1017" s="1">
        <v>41.43</v>
      </c>
    </row>
    <row r="1018" spans="1:8">
      <c r="A1018" s="1" t="s">
        <v>2268</v>
      </c>
      <c r="B1018" s="1" t="s">
        <v>2269</v>
      </c>
      <c r="C1018" s="1" t="s">
        <v>221</v>
      </c>
      <c r="D1018" s="1" t="s">
        <v>12</v>
      </c>
      <c r="E1018" s="1">
        <v>1476</v>
      </c>
      <c r="F1018" s="1" t="s">
        <v>13</v>
      </c>
      <c r="G1018" s="1">
        <v>200.5</v>
      </c>
      <c r="H1018" s="1">
        <v>33.47</v>
      </c>
    </row>
    <row r="1019" spans="1:8">
      <c r="A1019" s="1" t="s">
        <v>2270</v>
      </c>
      <c r="B1019" s="1" t="s">
        <v>2271</v>
      </c>
      <c r="C1019" s="1" t="s">
        <v>1564</v>
      </c>
      <c r="D1019" s="1" t="s">
        <v>12</v>
      </c>
      <c r="E1019" s="1">
        <v>224</v>
      </c>
      <c r="F1019" s="1" t="s">
        <v>13</v>
      </c>
      <c r="G1019" s="1">
        <v>313.08999999999997</v>
      </c>
      <c r="H1019" s="1">
        <v>3.25</v>
      </c>
    </row>
    <row r="1020" spans="1:8">
      <c r="A1020" s="1" t="s">
        <v>2272</v>
      </c>
      <c r="B1020" s="1" t="s">
        <v>2273</v>
      </c>
      <c r="C1020" s="1" t="s">
        <v>937</v>
      </c>
      <c r="D1020" s="1" t="s">
        <v>12</v>
      </c>
      <c r="E1020" s="1">
        <v>594</v>
      </c>
      <c r="F1020" s="1" t="s">
        <v>13</v>
      </c>
      <c r="G1020" s="1">
        <v>129.56</v>
      </c>
      <c r="H1020" s="1">
        <v>20.84</v>
      </c>
    </row>
    <row r="1021" spans="1:8">
      <c r="A1021" s="1" t="s">
        <v>2274</v>
      </c>
      <c r="B1021" s="1" t="s">
        <v>2275</v>
      </c>
      <c r="C1021" s="1" t="s">
        <v>2276</v>
      </c>
      <c r="D1021" s="1" t="s">
        <v>12</v>
      </c>
      <c r="E1021" s="1">
        <v>2166</v>
      </c>
      <c r="F1021" s="1" t="s">
        <v>137</v>
      </c>
      <c r="G1021" s="1">
        <v>1275.6300000000001</v>
      </c>
      <c r="H1021" s="1">
        <v>4.8</v>
      </c>
    </row>
    <row r="1022" spans="1:8">
      <c r="A1022" s="1" t="s">
        <v>2277</v>
      </c>
      <c r="B1022" s="1" t="s">
        <v>2278</v>
      </c>
      <c r="C1022" s="1" t="s">
        <v>2276</v>
      </c>
      <c r="D1022" s="1" t="s">
        <v>12</v>
      </c>
      <c r="E1022" s="1">
        <v>5242</v>
      </c>
      <c r="F1022" s="1" t="s">
        <v>137</v>
      </c>
      <c r="G1022" s="1">
        <v>2371.52</v>
      </c>
      <c r="H1022" s="1">
        <v>6.24</v>
      </c>
    </row>
    <row r="1023" spans="1:8">
      <c r="A1023" s="1" t="s">
        <v>2279</v>
      </c>
      <c r="B1023" s="1" t="s">
        <v>2280</v>
      </c>
      <c r="C1023" s="1" t="s">
        <v>2276</v>
      </c>
      <c r="D1023" s="1" t="s">
        <v>12</v>
      </c>
      <c r="E1023" s="1">
        <v>3830</v>
      </c>
      <c r="F1023" s="1" t="s">
        <v>137</v>
      </c>
      <c r="G1023" s="1">
        <v>1675.48</v>
      </c>
      <c r="H1023" s="1">
        <v>6.46</v>
      </c>
    </row>
    <row r="1024" spans="1:8">
      <c r="A1024" s="1" t="s">
        <v>2281</v>
      </c>
      <c r="B1024" s="1" t="s">
        <v>2282</v>
      </c>
      <c r="C1024" s="1" t="s">
        <v>2276</v>
      </c>
      <c r="D1024" s="1" t="s">
        <v>12</v>
      </c>
      <c r="E1024" s="1">
        <v>7875</v>
      </c>
      <c r="F1024" s="1" t="s">
        <v>137</v>
      </c>
      <c r="G1024" s="1">
        <v>2831.31</v>
      </c>
      <c r="H1024" s="1">
        <v>7.86</v>
      </c>
    </row>
    <row r="1025" spans="1:8">
      <c r="A1025" s="1" t="s">
        <v>2283</v>
      </c>
      <c r="B1025" s="1" t="s">
        <v>2284</v>
      </c>
      <c r="C1025" s="1" t="s">
        <v>2285</v>
      </c>
      <c r="D1025" s="1" t="s">
        <v>12</v>
      </c>
      <c r="E1025" s="1">
        <v>4566</v>
      </c>
      <c r="F1025" s="1" t="s">
        <v>137</v>
      </c>
      <c r="G1025" s="1">
        <v>2156.4299999999998</v>
      </c>
      <c r="H1025" s="1">
        <v>5.98</v>
      </c>
    </row>
    <row r="1026" spans="1:8">
      <c r="A1026" s="1" t="s">
        <v>2286</v>
      </c>
      <c r="B1026" s="1" t="s">
        <v>2287</v>
      </c>
      <c r="C1026" s="1" t="s">
        <v>2288</v>
      </c>
      <c r="D1026" s="1" t="s">
        <v>12</v>
      </c>
      <c r="E1026" s="1">
        <v>8255</v>
      </c>
      <c r="F1026" s="1" t="s">
        <v>137</v>
      </c>
      <c r="G1026" s="1">
        <v>3035.58</v>
      </c>
      <c r="H1026" s="1">
        <v>7.68</v>
      </c>
    </row>
    <row r="1027" spans="1:8">
      <c r="A1027" s="1" t="s">
        <v>2289</v>
      </c>
      <c r="B1027" s="1" t="s">
        <v>2290</v>
      </c>
      <c r="C1027" s="1" t="s">
        <v>2291</v>
      </c>
      <c r="D1027" s="1" t="s">
        <v>12</v>
      </c>
      <c r="E1027" s="1">
        <v>14564</v>
      </c>
      <c r="F1027" s="1" t="s">
        <v>137</v>
      </c>
      <c r="G1027" s="1">
        <v>5638.98</v>
      </c>
      <c r="H1027" s="1">
        <v>7.3</v>
      </c>
    </row>
    <row r="1028" spans="1:8">
      <c r="A1028" s="1" t="s">
        <v>2292</v>
      </c>
      <c r="B1028" s="1" t="s">
        <v>2293</v>
      </c>
      <c r="C1028" s="1" t="s">
        <v>2291</v>
      </c>
      <c r="D1028" s="1" t="s">
        <v>12</v>
      </c>
      <c r="E1028" s="1">
        <v>5425</v>
      </c>
      <c r="F1028" s="1" t="s">
        <v>137</v>
      </c>
      <c r="G1028" s="1">
        <v>2220.27</v>
      </c>
      <c r="H1028" s="1">
        <v>6.9</v>
      </c>
    </row>
    <row r="1029" spans="1:8">
      <c r="A1029" s="1" t="s">
        <v>2294</v>
      </c>
      <c r="B1029" s="1" t="s">
        <v>2295</v>
      </c>
      <c r="C1029" s="1" t="s">
        <v>2296</v>
      </c>
      <c r="D1029" s="1" t="s">
        <v>12</v>
      </c>
      <c r="E1029" s="1">
        <v>5292</v>
      </c>
      <c r="F1029" s="1" t="s">
        <v>137</v>
      </c>
      <c r="G1029" s="1">
        <v>2132.9</v>
      </c>
      <c r="H1029" s="1">
        <v>7.01</v>
      </c>
    </row>
    <row r="1030" spans="1:8">
      <c r="A1030" s="1" t="s">
        <v>2297</v>
      </c>
      <c r="B1030" s="1" t="s">
        <v>2298</v>
      </c>
      <c r="C1030" s="1" t="s">
        <v>2299</v>
      </c>
      <c r="D1030" s="1" t="s">
        <v>12</v>
      </c>
      <c r="E1030" s="1">
        <v>8997</v>
      </c>
      <c r="F1030" s="1" t="s">
        <v>137</v>
      </c>
      <c r="G1030" s="1">
        <v>3767.23</v>
      </c>
      <c r="H1030" s="1">
        <v>6.75</v>
      </c>
    </row>
    <row r="1031" spans="1:8" hidden="1">
      <c r="A1031" s="1" t="s">
        <v>2300</v>
      </c>
      <c r="B1031" s="1" t="s">
        <v>2300</v>
      </c>
      <c r="C1031" s="1" t="s">
        <v>2301</v>
      </c>
      <c r="D1031" s="1" t="s">
        <v>669</v>
      </c>
      <c r="E1031" s="1">
        <v>0</v>
      </c>
      <c r="F1031" s="1" t="s">
        <v>623</v>
      </c>
      <c r="G1031" s="1">
        <v>0</v>
      </c>
      <c r="H1031" s="1">
        <v>0</v>
      </c>
    </row>
    <row r="1032" spans="1:8" hidden="1">
      <c r="A1032" s="1" t="s">
        <v>2302</v>
      </c>
      <c r="B1032" s="1" t="s">
        <v>2302</v>
      </c>
      <c r="C1032" s="1" t="s">
        <v>2303</v>
      </c>
      <c r="D1032" s="1" t="s">
        <v>669</v>
      </c>
      <c r="E1032" s="1">
        <v>0</v>
      </c>
      <c r="F1032" s="1" t="s">
        <v>623</v>
      </c>
      <c r="G1032" s="1">
        <v>0</v>
      </c>
      <c r="H1032" s="1">
        <v>0</v>
      </c>
    </row>
    <row r="1033" spans="1:8" hidden="1">
      <c r="A1033" s="1" t="s">
        <v>2304</v>
      </c>
      <c r="B1033" s="1" t="s">
        <v>2304</v>
      </c>
      <c r="C1033" s="1" t="s">
        <v>2305</v>
      </c>
      <c r="D1033" s="1" t="s">
        <v>669</v>
      </c>
      <c r="E1033" s="1">
        <v>0</v>
      </c>
      <c r="F1033" s="1" t="s">
        <v>623</v>
      </c>
      <c r="G1033" s="1">
        <v>0</v>
      </c>
      <c r="H1033" s="1">
        <v>0</v>
      </c>
    </row>
    <row r="1034" spans="1:8" hidden="1">
      <c r="A1034" s="1" t="s">
        <v>2306</v>
      </c>
      <c r="B1034" s="1" t="s">
        <v>2306</v>
      </c>
      <c r="C1034" s="1" t="s">
        <v>2307</v>
      </c>
      <c r="D1034" s="1" t="s">
        <v>12</v>
      </c>
      <c r="E1034" s="1">
        <v>-25590</v>
      </c>
      <c r="F1034" s="1" t="s">
        <v>1634</v>
      </c>
      <c r="G1034" s="1">
        <v>3895.29</v>
      </c>
      <c r="H1034" s="1">
        <v>0</v>
      </c>
    </row>
    <row r="1035" spans="1:8" hidden="1">
      <c r="A1035" s="1" t="s">
        <v>2308</v>
      </c>
      <c r="B1035" s="1" t="s">
        <v>2308</v>
      </c>
      <c r="C1035" s="1" t="s">
        <v>2309</v>
      </c>
      <c r="D1035" s="1" t="s">
        <v>12</v>
      </c>
      <c r="E1035" s="1">
        <v>15051</v>
      </c>
      <c r="F1035" s="1" t="s">
        <v>1634</v>
      </c>
      <c r="G1035" s="1">
        <v>7376.11</v>
      </c>
      <c r="H1035" s="1">
        <v>0</v>
      </c>
    </row>
    <row r="1036" spans="1:8" hidden="1">
      <c r="A1036" s="1" t="s">
        <v>2310</v>
      </c>
      <c r="B1036" s="1" t="s">
        <v>2310</v>
      </c>
      <c r="C1036" s="1" t="s">
        <v>518</v>
      </c>
      <c r="D1036" s="1" t="s">
        <v>12</v>
      </c>
      <c r="E1036" s="1">
        <v>25961</v>
      </c>
      <c r="F1036" s="1" t="s">
        <v>1634</v>
      </c>
      <c r="G1036" s="1">
        <v>10226.57</v>
      </c>
      <c r="H1036" s="1">
        <v>0</v>
      </c>
    </row>
    <row r="1037" spans="1:8" hidden="1">
      <c r="A1037" s="1" t="s">
        <v>2311</v>
      </c>
      <c r="B1037" s="1" t="s">
        <v>2311</v>
      </c>
      <c r="C1037" s="1" t="s">
        <v>2312</v>
      </c>
      <c r="D1037" s="1" t="s">
        <v>669</v>
      </c>
      <c r="E1037" s="1">
        <v>0</v>
      </c>
      <c r="F1037" s="1" t="s">
        <v>1634</v>
      </c>
      <c r="G1037" s="1">
        <v>0</v>
      </c>
      <c r="H1037" s="1">
        <v>0</v>
      </c>
    </row>
    <row r="1038" spans="1:8" hidden="1">
      <c r="A1038" s="1" t="s">
        <v>2313</v>
      </c>
      <c r="B1038" s="1" t="s">
        <v>2313</v>
      </c>
      <c r="C1038" s="1" t="s">
        <v>2314</v>
      </c>
      <c r="D1038" s="1" t="s">
        <v>12</v>
      </c>
      <c r="E1038" s="1">
        <v>212</v>
      </c>
      <c r="F1038" s="1" t="s">
        <v>623</v>
      </c>
      <c r="G1038" s="1">
        <v>259.26</v>
      </c>
      <c r="H1038" s="1">
        <v>0</v>
      </c>
    </row>
    <row r="1039" spans="1:8" hidden="1">
      <c r="A1039" s="1" t="s">
        <v>2315</v>
      </c>
      <c r="B1039" s="1" t="s">
        <v>2315</v>
      </c>
      <c r="C1039" s="1" t="s">
        <v>2316</v>
      </c>
      <c r="D1039" s="1" t="s">
        <v>12</v>
      </c>
      <c r="E1039" s="1">
        <v>0</v>
      </c>
      <c r="F1039" s="1" t="s">
        <v>623</v>
      </c>
      <c r="G1039" s="1">
        <v>0</v>
      </c>
      <c r="H1039" s="1">
        <v>0</v>
      </c>
    </row>
    <row r="1040" spans="1:8" hidden="1">
      <c r="A1040" s="1" t="s">
        <v>2317</v>
      </c>
      <c r="B1040" s="1" t="s">
        <v>2317</v>
      </c>
      <c r="C1040" s="1" t="s">
        <v>2318</v>
      </c>
      <c r="D1040" s="1" t="s">
        <v>12</v>
      </c>
      <c r="E1040" s="1">
        <v>0</v>
      </c>
      <c r="F1040" s="1" t="s">
        <v>623</v>
      </c>
      <c r="G1040" s="1">
        <v>0</v>
      </c>
      <c r="H1040" s="1">
        <v>0</v>
      </c>
    </row>
    <row r="1041" spans="1:8" hidden="1">
      <c r="A1041" s="1" t="s">
        <v>2319</v>
      </c>
      <c r="B1041" s="1" t="s">
        <v>2319</v>
      </c>
      <c r="C1041" s="1" t="s">
        <v>2320</v>
      </c>
      <c r="D1041" s="1" t="s">
        <v>669</v>
      </c>
      <c r="E1041" s="1">
        <v>0</v>
      </c>
      <c r="F1041" s="1" t="s">
        <v>623</v>
      </c>
      <c r="G1041" s="1">
        <v>0</v>
      </c>
      <c r="H1041" s="1">
        <v>0</v>
      </c>
    </row>
    <row r="1042" spans="1:8" hidden="1">
      <c r="A1042" s="1" t="s">
        <v>2322</v>
      </c>
      <c r="B1042" s="1" t="s">
        <v>2322</v>
      </c>
      <c r="C1042" s="1" t="s">
        <v>2323</v>
      </c>
      <c r="D1042" s="1" t="s">
        <v>1691</v>
      </c>
      <c r="E1042" s="1">
        <v>0</v>
      </c>
      <c r="F1042" s="1" t="s">
        <v>1634</v>
      </c>
      <c r="G1042" s="1">
        <v>0</v>
      </c>
      <c r="H1042" s="1">
        <v>0</v>
      </c>
    </row>
    <row r="1043" spans="1:8" hidden="1">
      <c r="A1043" s="1" t="s">
        <v>2324</v>
      </c>
      <c r="B1043" s="1" t="s">
        <v>2324</v>
      </c>
      <c r="C1043" s="1" t="s">
        <v>2323</v>
      </c>
      <c r="D1043" s="1" t="s">
        <v>1691</v>
      </c>
      <c r="E1043" s="1">
        <v>0</v>
      </c>
      <c r="F1043" s="1" t="s">
        <v>1634</v>
      </c>
      <c r="G1043" s="1">
        <v>0</v>
      </c>
      <c r="H1043" s="1">
        <v>0</v>
      </c>
    </row>
    <row r="1044" spans="1:8" hidden="1">
      <c r="A1044" s="1" t="s">
        <v>2325</v>
      </c>
      <c r="B1044" s="1" t="s">
        <v>2325</v>
      </c>
      <c r="C1044" s="1" t="s">
        <v>2323</v>
      </c>
      <c r="D1044" s="1" t="s">
        <v>1691</v>
      </c>
      <c r="E1044" s="1">
        <v>0</v>
      </c>
      <c r="F1044" s="1" t="s">
        <v>1634</v>
      </c>
      <c r="G1044" s="1">
        <v>0</v>
      </c>
      <c r="H1044" s="1">
        <v>0</v>
      </c>
    </row>
    <row r="1045" spans="1:8" hidden="1">
      <c r="A1045" s="1" t="s">
        <v>2326</v>
      </c>
      <c r="B1045" s="1" t="s">
        <v>2326</v>
      </c>
      <c r="C1045" s="1" t="s">
        <v>2327</v>
      </c>
      <c r="D1045" s="1" t="s">
        <v>12</v>
      </c>
      <c r="E1045" s="1">
        <v>0</v>
      </c>
      <c r="F1045" s="1" t="s">
        <v>623</v>
      </c>
      <c r="G1045" s="1">
        <v>0</v>
      </c>
      <c r="H1045" s="1">
        <v>0</v>
      </c>
    </row>
    <row r="1046" spans="1:8" hidden="1">
      <c r="A1046" s="1" t="s">
        <v>2328</v>
      </c>
      <c r="B1046" s="1" t="s">
        <v>2328</v>
      </c>
      <c r="C1046" s="1" t="s">
        <v>2323</v>
      </c>
      <c r="D1046" s="1" t="s">
        <v>1691</v>
      </c>
      <c r="E1046" s="1">
        <v>0</v>
      </c>
      <c r="F1046" s="1" t="s">
        <v>1634</v>
      </c>
      <c r="G1046" s="1">
        <v>0</v>
      </c>
      <c r="H1046" s="1">
        <v>0</v>
      </c>
    </row>
    <row r="1047" spans="1:8" hidden="1">
      <c r="A1047" s="1" t="s">
        <v>2329</v>
      </c>
      <c r="B1047" s="1" t="s">
        <v>2329</v>
      </c>
      <c r="C1047" s="1" t="s">
        <v>2323</v>
      </c>
      <c r="D1047" s="1" t="s">
        <v>1691</v>
      </c>
      <c r="E1047" s="1">
        <v>0</v>
      </c>
      <c r="F1047" s="1" t="s">
        <v>1634</v>
      </c>
      <c r="G1047" s="1">
        <v>0</v>
      </c>
      <c r="H1047" s="1">
        <v>0</v>
      </c>
    </row>
    <row r="1048" spans="1:8" hidden="1">
      <c r="A1048" s="1" t="s">
        <v>2330</v>
      </c>
      <c r="B1048" s="1" t="s">
        <v>2330</v>
      </c>
      <c r="C1048" s="1" t="s">
        <v>2323</v>
      </c>
      <c r="D1048" s="1" t="s">
        <v>1691</v>
      </c>
      <c r="E1048" s="1">
        <v>0</v>
      </c>
      <c r="F1048" s="1" t="s">
        <v>1634</v>
      </c>
      <c r="G1048" s="1">
        <v>0</v>
      </c>
      <c r="H1048" s="1">
        <v>0</v>
      </c>
    </row>
    <row r="1049" spans="1:8" hidden="1">
      <c r="A1049" s="1" t="s">
        <v>2331</v>
      </c>
      <c r="B1049" s="1" t="s">
        <v>2331</v>
      </c>
      <c r="C1049" s="1" t="s">
        <v>2323</v>
      </c>
      <c r="D1049" s="1" t="s">
        <v>1691</v>
      </c>
      <c r="E1049" s="1">
        <v>0</v>
      </c>
      <c r="F1049" s="1" t="s">
        <v>1634</v>
      </c>
      <c r="G1049" s="1">
        <v>0</v>
      </c>
      <c r="H1049" s="1">
        <v>0</v>
      </c>
    </row>
    <row r="1050" spans="1:8" hidden="1">
      <c r="A1050" s="1" t="s">
        <v>2332</v>
      </c>
      <c r="B1050" s="1" t="s">
        <v>2332</v>
      </c>
      <c r="C1050" s="1" t="s">
        <v>2323</v>
      </c>
      <c r="D1050" s="1" t="s">
        <v>1691</v>
      </c>
      <c r="E1050" s="1">
        <v>0</v>
      </c>
      <c r="F1050" s="1" t="s">
        <v>1634</v>
      </c>
      <c r="G1050" s="1">
        <v>0</v>
      </c>
      <c r="H1050" s="1">
        <v>0</v>
      </c>
    </row>
    <row r="1051" spans="1:8" hidden="1">
      <c r="A1051" s="1" t="s">
        <v>2333</v>
      </c>
      <c r="B1051" s="1" t="s">
        <v>2333</v>
      </c>
      <c r="C1051" s="1" t="s">
        <v>2323</v>
      </c>
      <c r="D1051" s="1" t="s">
        <v>12</v>
      </c>
      <c r="E1051" s="1">
        <v>0</v>
      </c>
      <c r="F1051" s="1" t="s">
        <v>623</v>
      </c>
      <c r="G1051" s="1">
        <v>0</v>
      </c>
      <c r="H1051" s="1">
        <v>0</v>
      </c>
    </row>
    <row r="1052" spans="1:8" hidden="1">
      <c r="A1052" s="1" t="s">
        <v>2334</v>
      </c>
      <c r="B1052" s="1" t="s">
        <v>2334</v>
      </c>
      <c r="C1052" s="1" t="s">
        <v>2323</v>
      </c>
      <c r="D1052" s="1" t="s">
        <v>1691</v>
      </c>
      <c r="E1052" s="1">
        <v>0</v>
      </c>
      <c r="F1052" s="1" t="s">
        <v>1634</v>
      </c>
      <c r="G1052" s="1">
        <v>0</v>
      </c>
      <c r="H1052" s="1">
        <v>0</v>
      </c>
    </row>
    <row r="1053" spans="1:8" hidden="1">
      <c r="A1053" s="1" t="s">
        <v>2335</v>
      </c>
      <c r="B1053" s="1" t="s">
        <v>2335</v>
      </c>
      <c r="C1053" s="1" t="s">
        <v>2323</v>
      </c>
      <c r="D1053" s="1" t="s">
        <v>1691</v>
      </c>
      <c r="E1053" s="1">
        <v>0</v>
      </c>
      <c r="F1053" s="1" t="s">
        <v>1634</v>
      </c>
      <c r="G1053" s="1">
        <v>0</v>
      </c>
      <c r="H1053" s="1">
        <v>0</v>
      </c>
    </row>
    <row r="1054" spans="1:8" hidden="1">
      <c r="A1054" s="1" t="s">
        <v>2336</v>
      </c>
      <c r="B1054" s="1" t="s">
        <v>2336</v>
      </c>
      <c r="C1054" s="1" t="s">
        <v>2337</v>
      </c>
      <c r="D1054" s="1" t="s">
        <v>1691</v>
      </c>
      <c r="E1054" s="1">
        <v>0</v>
      </c>
      <c r="F1054" s="1" t="s">
        <v>1634</v>
      </c>
      <c r="G1054" s="1">
        <v>0</v>
      </c>
      <c r="H1054" s="1">
        <v>0</v>
      </c>
    </row>
    <row r="1055" spans="1:8" hidden="1">
      <c r="A1055" s="1" t="s">
        <v>2338</v>
      </c>
      <c r="B1055" s="1" t="s">
        <v>2338</v>
      </c>
      <c r="C1055" s="1" t="s">
        <v>2323</v>
      </c>
      <c r="D1055" s="1" t="s">
        <v>1691</v>
      </c>
      <c r="E1055" s="1">
        <v>0</v>
      </c>
      <c r="F1055" s="1" t="s">
        <v>1634</v>
      </c>
      <c r="G1055" s="1">
        <v>0</v>
      </c>
      <c r="H1055" s="1">
        <v>0</v>
      </c>
    </row>
    <row r="1056" spans="1:8" hidden="1">
      <c r="A1056" s="1" t="s">
        <v>2339</v>
      </c>
      <c r="B1056" s="1" t="s">
        <v>2339</v>
      </c>
      <c r="C1056" s="1" t="s">
        <v>2323</v>
      </c>
      <c r="D1056" s="1" t="s">
        <v>1691</v>
      </c>
      <c r="E1056" s="1">
        <v>0</v>
      </c>
      <c r="F1056" s="1" t="s">
        <v>1634</v>
      </c>
      <c r="G1056" s="1">
        <v>0</v>
      </c>
      <c r="H1056" s="1">
        <v>0</v>
      </c>
    </row>
    <row r="1057" spans="1:8" hidden="1">
      <c r="A1057" s="1" t="s">
        <v>2340</v>
      </c>
      <c r="B1057" s="1" t="s">
        <v>2340</v>
      </c>
      <c r="C1057" s="1" t="s">
        <v>2323</v>
      </c>
      <c r="D1057" s="1" t="s">
        <v>1691</v>
      </c>
      <c r="E1057" s="1">
        <v>0</v>
      </c>
      <c r="F1057" s="1" t="s">
        <v>1634</v>
      </c>
      <c r="G1057" s="1">
        <v>0</v>
      </c>
      <c r="H1057" s="1">
        <v>0</v>
      </c>
    </row>
    <row r="1058" spans="1:8" hidden="1">
      <c r="A1058" s="1" t="s">
        <v>2341</v>
      </c>
      <c r="B1058" s="1" t="s">
        <v>2341</v>
      </c>
      <c r="C1058" s="1" t="s">
        <v>2323</v>
      </c>
      <c r="D1058" s="1" t="s">
        <v>1691</v>
      </c>
      <c r="E1058" s="1">
        <v>0</v>
      </c>
      <c r="F1058" s="1" t="s">
        <v>1634</v>
      </c>
      <c r="G1058" s="1">
        <v>0</v>
      </c>
      <c r="H1058" s="1">
        <v>0</v>
      </c>
    </row>
    <row r="1059" spans="1:8" hidden="1">
      <c r="A1059" s="1" t="s">
        <v>2342</v>
      </c>
      <c r="B1059" s="1" t="s">
        <v>2342</v>
      </c>
      <c r="C1059" s="1" t="s">
        <v>2343</v>
      </c>
      <c r="D1059" s="1" t="s">
        <v>669</v>
      </c>
      <c r="E1059" s="1">
        <v>0</v>
      </c>
      <c r="F1059" s="1" t="s">
        <v>1634</v>
      </c>
      <c r="G1059" s="1">
        <v>0</v>
      </c>
      <c r="H1059" s="1">
        <v>0</v>
      </c>
    </row>
    <row r="1060" spans="1:8" hidden="1">
      <c r="A1060" s="1" t="s">
        <v>2344</v>
      </c>
      <c r="B1060" s="1" t="s">
        <v>2344</v>
      </c>
      <c r="C1060" s="1" t="s">
        <v>2323</v>
      </c>
      <c r="D1060" s="1" t="s">
        <v>1691</v>
      </c>
      <c r="E1060" s="1">
        <v>0</v>
      </c>
      <c r="F1060" s="1" t="s">
        <v>1634</v>
      </c>
      <c r="G1060" s="1">
        <v>0</v>
      </c>
      <c r="H1060" s="1">
        <v>0</v>
      </c>
    </row>
    <row r="1061" spans="1:8" hidden="1">
      <c r="A1061" s="1" t="s">
        <v>2345</v>
      </c>
      <c r="B1061" s="1" t="s">
        <v>2345</v>
      </c>
      <c r="C1061" s="1" t="s">
        <v>2323</v>
      </c>
      <c r="D1061" s="1" t="s">
        <v>669</v>
      </c>
      <c r="E1061" s="1">
        <v>0</v>
      </c>
      <c r="F1061" s="1" t="s">
        <v>1634</v>
      </c>
      <c r="G1061" s="1">
        <v>0</v>
      </c>
      <c r="H1061" s="1">
        <v>0</v>
      </c>
    </row>
    <row r="1062" spans="1:8" hidden="1">
      <c r="A1062" s="1" t="s">
        <v>2346</v>
      </c>
      <c r="B1062" s="1" t="s">
        <v>2346</v>
      </c>
      <c r="C1062" s="1" t="s">
        <v>2323</v>
      </c>
      <c r="D1062" s="1" t="s">
        <v>1691</v>
      </c>
      <c r="E1062" s="1">
        <v>0</v>
      </c>
      <c r="F1062" s="1" t="s">
        <v>1634</v>
      </c>
      <c r="G1062" s="1">
        <v>0</v>
      </c>
      <c r="H1062" s="1">
        <v>0</v>
      </c>
    </row>
    <row r="1063" spans="1:8" hidden="1">
      <c r="A1063" s="1" t="s">
        <v>2347</v>
      </c>
      <c r="B1063" s="1" t="s">
        <v>2347</v>
      </c>
      <c r="C1063" s="1" t="s">
        <v>2323</v>
      </c>
      <c r="D1063" s="1" t="s">
        <v>1691</v>
      </c>
      <c r="E1063" s="1">
        <v>0</v>
      </c>
      <c r="F1063" s="1" t="s">
        <v>1634</v>
      </c>
      <c r="G1063" s="1">
        <v>0</v>
      </c>
      <c r="H1063" s="1">
        <v>0</v>
      </c>
    </row>
    <row r="1064" spans="1:8" hidden="1">
      <c r="A1064" s="1" t="s">
        <v>2348</v>
      </c>
      <c r="B1064" s="1" t="s">
        <v>2348</v>
      </c>
      <c r="C1064" s="1" t="s">
        <v>2349</v>
      </c>
      <c r="D1064" s="1" t="s">
        <v>1691</v>
      </c>
      <c r="E1064" s="1">
        <v>0</v>
      </c>
      <c r="F1064" s="1" t="s">
        <v>623</v>
      </c>
      <c r="G1064" s="1">
        <v>0</v>
      </c>
      <c r="H1064" s="1">
        <v>0</v>
      </c>
    </row>
    <row r="1065" spans="1:8" hidden="1">
      <c r="A1065" s="1" t="s">
        <v>2350</v>
      </c>
      <c r="B1065" s="1" t="s">
        <v>2350</v>
      </c>
      <c r="C1065" s="1" t="s">
        <v>2351</v>
      </c>
      <c r="D1065" s="1" t="s">
        <v>12</v>
      </c>
      <c r="E1065" s="1">
        <v>0</v>
      </c>
      <c r="F1065" s="1" t="s">
        <v>1634</v>
      </c>
      <c r="G1065" s="1">
        <v>0</v>
      </c>
      <c r="H1065" s="1">
        <v>0</v>
      </c>
    </row>
    <row r="1066" spans="1:8" hidden="1">
      <c r="A1066" s="1" t="s">
        <v>2352</v>
      </c>
      <c r="B1066" s="1" t="s">
        <v>2352</v>
      </c>
      <c r="C1066" s="1" t="s">
        <v>2353</v>
      </c>
      <c r="D1066" s="1" t="s">
        <v>669</v>
      </c>
      <c r="E1066" s="1">
        <v>0</v>
      </c>
      <c r="F1066" s="1" t="s">
        <v>623</v>
      </c>
      <c r="G1066" s="1">
        <v>0</v>
      </c>
      <c r="H1066" s="1">
        <v>0</v>
      </c>
    </row>
    <row r="1067" spans="1:8" hidden="1">
      <c r="A1067" s="1" t="s">
        <v>2354</v>
      </c>
      <c r="B1067" s="1" t="s">
        <v>2354</v>
      </c>
      <c r="C1067" s="1" t="s">
        <v>2323</v>
      </c>
      <c r="D1067" s="1" t="s">
        <v>1691</v>
      </c>
      <c r="E1067" s="1">
        <v>0</v>
      </c>
      <c r="F1067" s="1" t="s">
        <v>1634</v>
      </c>
      <c r="G1067" s="1">
        <v>0</v>
      </c>
      <c r="H1067" s="1">
        <v>0</v>
      </c>
    </row>
    <row r="1068" spans="1:8" hidden="1">
      <c r="A1068" s="1" t="s">
        <v>2355</v>
      </c>
      <c r="B1068" s="1" t="s">
        <v>2355</v>
      </c>
      <c r="C1068" s="1" t="s">
        <v>2323</v>
      </c>
      <c r="D1068" s="1" t="s">
        <v>1691</v>
      </c>
      <c r="E1068" s="1">
        <v>0</v>
      </c>
      <c r="F1068" s="1" t="s">
        <v>1634</v>
      </c>
      <c r="G1068" s="1">
        <v>0</v>
      </c>
      <c r="H1068" s="1">
        <v>0</v>
      </c>
    </row>
    <row r="1069" spans="1:8" hidden="1">
      <c r="A1069" s="1" t="s">
        <v>2356</v>
      </c>
      <c r="B1069" s="1" t="s">
        <v>2356</v>
      </c>
      <c r="C1069" s="1" t="s">
        <v>2323</v>
      </c>
      <c r="D1069" s="1" t="s">
        <v>1691</v>
      </c>
      <c r="E1069" s="1">
        <v>0</v>
      </c>
      <c r="F1069" s="1" t="s">
        <v>1634</v>
      </c>
      <c r="G1069" s="1">
        <v>0</v>
      </c>
      <c r="H1069" s="1">
        <v>0</v>
      </c>
    </row>
    <row r="1070" spans="1:8" hidden="1">
      <c r="A1070" s="1" t="s">
        <v>2357</v>
      </c>
      <c r="B1070" s="1" t="s">
        <v>2357</v>
      </c>
      <c r="C1070" s="1" t="s">
        <v>2323</v>
      </c>
      <c r="D1070" s="1" t="s">
        <v>1691</v>
      </c>
      <c r="E1070" s="1">
        <v>0</v>
      </c>
      <c r="F1070" s="1" t="s">
        <v>1634</v>
      </c>
      <c r="G1070" s="1">
        <v>0</v>
      </c>
      <c r="H1070" s="1">
        <v>0</v>
      </c>
    </row>
    <row r="1071" spans="1:8" hidden="1">
      <c r="A1071" s="1" t="s">
        <v>2358</v>
      </c>
      <c r="B1071" s="1" t="s">
        <v>2358</v>
      </c>
      <c r="C1071" s="1" t="s">
        <v>2323</v>
      </c>
      <c r="D1071" s="1" t="s">
        <v>1691</v>
      </c>
      <c r="E1071" s="1">
        <v>0</v>
      </c>
      <c r="F1071" s="1" t="s">
        <v>1634</v>
      </c>
      <c r="G1071" s="1">
        <v>0</v>
      </c>
      <c r="H1071" s="1">
        <v>0</v>
      </c>
    </row>
    <row r="1072" spans="1:8" hidden="1">
      <c r="A1072" s="1" t="s">
        <v>2359</v>
      </c>
      <c r="B1072" s="1" t="s">
        <v>2359</v>
      </c>
      <c r="C1072" s="1" t="s">
        <v>2323</v>
      </c>
      <c r="D1072" s="1" t="s">
        <v>1691</v>
      </c>
      <c r="E1072" s="1">
        <v>0</v>
      </c>
      <c r="F1072" s="1" t="s">
        <v>1634</v>
      </c>
      <c r="G1072" s="1">
        <v>0</v>
      </c>
      <c r="H1072" s="1">
        <v>0</v>
      </c>
    </row>
    <row r="1073" spans="1:8" hidden="1">
      <c r="A1073" s="1" t="s">
        <v>2360</v>
      </c>
      <c r="B1073" s="1" t="s">
        <v>2360</v>
      </c>
      <c r="C1073" s="1" t="s">
        <v>2361</v>
      </c>
      <c r="D1073" s="1" t="s">
        <v>669</v>
      </c>
      <c r="E1073" s="1">
        <v>0</v>
      </c>
      <c r="F1073" s="1" t="s">
        <v>1634</v>
      </c>
      <c r="G1073" s="1">
        <v>0</v>
      </c>
      <c r="H1073" s="1">
        <v>0</v>
      </c>
    </row>
    <row r="1074" spans="1:8" hidden="1">
      <c r="A1074" s="1" t="s">
        <v>2362</v>
      </c>
      <c r="B1074" s="1" t="s">
        <v>2362</v>
      </c>
      <c r="C1074" s="1" t="s">
        <v>2323</v>
      </c>
      <c r="D1074" s="1" t="s">
        <v>669</v>
      </c>
      <c r="E1074" s="1">
        <v>0</v>
      </c>
      <c r="F1074" s="1" t="s">
        <v>1634</v>
      </c>
      <c r="G1074" s="1">
        <v>0</v>
      </c>
      <c r="H1074" s="1">
        <v>0</v>
      </c>
    </row>
    <row r="1075" spans="1:8" hidden="1">
      <c r="A1075" s="1" t="s">
        <v>2363</v>
      </c>
      <c r="B1075" s="1" t="s">
        <v>2363</v>
      </c>
      <c r="C1075" s="1" t="s">
        <v>2364</v>
      </c>
      <c r="D1075" s="1" t="s">
        <v>1691</v>
      </c>
      <c r="E1075" s="1">
        <v>0</v>
      </c>
      <c r="F1075" s="1" t="s">
        <v>1634</v>
      </c>
      <c r="G1075" s="1">
        <v>0</v>
      </c>
      <c r="H1075" s="1">
        <v>0</v>
      </c>
    </row>
    <row r="1076" spans="1:8" hidden="1">
      <c r="A1076" s="1" t="s">
        <v>2365</v>
      </c>
      <c r="B1076" s="1" t="s">
        <v>2365</v>
      </c>
      <c r="C1076" s="1" t="s">
        <v>2323</v>
      </c>
      <c r="D1076" s="1" t="s">
        <v>1691</v>
      </c>
      <c r="E1076" s="1">
        <v>0</v>
      </c>
      <c r="F1076" s="1" t="s">
        <v>1634</v>
      </c>
      <c r="G1076" s="1">
        <v>0</v>
      </c>
      <c r="H1076" s="1">
        <v>0</v>
      </c>
    </row>
    <row r="1077" spans="1:8" hidden="1">
      <c r="A1077" s="1" t="s">
        <v>2366</v>
      </c>
      <c r="B1077" s="1" t="s">
        <v>2366</v>
      </c>
      <c r="C1077" s="1" t="s">
        <v>2367</v>
      </c>
      <c r="D1077" s="1" t="s">
        <v>2368</v>
      </c>
      <c r="E1077" s="1">
        <v>0</v>
      </c>
      <c r="F1077" s="1" t="s">
        <v>1634</v>
      </c>
      <c r="G1077" s="1">
        <v>0</v>
      </c>
      <c r="H1077" s="1">
        <v>0</v>
      </c>
    </row>
    <row r="1078" spans="1:8" hidden="1">
      <c r="A1078" s="1" t="s">
        <v>2369</v>
      </c>
      <c r="B1078" s="1" t="s">
        <v>2369</v>
      </c>
      <c r="C1078" s="1" t="s">
        <v>2323</v>
      </c>
      <c r="D1078" s="1" t="s">
        <v>1691</v>
      </c>
      <c r="E1078" s="1">
        <v>0</v>
      </c>
      <c r="F1078" s="1" t="s">
        <v>1634</v>
      </c>
      <c r="G1078" s="1">
        <v>0</v>
      </c>
      <c r="H1078" s="1">
        <v>0</v>
      </c>
    </row>
    <row r="1079" spans="1:8" hidden="1">
      <c r="A1079" s="1" t="s">
        <v>2370</v>
      </c>
      <c r="B1079" s="1" t="s">
        <v>2370</v>
      </c>
      <c r="C1079" s="1" t="s">
        <v>2323</v>
      </c>
      <c r="D1079" s="1" t="s">
        <v>1691</v>
      </c>
      <c r="E1079" s="1">
        <v>0</v>
      </c>
      <c r="F1079" s="1" t="s">
        <v>1634</v>
      </c>
      <c r="G1079" s="1">
        <v>0</v>
      </c>
      <c r="H1079" s="1">
        <v>0</v>
      </c>
    </row>
    <row r="1080" spans="1:8" hidden="1">
      <c r="A1080" s="1" t="s">
        <v>2371</v>
      </c>
      <c r="B1080" s="1" t="s">
        <v>2371</v>
      </c>
      <c r="C1080" s="1" t="s">
        <v>2372</v>
      </c>
      <c r="D1080" s="1" t="s">
        <v>669</v>
      </c>
      <c r="E1080" s="1">
        <v>0</v>
      </c>
      <c r="F1080" s="1" t="s">
        <v>1634</v>
      </c>
      <c r="G1080" s="1">
        <v>0</v>
      </c>
      <c r="H1080" s="1">
        <v>0</v>
      </c>
    </row>
    <row r="1081" spans="1:8" hidden="1">
      <c r="A1081" s="1" t="s">
        <v>2373</v>
      </c>
      <c r="B1081" s="1" t="s">
        <v>2374</v>
      </c>
      <c r="C1081" s="1" t="s">
        <v>2323</v>
      </c>
      <c r="D1081" s="1" t="s">
        <v>1691</v>
      </c>
      <c r="E1081" s="1">
        <v>0</v>
      </c>
      <c r="F1081" s="1" t="s">
        <v>623</v>
      </c>
      <c r="G1081" s="1">
        <v>0</v>
      </c>
      <c r="H1081" s="1">
        <v>0</v>
      </c>
    </row>
    <row r="1082" spans="1:8" hidden="1">
      <c r="A1082" s="1" t="s">
        <v>2375</v>
      </c>
      <c r="B1082" s="1" t="s">
        <v>2375</v>
      </c>
      <c r="C1082" s="1" t="s">
        <v>2321</v>
      </c>
      <c r="D1082" s="1" t="s">
        <v>12</v>
      </c>
      <c r="E1082" s="1">
        <v>4377</v>
      </c>
      <c r="F1082" s="1" t="s">
        <v>623</v>
      </c>
      <c r="G1082" s="1">
        <v>398.95</v>
      </c>
      <c r="H1082" s="1">
        <v>0</v>
      </c>
    </row>
    <row r="1083" spans="1:8" hidden="1">
      <c r="A1083" s="1" t="s">
        <v>2376</v>
      </c>
      <c r="B1083" s="1" t="s">
        <v>2376</v>
      </c>
      <c r="C1083" s="1" t="s">
        <v>2323</v>
      </c>
      <c r="D1083" s="1" t="s">
        <v>1691</v>
      </c>
      <c r="E1083" s="1">
        <v>0</v>
      </c>
      <c r="F1083" s="1" t="s">
        <v>623</v>
      </c>
      <c r="G1083" s="1">
        <v>0</v>
      </c>
      <c r="H1083" s="1">
        <v>0</v>
      </c>
    </row>
    <row r="1084" spans="1:8" hidden="1">
      <c r="A1084" s="1" t="s">
        <v>2377</v>
      </c>
      <c r="B1084" s="1" t="s">
        <v>2378</v>
      </c>
      <c r="C1084" s="1" t="s">
        <v>2379</v>
      </c>
      <c r="D1084" s="1" t="s">
        <v>12</v>
      </c>
      <c r="E1084" s="1">
        <v>0</v>
      </c>
      <c r="F1084" s="1" t="s">
        <v>623</v>
      </c>
      <c r="G1084" s="1">
        <v>50.17</v>
      </c>
      <c r="H1084" s="1">
        <v>0</v>
      </c>
    </row>
    <row r="1085" spans="1:8" hidden="1">
      <c r="A1085" s="1" t="s">
        <v>2380</v>
      </c>
      <c r="B1085" s="1" t="s">
        <v>2380</v>
      </c>
      <c r="C1085" s="1" t="s">
        <v>2337</v>
      </c>
      <c r="D1085" s="1" t="s">
        <v>1691</v>
      </c>
      <c r="E1085" s="1">
        <v>0</v>
      </c>
      <c r="F1085" s="1" t="s">
        <v>1634</v>
      </c>
      <c r="G1085" s="1">
        <v>0</v>
      </c>
      <c r="H1085" s="1">
        <v>0</v>
      </c>
    </row>
    <row r="1086" spans="1:8" hidden="1">
      <c r="A1086" s="1" t="s">
        <v>2381</v>
      </c>
      <c r="B1086" s="1" t="s">
        <v>2381</v>
      </c>
      <c r="C1086" s="1" t="s">
        <v>2382</v>
      </c>
      <c r="D1086" s="1" t="s">
        <v>12</v>
      </c>
      <c r="E1086" s="1">
        <v>-2146</v>
      </c>
      <c r="F1086" s="1" t="s">
        <v>623</v>
      </c>
      <c r="G1086" s="1">
        <v>38.54</v>
      </c>
      <c r="H1086" s="1">
        <v>0</v>
      </c>
    </row>
    <row r="1087" spans="1:8" hidden="1">
      <c r="A1087" s="1" t="s">
        <v>2383</v>
      </c>
      <c r="B1087" s="1" t="s">
        <v>2383</v>
      </c>
      <c r="C1087" s="1" t="s">
        <v>2384</v>
      </c>
      <c r="D1087" s="1" t="s">
        <v>12</v>
      </c>
      <c r="E1087" s="1">
        <v>0</v>
      </c>
      <c r="F1087" s="1" t="s">
        <v>623</v>
      </c>
      <c r="G1087" s="1">
        <v>0</v>
      </c>
      <c r="H1087" s="1">
        <v>0</v>
      </c>
    </row>
    <row r="1088" spans="1:8" hidden="1">
      <c r="A1088" s="1" t="s">
        <v>2385</v>
      </c>
      <c r="B1088" s="1" t="s">
        <v>2385</v>
      </c>
      <c r="C1088" s="1" t="s">
        <v>2384</v>
      </c>
      <c r="D1088" s="1" t="s">
        <v>12</v>
      </c>
      <c r="E1088" s="1">
        <v>0</v>
      </c>
      <c r="F1088" s="1" t="s">
        <v>623</v>
      </c>
      <c r="G1088" s="1">
        <v>17.239999999999998</v>
      </c>
      <c r="H1088" s="1">
        <v>0</v>
      </c>
    </row>
    <row r="1089" spans="1:8" hidden="1">
      <c r="A1089" s="1" t="s">
        <v>2386</v>
      </c>
      <c r="B1089" s="1" t="s">
        <v>2386</v>
      </c>
      <c r="C1089" s="1" t="s">
        <v>2384</v>
      </c>
      <c r="D1089" s="1" t="s">
        <v>12</v>
      </c>
      <c r="E1089" s="1">
        <v>163</v>
      </c>
      <c r="F1089" s="1" t="s">
        <v>623</v>
      </c>
      <c r="G1089" s="1">
        <v>213.92</v>
      </c>
      <c r="H1089" s="1">
        <v>0</v>
      </c>
    </row>
    <row r="1090" spans="1:8" hidden="1">
      <c r="A1090" s="1" t="s">
        <v>2387</v>
      </c>
      <c r="B1090" s="1" t="s">
        <v>2387</v>
      </c>
      <c r="C1090" s="1" t="s">
        <v>2388</v>
      </c>
      <c r="D1090" s="1" t="s">
        <v>12</v>
      </c>
      <c r="E1090" s="1">
        <v>0</v>
      </c>
      <c r="F1090" s="1" t="s">
        <v>623</v>
      </c>
      <c r="G1090" s="1">
        <v>0</v>
      </c>
      <c r="H1090" s="1">
        <v>0</v>
      </c>
    </row>
    <row r="1091" spans="1:8" hidden="1">
      <c r="A1091" s="1" t="s">
        <v>2389</v>
      </c>
      <c r="B1091" s="1" t="s">
        <v>2389</v>
      </c>
      <c r="C1091" s="1" t="s">
        <v>2390</v>
      </c>
      <c r="D1091" s="1" t="s">
        <v>12</v>
      </c>
      <c r="E1091" s="1">
        <v>0</v>
      </c>
      <c r="F1091" s="1" t="s">
        <v>623</v>
      </c>
      <c r="G1091" s="1">
        <v>0</v>
      </c>
      <c r="H1091" s="1">
        <v>0</v>
      </c>
    </row>
    <row r="1092" spans="1:8" hidden="1">
      <c r="A1092" s="1" t="s">
        <v>2391</v>
      </c>
      <c r="B1092" s="1" t="s">
        <v>2391</v>
      </c>
      <c r="C1092" s="1" t="s">
        <v>2392</v>
      </c>
      <c r="D1092" s="1" t="s">
        <v>12</v>
      </c>
      <c r="E1092" s="1">
        <v>0</v>
      </c>
      <c r="F1092" s="1" t="s">
        <v>623</v>
      </c>
      <c r="G1092" s="1">
        <v>18.61</v>
      </c>
      <c r="H1092" s="1">
        <v>0</v>
      </c>
    </row>
    <row r="1093" spans="1:8" hidden="1">
      <c r="A1093" s="1" t="s">
        <v>2393</v>
      </c>
      <c r="B1093" s="1" t="s">
        <v>2393</v>
      </c>
      <c r="C1093" s="1" t="s">
        <v>2323</v>
      </c>
      <c r="D1093" s="1" t="s">
        <v>2368</v>
      </c>
      <c r="E1093" s="1">
        <v>0</v>
      </c>
      <c r="F1093" s="1" t="s">
        <v>1634</v>
      </c>
      <c r="G1093" s="1">
        <v>0</v>
      </c>
      <c r="H1093" s="1">
        <v>0</v>
      </c>
    </row>
    <row r="1094" spans="1:8" hidden="1">
      <c r="A1094" s="1" t="s">
        <v>2394</v>
      </c>
      <c r="B1094" s="1" t="s">
        <v>2394</v>
      </c>
      <c r="C1094" s="1" t="s">
        <v>2395</v>
      </c>
      <c r="D1094" s="1" t="s">
        <v>12</v>
      </c>
      <c r="E1094" s="1">
        <v>0</v>
      </c>
      <c r="F1094" s="1" t="s">
        <v>1634</v>
      </c>
      <c r="G1094" s="1">
        <v>0</v>
      </c>
      <c r="H1094" s="1">
        <v>0</v>
      </c>
    </row>
    <row r="1095" spans="1:8" hidden="1">
      <c r="A1095" s="1" t="s">
        <v>2396</v>
      </c>
      <c r="B1095" s="1" t="s">
        <v>2396</v>
      </c>
      <c r="C1095" s="1" t="s">
        <v>518</v>
      </c>
      <c r="D1095" s="1" t="s">
        <v>12</v>
      </c>
      <c r="E1095" s="1">
        <v>0</v>
      </c>
      <c r="F1095" s="1" t="s">
        <v>1634</v>
      </c>
      <c r="G1095" s="1">
        <v>0</v>
      </c>
      <c r="H1095" s="1">
        <v>0</v>
      </c>
    </row>
    <row r="1096" spans="1:8" hidden="1">
      <c r="A1096" s="1" t="s">
        <v>2397</v>
      </c>
      <c r="B1096" s="1" t="s">
        <v>2397</v>
      </c>
      <c r="C1096" s="1" t="s">
        <v>2398</v>
      </c>
      <c r="D1096" s="1" t="s">
        <v>12</v>
      </c>
      <c r="E1096" s="1">
        <v>0</v>
      </c>
      <c r="F1096" s="1" t="s">
        <v>1634</v>
      </c>
      <c r="G1096" s="1">
        <v>0</v>
      </c>
      <c r="H1096" s="1">
        <v>0</v>
      </c>
    </row>
    <row r="1097" spans="1:8" hidden="1">
      <c r="A1097" s="1" t="s">
        <v>2399</v>
      </c>
      <c r="B1097" s="1" t="s">
        <v>2399</v>
      </c>
      <c r="C1097" s="1" t="s">
        <v>2400</v>
      </c>
      <c r="D1097" s="1" t="s">
        <v>12</v>
      </c>
      <c r="E1097" s="1">
        <v>1553</v>
      </c>
      <c r="F1097" s="1" t="s">
        <v>623</v>
      </c>
      <c r="G1097" s="1">
        <v>1740.12</v>
      </c>
      <c r="H1097" s="1">
        <v>0</v>
      </c>
    </row>
    <row r="1098" spans="1:8" hidden="1">
      <c r="A1098" s="1" t="s">
        <v>2402</v>
      </c>
      <c r="B1098" s="1" t="s">
        <v>2402</v>
      </c>
      <c r="C1098" s="1" t="s">
        <v>2403</v>
      </c>
      <c r="D1098" s="1" t="s">
        <v>12</v>
      </c>
      <c r="E1098" s="1">
        <v>743</v>
      </c>
      <c r="F1098" s="1" t="s">
        <v>623</v>
      </c>
      <c r="G1098" s="1">
        <v>852.65</v>
      </c>
      <c r="H1098" s="1">
        <v>0</v>
      </c>
    </row>
    <row r="1099" spans="1:8" hidden="1">
      <c r="A1099" s="1" t="s">
        <v>2404</v>
      </c>
      <c r="B1099" s="1" t="s">
        <v>2404</v>
      </c>
      <c r="C1099" s="1" t="s">
        <v>2401</v>
      </c>
      <c r="D1099" s="1" t="s">
        <v>12</v>
      </c>
      <c r="E1099" s="1">
        <v>-951</v>
      </c>
      <c r="F1099" s="1" t="s">
        <v>623</v>
      </c>
      <c r="G1099" s="1">
        <v>1921.2</v>
      </c>
      <c r="H1099" s="1">
        <v>0</v>
      </c>
    </row>
    <row r="1100" spans="1:8" hidden="1">
      <c r="A1100" s="1" t="s">
        <v>2405</v>
      </c>
      <c r="B1100" s="1" t="s">
        <v>2405</v>
      </c>
      <c r="C1100" s="1" t="s">
        <v>2406</v>
      </c>
      <c r="D1100" s="1" t="s">
        <v>12</v>
      </c>
      <c r="E1100" s="1">
        <v>0</v>
      </c>
      <c r="F1100" s="1" t="s">
        <v>623</v>
      </c>
      <c r="G1100" s="1">
        <v>0</v>
      </c>
      <c r="H1100" s="1">
        <v>0</v>
      </c>
    </row>
    <row r="1101" spans="1:8" hidden="1">
      <c r="A1101" s="1" t="s">
        <v>2407</v>
      </c>
      <c r="B1101" s="1" t="s">
        <v>2407</v>
      </c>
      <c r="C1101" s="1" t="s">
        <v>2323</v>
      </c>
      <c r="D1101" s="1" t="s">
        <v>1691</v>
      </c>
      <c r="E1101" s="1">
        <v>0</v>
      </c>
      <c r="F1101" s="1" t="s">
        <v>1634</v>
      </c>
      <c r="G1101" s="1">
        <v>0</v>
      </c>
      <c r="H1101" s="1">
        <v>0</v>
      </c>
    </row>
    <row r="1102" spans="1:8" hidden="1">
      <c r="A1102" s="1" t="s">
        <v>2408</v>
      </c>
      <c r="B1102" s="1" t="s">
        <v>2408</v>
      </c>
      <c r="C1102" s="1" t="s">
        <v>2409</v>
      </c>
      <c r="D1102" s="1" t="s">
        <v>12</v>
      </c>
      <c r="E1102" s="1">
        <v>0</v>
      </c>
      <c r="F1102" s="1" t="s">
        <v>623</v>
      </c>
      <c r="G1102" s="1">
        <v>0</v>
      </c>
      <c r="H1102" s="1">
        <v>0</v>
      </c>
    </row>
    <row r="1103" spans="1:8" hidden="1">
      <c r="A1103" s="1" t="s">
        <v>2410</v>
      </c>
      <c r="B1103" s="1" t="s">
        <v>2410</v>
      </c>
      <c r="C1103" s="1" t="s">
        <v>2323</v>
      </c>
      <c r="D1103" s="1" t="s">
        <v>1691</v>
      </c>
      <c r="E1103" s="1">
        <v>0</v>
      </c>
      <c r="F1103" s="1" t="s">
        <v>1634</v>
      </c>
      <c r="G1103" s="1">
        <v>0</v>
      </c>
      <c r="H1103" s="1">
        <v>0</v>
      </c>
    </row>
    <row r="1104" spans="1:8" hidden="1">
      <c r="A1104" s="1" t="s">
        <v>2411</v>
      </c>
      <c r="B1104" s="1" t="s">
        <v>2412</v>
      </c>
      <c r="C1104" s="1" t="s">
        <v>2353</v>
      </c>
      <c r="D1104" s="1" t="s">
        <v>2368</v>
      </c>
      <c r="E1104" s="1">
        <v>0</v>
      </c>
      <c r="F1104" s="1" t="s">
        <v>1634</v>
      </c>
      <c r="G1104" s="1">
        <v>0</v>
      </c>
      <c r="H1104" s="1">
        <v>0</v>
      </c>
    </row>
    <row r="1105" spans="1:8" hidden="1">
      <c r="A1105" s="1" t="s">
        <v>2413</v>
      </c>
      <c r="B1105" s="1" t="s">
        <v>2413</v>
      </c>
      <c r="C1105" s="1" t="s">
        <v>2414</v>
      </c>
      <c r="D1105" s="1" t="s">
        <v>12</v>
      </c>
      <c r="E1105" s="1">
        <v>0</v>
      </c>
      <c r="F1105" s="1" t="s">
        <v>623</v>
      </c>
      <c r="G1105" s="1">
        <v>0</v>
      </c>
      <c r="H1105" s="1">
        <v>0</v>
      </c>
    </row>
    <row r="1106" spans="1:8" hidden="1">
      <c r="A1106" s="1" t="s">
        <v>2415</v>
      </c>
      <c r="B1106" s="1" t="s">
        <v>2415</v>
      </c>
      <c r="C1106" s="1" t="s">
        <v>2364</v>
      </c>
      <c r="D1106" s="1" t="s">
        <v>1691</v>
      </c>
      <c r="E1106" s="1">
        <v>0</v>
      </c>
      <c r="F1106" s="1" t="s">
        <v>1634</v>
      </c>
      <c r="G1106" s="1">
        <v>0</v>
      </c>
      <c r="H1106" s="1">
        <v>0</v>
      </c>
    </row>
    <row r="1107" spans="1:8" hidden="1">
      <c r="A1107" s="1" t="s">
        <v>2416</v>
      </c>
      <c r="B1107" s="1" t="s">
        <v>2416</v>
      </c>
      <c r="C1107" s="1" t="s">
        <v>2323</v>
      </c>
      <c r="D1107" s="1" t="s">
        <v>1691</v>
      </c>
      <c r="E1107" s="1">
        <v>0</v>
      </c>
      <c r="F1107" s="1" t="s">
        <v>1634</v>
      </c>
      <c r="G1107" s="1">
        <v>0</v>
      </c>
      <c r="H1107" s="1">
        <v>0</v>
      </c>
    </row>
    <row r="1108" spans="1:8" hidden="1">
      <c r="A1108" s="1" t="s">
        <v>2417</v>
      </c>
      <c r="B1108" s="1" t="s">
        <v>2417</v>
      </c>
      <c r="C1108" s="1" t="s">
        <v>2323</v>
      </c>
      <c r="D1108" s="1" t="s">
        <v>1691</v>
      </c>
      <c r="E1108" s="1">
        <v>0</v>
      </c>
      <c r="F1108" s="1" t="s">
        <v>1634</v>
      </c>
      <c r="G1108" s="1">
        <v>0</v>
      </c>
      <c r="H1108" s="1">
        <v>0</v>
      </c>
    </row>
    <row r="1109" spans="1:8" hidden="1">
      <c r="A1109" s="1" t="s">
        <v>2418</v>
      </c>
      <c r="B1109" s="1" t="s">
        <v>2418</v>
      </c>
      <c r="C1109" s="1" t="s">
        <v>2419</v>
      </c>
      <c r="D1109" s="1" t="s">
        <v>669</v>
      </c>
      <c r="E1109" s="1">
        <v>0</v>
      </c>
      <c r="F1109" s="1" t="s">
        <v>1634</v>
      </c>
      <c r="G1109" s="1">
        <v>0</v>
      </c>
      <c r="H1109" s="1">
        <v>0</v>
      </c>
    </row>
    <row r="1110" spans="1:8" hidden="1">
      <c r="A1110" s="1" t="s">
        <v>2420</v>
      </c>
      <c r="B1110" s="1" t="s">
        <v>2420</v>
      </c>
      <c r="C1110" s="1" t="s">
        <v>2421</v>
      </c>
      <c r="D1110" s="1" t="s">
        <v>12</v>
      </c>
      <c r="E1110" s="1">
        <v>0</v>
      </c>
      <c r="F1110" s="1" t="s">
        <v>623</v>
      </c>
      <c r="G1110" s="1">
        <v>0</v>
      </c>
      <c r="H1110" s="1">
        <v>0</v>
      </c>
    </row>
    <row r="1111" spans="1:8" hidden="1">
      <c r="A1111" s="1" t="s">
        <v>2422</v>
      </c>
      <c r="B1111" s="1" t="s">
        <v>2422</v>
      </c>
      <c r="C1111" s="1" t="s">
        <v>2423</v>
      </c>
      <c r="D1111" s="1" t="s">
        <v>12</v>
      </c>
      <c r="E1111" s="1">
        <v>0</v>
      </c>
      <c r="F1111" s="1" t="s">
        <v>623</v>
      </c>
      <c r="G1111" s="1">
        <v>0</v>
      </c>
      <c r="H1111" s="1">
        <v>0</v>
      </c>
    </row>
    <row r="1112" spans="1:8" hidden="1">
      <c r="A1112" s="1" t="s">
        <v>2424</v>
      </c>
      <c r="B1112" s="1" t="s">
        <v>2424</v>
      </c>
      <c r="C1112" s="1" t="s">
        <v>2425</v>
      </c>
      <c r="D1112" s="1" t="s">
        <v>12</v>
      </c>
      <c r="E1112" s="1">
        <v>0</v>
      </c>
      <c r="F1112" s="1" t="s">
        <v>623</v>
      </c>
      <c r="G1112" s="1">
        <v>0</v>
      </c>
      <c r="H1112" s="1">
        <v>0</v>
      </c>
    </row>
    <row r="1113" spans="1:8" hidden="1">
      <c r="A1113" s="1" t="s">
        <v>2426</v>
      </c>
      <c r="B1113" s="1" t="s">
        <v>2426</v>
      </c>
      <c r="C1113" s="1" t="s">
        <v>829</v>
      </c>
      <c r="D1113" s="1" t="s">
        <v>12</v>
      </c>
      <c r="E1113" s="1">
        <v>81</v>
      </c>
      <c r="F1113" s="1" t="s">
        <v>623</v>
      </c>
      <c r="G1113" s="1">
        <v>36.159999999999997</v>
      </c>
      <c r="H1113" s="1">
        <v>0</v>
      </c>
    </row>
    <row r="1114" spans="1:8" hidden="1">
      <c r="A1114" s="1" t="s">
        <v>2427</v>
      </c>
      <c r="B1114" s="1" t="s">
        <v>2427</v>
      </c>
      <c r="C1114" s="1" t="s">
        <v>2428</v>
      </c>
      <c r="D1114" s="1" t="s">
        <v>12</v>
      </c>
      <c r="E1114" s="1">
        <v>0</v>
      </c>
      <c r="F1114" s="1" t="s">
        <v>623</v>
      </c>
      <c r="G1114" s="1">
        <v>0</v>
      </c>
      <c r="H1114" s="1">
        <v>0</v>
      </c>
    </row>
    <row r="1115" spans="1:8" hidden="1">
      <c r="A1115" s="1" t="s">
        <v>2429</v>
      </c>
      <c r="B1115" s="1" t="s">
        <v>2429</v>
      </c>
      <c r="C1115" s="1" t="s">
        <v>2430</v>
      </c>
      <c r="D1115" s="1" t="s">
        <v>12</v>
      </c>
      <c r="E1115" s="1">
        <v>0</v>
      </c>
      <c r="F1115" s="1" t="s">
        <v>623</v>
      </c>
      <c r="G1115" s="1">
        <v>0</v>
      </c>
      <c r="H1115" s="1">
        <v>0</v>
      </c>
    </row>
    <row r="1116" spans="1:8" hidden="1">
      <c r="A1116" s="1" t="s">
        <v>2431</v>
      </c>
      <c r="B1116" s="1" t="s">
        <v>2431</v>
      </c>
      <c r="C1116" s="1" t="s">
        <v>2323</v>
      </c>
      <c r="D1116" s="1" t="s">
        <v>1691</v>
      </c>
      <c r="E1116" s="1">
        <v>0</v>
      </c>
      <c r="F1116" s="1" t="s">
        <v>1634</v>
      </c>
      <c r="G1116" s="1">
        <v>0</v>
      </c>
      <c r="H1116" s="1">
        <v>0</v>
      </c>
    </row>
    <row r="1117" spans="1:8" hidden="1">
      <c r="A1117" s="1" t="s">
        <v>2432</v>
      </c>
      <c r="B1117" s="1" t="s">
        <v>2432</v>
      </c>
      <c r="C1117" s="1" t="s">
        <v>2433</v>
      </c>
      <c r="D1117" s="1" t="s">
        <v>12</v>
      </c>
      <c r="E1117" s="1">
        <v>0</v>
      </c>
      <c r="F1117" s="1" t="s">
        <v>623</v>
      </c>
      <c r="G1117" s="1">
        <v>0</v>
      </c>
      <c r="H1117" s="1">
        <v>0</v>
      </c>
    </row>
    <row r="1118" spans="1:8" hidden="1">
      <c r="A1118" s="1" t="s">
        <v>2434</v>
      </c>
      <c r="B1118" s="1" t="s">
        <v>2435</v>
      </c>
      <c r="C1118" s="1" t="s">
        <v>2436</v>
      </c>
      <c r="D1118" s="1" t="s">
        <v>12</v>
      </c>
      <c r="E1118" s="1">
        <v>0</v>
      </c>
      <c r="F1118" s="1" t="s">
        <v>1634</v>
      </c>
      <c r="G1118" s="1">
        <v>0</v>
      </c>
      <c r="H1118" s="1">
        <v>0</v>
      </c>
    </row>
    <row r="1119" spans="1:8" hidden="1">
      <c r="A1119" s="1" t="s">
        <v>2437</v>
      </c>
      <c r="B1119" s="1" t="s">
        <v>2438</v>
      </c>
      <c r="C1119" s="1" t="s">
        <v>2439</v>
      </c>
      <c r="D1119" s="1" t="s">
        <v>1691</v>
      </c>
      <c r="E1119" s="1">
        <v>0</v>
      </c>
      <c r="F1119" s="1" t="s">
        <v>1634</v>
      </c>
      <c r="G1119" s="1">
        <v>0</v>
      </c>
      <c r="H1119" s="1">
        <v>0</v>
      </c>
    </row>
    <row r="1120" spans="1:8" hidden="1">
      <c r="A1120" s="1" t="s">
        <v>2440</v>
      </c>
      <c r="B1120" s="1" t="s">
        <v>2440</v>
      </c>
      <c r="C1120" s="1" t="s">
        <v>2323</v>
      </c>
      <c r="D1120" s="1" t="s">
        <v>1691</v>
      </c>
      <c r="E1120" s="1">
        <v>0</v>
      </c>
      <c r="F1120" s="1" t="s">
        <v>623</v>
      </c>
      <c r="G1120" s="1">
        <v>0</v>
      </c>
      <c r="H1120" s="1">
        <v>0</v>
      </c>
    </row>
    <row r="1121" spans="1:8" hidden="1">
      <c r="A1121" s="1" t="s">
        <v>2441</v>
      </c>
      <c r="B1121" s="1" t="s">
        <v>2441</v>
      </c>
      <c r="C1121" s="1" t="s">
        <v>2442</v>
      </c>
      <c r="D1121" s="1" t="s">
        <v>669</v>
      </c>
      <c r="E1121" s="1">
        <v>0</v>
      </c>
      <c r="F1121" s="1" t="s">
        <v>1634</v>
      </c>
      <c r="G1121" s="1">
        <v>0</v>
      </c>
      <c r="H1121" s="1">
        <v>0</v>
      </c>
    </row>
    <row r="1122" spans="1:8" hidden="1">
      <c r="A1122" s="1" t="s">
        <v>2443</v>
      </c>
      <c r="B1122" s="1" t="s">
        <v>2443</v>
      </c>
      <c r="C1122" s="1" t="s">
        <v>2444</v>
      </c>
      <c r="D1122" s="1" t="s">
        <v>12</v>
      </c>
      <c r="E1122" s="1">
        <v>0</v>
      </c>
      <c r="F1122" s="1" t="s">
        <v>623</v>
      </c>
      <c r="G1122" s="1">
        <v>0</v>
      </c>
      <c r="H1122" s="1">
        <v>0</v>
      </c>
    </row>
    <row r="1123" spans="1:8" hidden="1">
      <c r="A1123" s="1" t="s">
        <v>2445</v>
      </c>
      <c r="B1123" s="1" t="s">
        <v>2445</v>
      </c>
      <c r="C1123" s="1" t="s">
        <v>1535</v>
      </c>
      <c r="D1123" s="1" t="s">
        <v>12</v>
      </c>
      <c r="E1123" s="1">
        <v>0</v>
      </c>
      <c r="F1123" s="1" t="s">
        <v>623</v>
      </c>
      <c r="G1123" s="1">
        <v>0</v>
      </c>
      <c r="H1123" s="1">
        <v>0</v>
      </c>
    </row>
    <row r="1124" spans="1:8" hidden="1">
      <c r="A1124" s="1" t="s">
        <v>2446</v>
      </c>
      <c r="B1124" s="1" t="s">
        <v>2446</v>
      </c>
      <c r="C1124" s="1" t="s">
        <v>2447</v>
      </c>
      <c r="D1124" s="1" t="s">
        <v>669</v>
      </c>
      <c r="E1124" s="1">
        <v>0</v>
      </c>
      <c r="F1124" s="1" t="s">
        <v>623</v>
      </c>
      <c r="G1124" s="1">
        <v>0</v>
      </c>
      <c r="H1124" s="1">
        <v>0</v>
      </c>
    </row>
    <row r="1125" spans="1:8" hidden="1">
      <c r="A1125" s="1" t="s">
        <v>2448</v>
      </c>
      <c r="B1125" s="1" t="s">
        <v>2448</v>
      </c>
      <c r="C1125" s="1" t="s">
        <v>2449</v>
      </c>
      <c r="D1125" s="1" t="s">
        <v>12</v>
      </c>
      <c r="E1125" s="1">
        <v>706</v>
      </c>
      <c r="F1125" s="1" t="s">
        <v>623</v>
      </c>
      <c r="G1125" s="1">
        <v>3399.61</v>
      </c>
      <c r="H1125" s="1">
        <v>0</v>
      </c>
    </row>
    <row r="1126" spans="1:8" hidden="1">
      <c r="A1126" s="1" t="s">
        <v>2450</v>
      </c>
      <c r="B1126" s="1" t="s">
        <v>2450</v>
      </c>
      <c r="C1126" s="1" t="s">
        <v>2451</v>
      </c>
      <c r="D1126" s="1" t="s">
        <v>1691</v>
      </c>
      <c r="E1126" s="1">
        <v>0</v>
      </c>
      <c r="F1126" s="1" t="s">
        <v>1634</v>
      </c>
      <c r="G1126" s="1">
        <v>0</v>
      </c>
      <c r="H1126" s="1">
        <v>0</v>
      </c>
    </row>
    <row r="1127" spans="1:8" hidden="1">
      <c r="A1127" s="1" t="s">
        <v>2452</v>
      </c>
      <c r="B1127" s="1" t="s">
        <v>2452</v>
      </c>
      <c r="C1127" s="1" t="s">
        <v>2453</v>
      </c>
      <c r="D1127" s="1" t="s">
        <v>12</v>
      </c>
      <c r="E1127" s="1">
        <v>0</v>
      </c>
      <c r="F1127" s="1" t="s">
        <v>623</v>
      </c>
      <c r="G1127" s="1">
        <v>0</v>
      </c>
      <c r="H1127" s="1">
        <v>0</v>
      </c>
    </row>
    <row r="1128" spans="1:8" hidden="1">
      <c r="A1128" s="1" t="s">
        <v>2454</v>
      </c>
      <c r="B1128" s="1" t="s">
        <v>2454</v>
      </c>
      <c r="C1128" s="1" t="s">
        <v>2455</v>
      </c>
      <c r="D1128" s="1" t="s">
        <v>12</v>
      </c>
      <c r="E1128" s="1">
        <v>0</v>
      </c>
      <c r="F1128" s="1" t="s">
        <v>623</v>
      </c>
      <c r="G1128" s="1">
        <v>0</v>
      </c>
      <c r="H1128" s="1">
        <v>0</v>
      </c>
    </row>
    <row r="1129" spans="1:8" hidden="1">
      <c r="A1129" s="1" t="s">
        <v>2456</v>
      </c>
      <c r="B1129" s="1" t="s">
        <v>2456</v>
      </c>
      <c r="C1129" s="1" t="s">
        <v>2455</v>
      </c>
      <c r="D1129" s="1" t="s">
        <v>12</v>
      </c>
      <c r="E1129" s="1">
        <v>0</v>
      </c>
      <c r="F1129" s="1" t="s">
        <v>623</v>
      </c>
      <c r="G1129" s="1">
        <v>0</v>
      </c>
      <c r="H1129" s="1">
        <v>0</v>
      </c>
    </row>
    <row r="1130" spans="1:8" hidden="1">
      <c r="A1130" s="1" t="s">
        <v>2457</v>
      </c>
      <c r="B1130" s="1" t="s">
        <v>2457</v>
      </c>
      <c r="C1130" s="1" t="s">
        <v>2455</v>
      </c>
      <c r="D1130" s="1" t="s">
        <v>12</v>
      </c>
      <c r="E1130" s="1">
        <v>0</v>
      </c>
      <c r="F1130" s="1" t="s">
        <v>623</v>
      </c>
      <c r="G1130" s="1">
        <v>0</v>
      </c>
      <c r="H1130" s="1">
        <v>0</v>
      </c>
    </row>
    <row r="1131" spans="1:8" hidden="1">
      <c r="A1131" s="1" t="s">
        <v>2458</v>
      </c>
      <c r="B1131" s="1" t="s">
        <v>2458</v>
      </c>
      <c r="C1131" s="1" t="s">
        <v>2455</v>
      </c>
      <c r="D1131" s="1" t="s">
        <v>12</v>
      </c>
      <c r="E1131" s="1">
        <v>0</v>
      </c>
      <c r="F1131" s="1" t="s">
        <v>623</v>
      </c>
      <c r="G1131" s="1">
        <v>0</v>
      </c>
      <c r="H1131" s="1">
        <v>0</v>
      </c>
    </row>
    <row r="1132" spans="1:8" hidden="1">
      <c r="A1132" s="1" t="s">
        <v>2459</v>
      </c>
      <c r="B1132" s="1" t="s">
        <v>2459</v>
      </c>
      <c r="C1132" s="1" t="s">
        <v>2460</v>
      </c>
      <c r="D1132" s="1" t="s">
        <v>12</v>
      </c>
      <c r="E1132" s="1">
        <v>0</v>
      </c>
      <c r="F1132" s="1" t="s">
        <v>623</v>
      </c>
      <c r="G1132" s="1">
        <v>0</v>
      </c>
      <c r="H1132" s="1">
        <v>0</v>
      </c>
    </row>
    <row r="1133" spans="1:8" hidden="1"/>
    <row r="1134" spans="1:8" hidden="1">
      <c r="A1134" s="28" t="s">
        <v>2461</v>
      </c>
      <c r="B1134" s="28" t="s">
        <v>5</v>
      </c>
      <c r="C1134" s="28" t="s">
        <v>4</v>
      </c>
      <c r="D1134" s="28" t="s">
        <v>7</v>
      </c>
      <c r="E1134" s="28" t="s">
        <v>2462</v>
      </c>
    </row>
    <row r="1135" spans="1:8" hidden="1">
      <c r="A1135" s="28"/>
      <c r="B1135" s="28"/>
      <c r="C1135" s="28"/>
      <c r="D1135" s="28"/>
      <c r="E1135" s="28"/>
    </row>
    <row r="1136" spans="1:8" hidden="1">
      <c r="A1136" s="1">
        <v>2374</v>
      </c>
      <c r="B1136" s="1">
        <v>-9483904</v>
      </c>
      <c r="C1136" s="1">
        <v>61868</v>
      </c>
      <c r="D1136" s="1">
        <v>3433515.2999999952</v>
      </c>
      <c r="E1136" s="1">
        <v>0.17</v>
      </c>
    </row>
    <row r="1137" spans="1:2" hidden="1"/>
    <row r="1138" spans="1:2" hidden="1">
      <c r="A1138" s="28" t="s">
        <v>2463</v>
      </c>
      <c r="B1138" s="28"/>
    </row>
    <row r="1139" spans="1:2" hidden="1">
      <c r="A1139" s="29" t="s">
        <v>2464</v>
      </c>
      <c r="B1139" s="29"/>
    </row>
    <row r="1140" spans="1:2" hidden="1"/>
    <row r="1141" spans="1:2" hidden="1"/>
  </sheetData>
  <autoFilter ref="A1:H1141" xr:uid="{5B4D2A16-3861-2C4E-A78D-59F893185EDF}">
    <filterColumn colId="5">
      <filters>
        <filter val="Kilometres"/>
        <filter val="Miles"/>
      </filters>
    </filterColumn>
  </autoFilter>
  <mergeCells count="15">
    <mergeCell ref="A1139:B1139"/>
    <mergeCell ref="A1138:B1138"/>
    <mergeCell ref="E1134:E1135"/>
    <mergeCell ref="D1134:D1135"/>
    <mergeCell ref="C1134:C1135"/>
    <mergeCell ref="B1134:B1135"/>
    <mergeCell ref="A1134:A1135"/>
    <mergeCell ref="D1:D2"/>
    <mergeCell ref="C1:C2"/>
    <mergeCell ref="B1:B2"/>
    <mergeCell ref="A1:A2"/>
    <mergeCell ref="H1:H2"/>
    <mergeCell ref="G1:G2"/>
    <mergeCell ref="F1:F2"/>
    <mergeCell ref="E1:E2"/>
  </mergeCells>
  <printOptions horizontalCentered="1"/>
  <pageMargins left="0.3" right="0.3" top="0.61" bottom="0.37" header="0.1" footer="0.1"/>
  <pageSetup paperSize="9" pageOrder="overThenDown" orientation="portrait" useFirstPageNumber="1" horizontalDpi="300" verticalDpi="300"/>
  <headerFooter alignWithMargins="0">
    <oddHeader>&amp;P</oddHeader>
    <oddFooter>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A82BA-51E9-8941-8A5D-C9E52D19A39B}">
  <sheetPr codeName="Sheet2">
    <outlinePr summaryBelow="0" summaryRight="0"/>
  </sheetPr>
  <dimension ref="A1:V1139"/>
  <sheetViews>
    <sheetView topLeftCell="O1" workbookViewId="0">
      <selection activeCell="V9" sqref="V9"/>
    </sheetView>
  </sheetViews>
  <sheetFormatPr baseColWidth="10" defaultColWidth="8.83203125" defaultRowHeight="13"/>
  <cols>
    <col min="1" max="1" width="14" customWidth="1"/>
    <col min="2" max="2" width="17.5" customWidth="1"/>
    <col min="3" max="3" width="36.83203125" customWidth="1"/>
    <col min="4" max="4" width="15" customWidth="1"/>
    <col min="5" max="5" width="21" style="9" customWidth="1"/>
    <col min="6" max="6" width="8.83203125" style="9"/>
    <col min="7" max="7" width="13.83203125" style="7" customWidth="1"/>
    <col min="9" max="9" width="15.5" customWidth="1"/>
    <col min="10" max="10" width="23.33203125" customWidth="1"/>
    <col min="11" max="11" width="21.1640625" customWidth="1"/>
    <col min="12" max="12" width="23.1640625" customWidth="1"/>
    <col min="13" max="13" width="14.6640625" customWidth="1"/>
    <col min="14" max="14" width="17.83203125" style="9" customWidth="1"/>
    <col min="15" max="15" width="18.33203125" customWidth="1"/>
    <col min="16" max="16" width="19.33203125" style="9" customWidth="1"/>
    <col min="17" max="17" width="21.6640625" style="9" customWidth="1"/>
    <col min="18" max="18" width="17" style="9" customWidth="1"/>
    <col min="19" max="19" width="16.6640625" style="9" customWidth="1"/>
    <col min="20" max="20" width="18.5" customWidth="1"/>
    <col min="21" max="21" width="25.83203125" customWidth="1"/>
    <col min="22" max="22" width="32" customWidth="1"/>
  </cols>
  <sheetData>
    <row r="1" spans="1:22" ht="18">
      <c r="A1" s="5" t="s">
        <v>0</v>
      </c>
      <c r="B1" s="5" t="s">
        <v>1</v>
      </c>
      <c r="C1" s="5" t="s">
        <v>2</v>
      </c>
      <c r="D1" s="5" t="s">
        <v>3</v>
      </c>
      <c r="E1" s="11" t="s">
        <v>2465</v>
      </c>
      <c r="F1" s="11" t="s">
        <v>6</v>
      </c>
      <c r="G1" s="5" t="s">
        <v>7</v>
      </c>
      <c r="H1" s="5" t="s">
        <v>8</v>
      </c>
      <c r="I1" s="5" t="s">
        <v>2466</v>
      </c>
      <c r="J1" s="5" t="s">
        <v>2467</v>
      </c>
      <c r="K1" s="5" t="s">
        <v>2469</v>
      </c>
      <c r="L1" s="4" t="s">
        <v>2468</v>
      </c>
      <c r="M1" s="4" t="s">
        <v>2470</v>
      </c>
      <c r="N1" s="10" t="s">
        <v>2471</v>
      </c>
      <c r="O1" s="13" t="s">
        <v>2472</v>
      </c>
      <c r="P1" s="14" t="s">
        <v>2473</v>
      </c>
      <c r="Q1" s="10" t="s">
        <v>2474</v>
      </c>
      <c r="R1" s="10" t="s">
        <v>2475</v>
      </c>
      <c r="S1" s="10" t="s">
        <v>2476</v>
      </c>
      <c r="T1" s="13" t="s">
        <v>2477</v>
      </c>
      <c r="U1" s="16" t="s">
        <v>2482</v>
      </c>
      <c r="V1" s="5" t="s">
        <v>2483</v>
      </c>
    </row>
    <row r="2" spans="1:22">
      <c r="A2" s="3" t="s">
        <v>9</v>
      </c>
      <c r="B2" s="1" t="s">
        <v>10</v>
      </c>
      <c r="C2" s="1" t="s">
        <v>11</v>
      </c>
      <c r="D2" s="1" t="s">
        <v>12</v>
      </c>
      <c r="E2" s="12">
        <f>IF(Raw_Data!F3="Kilometres",Raw_Data!E3*0.621371,Raw_Data!E3)</f>
        <v>12632</v>
      </c>
      <c r="F2" s="12" t="s">
        <v>13</v>
      </c>
      <c r="G2" s="6">
        <v>1120.69</v>
      </c>
      <c r="H2" s="1">
        <v>51.24</v>
      </c>
      <c r="I2" t="str">
        <f>TRIM(D2)</f>
        <v>Diesel</v>
      </c>
      <c r="J2" t="str">
        <f t="shared" ref="J2:J65" si="0">IF(OR(H2&lt;=0,H2&gt;100),"Check","OK")</f>
        <v>OK</v>
      </c>
      <c r="K2" t="str">
        <f t="shared" ref="K2:K65" si="1">IF(E2&lt;0,"Check","OK")</f>
        <v>OK</v>
      </c>
      <c r="L2">
        <f>COUNTIF(J:J,"Check")</f>
        <v>12</v>
      </c>
      <c r="M2">
        <f t="shared" ref="M2:M65" si="2">COUNTIF(K:K,"Check")</f>
        <v>10</v>
      </c>
      <c r="N2" s="9" t="str">
        <f>IF(OR(H2&lt;=0,H2&gt;100,E2&lt;0),"Review","Valid")</f>
        <v>Valid</v>
      </c>
      <c r="O2" t="str">
        <f t="shared" ref="O2:O65" si="3">IF(N2="Review","Exclude","Include")</f>
        <v>Include</v>
      </c>
      <c r="P2" s="9">
        <f t="shared" ref="P2:P65" si="4">SUMIF(O:O,"Include",G:G)</f>
        <v>2035068.5799999984</v>
      </c>
      <c r="Q2" s="15">
        <f t="shared" ref="Q2:Q65" si="5">SUMIF(O:O,"Include",E:E)</f>
        <v>7469725</v>
      </c>
      <c r="R2" s="9">
        <f t="shared" ref="R2:R65" si="6">IF(O2="Exclude",0,E2)</f>
        <v>12632</v>
      </c>
      <c r="S2" s="9">
        <f t="shared" ref="S2:S65" si="7">SUM(R:R)</f>
        <v>7469725</v>
      </c>
      <c r="T2" s="15">
        <f t="shared" ref="T2:T65" si="8">S2/(P2/4.54609)</f>
        <v>16.686436250344954</v>
      </c>
      <c r="U2" s="15">
        <f>IF(O2="Exclude",0,G2*Fuel_Price!$B$2)</f>
        <v>1646.5177480000002</v>
      </c>
      <c r="V2" s="15">
        <f t="shared" ref="V2:V65" si="9">SUM(U:U)</f>
        <v>2989922.7577359979</v>
      </c>
    </row>
    <row r="3" spans="1:22">
      <c r="A3" s="1" t="s">
        <v>14</v>
      </c>
      <c r="B3" s="1" t="s">
        <v>15</v>
      </c>
      <c r="C3" s="1" t="s">
        <v>16</v>
      </c>
      <c r="D3" s="1" t="s">
        <v>12</v>
      </c>
      <c r="E3" s="12">
        <v>5395</v>
      </c>
      <c r="F3" s="12" t="s">
        <v>13</v>
      </c>
      <c r="G3" s="6">
        <v>668.23</v>
      </c>
      <c r="H3" s="1">
        <v>36.700000000000003</v>
      </c>
      <c r="J3" t="str">
        <f t="shared" si="0"/>
        <v>OK</v>
      </c>
      <c r="K3" t="str">
        <f t="shared" si="1"/>
        <v>OK</v>
      </c>
      <c r="L3">
        <f t="shared" ref="L3:L66" si="10">COUNTIF(J:J,"Check")</f>
        <v>12</v>
      </c>
      <c r="M3">
        <f t="shared" si="2"/>
        <v>10</v>
      </c>
      <c r="N3" s="9" t="str">
        <f>IF(OR(H3&lt;=0,H3&gt;100,E3&lt;0),"Review","Valid")</f>
        <v>Valid</v>
      </c>
      <c r="O3" t="str">
        <f t="shared" si="3"/>
        <v>Include</v>
      </c>
      <c r="P3" s="9">
        <f t="shared" si="4"/>
        <v>2035068.5799999984</v>
      </c>
      <c r="Q3" s="15">
        <f t="shared" si="5"/>
        <v>7469725</v>
      </c>
      <c r="R3" s="9">
        <f t="shared" si="6"/>
        <v>5395</v>
      </c>
      <c r="S3" s="9">
        <f t="shared" si="7"/>
        <v>7469725</v>
      </c>
      <c r="T3" s="15">
        <f t="shared" si="8"/>
        <v>16.686436250344954</v>
      </c>
      <c r="U3" s="17">
        <f>IF(O3="Exclude",0,G3*Fuel_Price!$B$2)</f>
        <v>981.7635160000001</v>
      </c>
      <c r="V3" s="15">
        <f t="shared" si="9"/>
        <v>2989922.7577359979</v>
      </c>
    </row>
    <row r="4" spans="1:22">
      <c r="A4" s="1" t="s">
        <v>17</v>
      </c>
      <c r="B4" s="1" t="s">
        <v>18</v>
      </c>
      <c r="C4" s="1" t="s">
        <v>19</v>
      </c>
      <c r="D4" s="1" t="s">
        <v>12</v>
      </c>
      <c r="E4" s="12">
        <v>4023</v>
      </c>
      <c r="F4" s="12" t="s">
        <v>13</v>
      </c>
      <c r="G4" s="6">
        <v>284.19</v>
      </c>
      <c r="H4" s="1">
        <v>64.349999999999994</v>
      </c>
      <c r="J4" t="str">
        <f t="shared" si="0"/>
        <v>OK</v>
      </c>
      <c r="K4" t="str">
        <f t="shared" si="1"/>
        <v>OK</v>
      </c>
      <c r="L4">
        <f t="shared" si="10"/>
        <v>12</v>
      </c>
      <c r="M4">
        <f t="shared" si="2"/>
        <v>10</v>
      </c>
      <c r="N4" s="9" t="str">
        <f>IF(OR(H4&lt;=0,H4&gt;100,E4&lt;0),"Review","Valid")</f>
        <v>Valid</v>
      </c>
      <c r="O4" t="str">
        <f t="shared" si="3"/>
        <v>Include</v>
      </c>
      <c r="P4" s="9">
        <f t="shared" si="4"/>
        <v>2035068.5799999984</v>
      </c>
      <c r="Q4" s="15">
        <f t="shared" si="5"/>
        <v>7469725</v>
      </c>
      <c r="R4" s="9">
        <f t="shared" si="6"/>
        <v>4023</v>
      </c>
      <c r="S4" s="9">
        <f t="shared" si="7"/>
        <v>7469725</v>
      </c>
      <c r="T4" s="15">
        <f t="shared" si="8"/>
        <v>16.686436250344954</v>
      </c>
      <c r="U4" s="15">
        <f>IF(O4="Exclude",0,G4*Fuel_Price!$B$2)</f>
        <v>417.531948</v>
      </c>
      <c r="V4" s="15">
        <f t="shared" si="9"/>
        <v>2989922.7577359979</v>
      </c>
    </row>
    <row r="5" spans="1:22">
      <c r="A5" s="1" t="s">
        <v>20</v>
      </c>
      <c r="B5" s="1" t="s">
        <v>21</v>
      </c>
      <c r="C5" s="1" t="s">
        <v>22</v>
      </c>
      <c r="D5" s="1" t="s">
        <v>12</v>
      </c>
      <c r="E5" s="12">
        <v>36511</v>
      </c>
      <c r="F5" s="12" t="s">
        <v>13</v>
      </c>
      <c r="G5" s="6">
        <v>183.6</v>
      </c>
      <c r="H5" s="1">
        <v>904.04</v>
      </c>
      <c r="J5" t="str">
        <f t="shared" si="0"/>
        <v>Check</v>
      </c>
      <c r="K5" t="str">
        <f t="shared" si="1"/>
        <v>OK</v>
      </c>
      <c r="L5">
        <f t="shared" si="10"/>
        <v>12</v>
      </c>
      <c r="M5">
        <f t="shared" si="2"/>
        <v>10</v>
      </c>
      <c r="N5" s="9" t="str">
        <f>IF(OR(H5&lt;=0,H5&gt;100,E5&lt;0),"Review","Valid")</f>
        <v>Review</v>
      </c>
      <c r="O5" t="str">
        <f t="shared" si="3"/>
        <v>Exclude</v>
      </c>
      <c r="P5" s="9">
        <f t="shared" si="4"/>
        <v>2035068.5799999984</v>
      </c>
      <c r="Q5" s="15">
        <f t="shared" si="5"/>
        <v>7469725</v>
      </c>
      <c r="R5" s="9">
        <f t="shared" si="6"/>
        <v>0</v>
      </c>
      <c r="S5" s="9">
        <f t="shared" si="7"/>
        <v>7469725</v>
      </c>
      <c r="T5" s="15">
        <f t="shared" si="8"/>
        <v>16.686436250344954</v>
      </c>
      <c r="U5" s="15">
        <f>IF(O5="Exclude",0,G5*Fuel_Price!$B$2)</f>
        <v>0</v>
      </c>
      <c r="V5" s="15">
        <f t="shared" si="9"/>
        <v>2989922.7577359979</v>
      </c>
    </row>
    <row r="6" spans="1:22">
      <c r="A6" s="1" t="s">
        <v>23</v>
      </c>
      <c r="B6" s="1" t="s">
        <v>24</v>
      </c>
      <c r="C6" s="1" t="s">
        <v>25</v>
      </c>
      <c r="D6" s="1" t="s">
        <v>12</v>
      </c>
      <c r="E6" s="12">
        <v>13274</v>
      </c>
      <c r="F6" s="12" t="s">
        <v>13</v>
      </c>
      <c r="G6" s="6">
        <v>1526.19</v>
      </c>
      <c r="H6" s="1">
        <v>39.54</v>
      </c>
      <c r="J6" t="str">
        <f t="shared" si="0"/>
        <v>OK</v>
      </c>
      <c r="K6" t="str">
        <f t="shared" si="1"/>
        <v>OK</v>
      </c>
      <c r="L6">
        <f t="shared" si="10"/>
        <v>12</v>
      </c>
      <c r="M6">
        <f t="shared" si="2"/>
        <v>10</v>
      </c>
      <c r="N6" s="9" t="str">
        <f>IF(OR(H6&lt;=0,H6&gt;100,E6&lt;0),"Review","Valid")</f>
        <v>Valid</v>
      </c>
      <c r="O6" t="str">
        <f t="shared" si="3"/>
        <v>Include</v>
      </c>
      <c r="P6" s="9">
        <f t="shared" si="4"/>
        <v>2035068.5799999984</v>
      </c>
      <c r="Q6" s="15">
        <f t="shared" si="5"/>
        <v>7469725</v>
      </c>
      <c r="R6" s="9">
        <f t="shared" si="6"/>
        <v>13274</v>
      </c>
      <c r="S6" s="9">
        <f t="shared" si="7"/>
        <v>7469725</v>
      </c>
      <c r="T6" s="15">
        <f t="shared" si="8"/>
        <v>16.686436250344954</v>
      </c>
      <c r="U6" s="15">
        <f>IF(O6="Exclude",0,G6*Fuel_Price!$B$2)</f>
        <v>2242.2783480000003</v>
      </c>
      <c r="V6" s="15">
        <f t="shared" si="9"/>
        <v>2989922.7577359979</v>
      </c>
    </row>
    <row r="7" spans="1:22">
      <c r="A7" s="1" t="s">
        <v>26</v>
      </c>
      <c r="B7" s="1" t="s">
        <v>27</v>
      </c>
      <c r="C7" s="1" t="s">
        <v>28</v>
      </c>
      <c r="D7" s="1" t="s">
        <v>12</v>
      </c>
      <c r="E7" s="12">
        <v>15529</v>
      </c>
      <c r="F7" s="12" t="s">
        <v>13</v>
      </c>
      <c r="G7" s="6">
        <v>1820.29</v>
      </c>
      <c r="H7" s="1">
        <v>38.78</v>
      </c>
      <c r="J7" t="str">
        <f t="shared" si="0"/>
        <v>OK</v>
      </c>
      <c r="K7" t="str">
        <f t="shared" si="1"/>
        <v>OK</v>
      </c>
      <c r="L7">
        <f t="shared" si="10"/>
        <v>12</v>
      </c>
      <c r="M7">
        <f t="shared" si="2"/>
        <v>10</v>
      </c>
      <c r="N7" s="9" t="str">
        <f t="shared" ref="N7:N70" si="11">IF(OR(H7&lt;=0,H7&gt;100,E7&lt;0),"Review","Valid")</f>
        <v>Valid</v>
      </c>
      <c r="O7" t="str">
        <f t="shared" si="3"/>
        <v>Include</v>
      </c>
      <c r="P7" s="9">
        <f t="shared" si="4"/>
        <v>2035068.5799999984</v>
      </c>
      <c r="Q7" s="15">
        <f t="shared" si="5"/>
        <v>7469725</v>
      </c>
      <c r="R7" s="9">
        <f t="shared" si="6"/>
        <v>15529</v>
      </c>
      <c r="S7" s="9">
        <f t="shared" si="7"/>
        <v>7469725</v>
      </c>
      <c r="T7" s="15">
        <f t="shared" si="8"/>
        <v>16.686436250344954</v>
      </c>
      <c r="U7" s="15">
        <f>IF(O7="Exclude",0,G7*Fuel_Price!$B$2)</f>
        <v>2674.3700680000002</v>
      </c>
      <c r="V7" s="15">
        <f t="shared" si="9"/>
        <v>2989922.7577359979</v>
      </c>
    </row>
    <row r="8" spans="1:22">
      <c r="A8" s="1" t="s">
        <v>29</v>
      </c>
      <c r="B8" s="1" t="s">
        <v>30</v>
      </c>
      <c r="C8" s="1" t="s">
        <v>31</v>
      </c>
      <c r="D8" s="1" t="s">
        <v>12</v>
      </c>
      <c r="E8" s="12">
        <v>20244</v>
      </c>
      <c r="F8" s="12" t="s">
        <v>13</v>
      </c>
      <c r="G8" s="6">
        <v>2254.7800000000002</v>
      </c>
      <c r="H8" s="1">
        <v>40.82</v>
      </c>
      <c r="I8" t="str">
        <f>IFERROR(VALUE(SUBSTITUTE(Raw_Data!E2," Miles","")),"")</f>
        <v/>
      </c>
      <c r="J8" t="str">
        <f t="shared" si="0"/>
        <v>OK</v>
      </c>
      <c r="K8" t="str">
        <f t="shared" si="1"/>
        <v>OK</v>
      </c>
      <c r="L8">
        <f t="shared" si="10"/>
        <v>12</v>
      </c>
      <c r="M8">
        <f t="shared" si="2"/>
        <v>10</v>
      </c>
      <c r="N8" s="9" t="str">
        <f t="shared" si="11"/>
        <v>Valid</v>
      </c>
      <c r="O8" t="str">
        <f t="shared" si="3"/>
        <v>Include</v>
      </c>
      <c r="P8" s="9">
        <f t="shared" si="4"/>
        <v>2035068.5799999984</v>
      </c>
      <c r="Q8" s="15">
        <f t="shared" si="5"/>
        <v>7469725</v>
      </c>
      <c r="R8" s="9">
        <f t="shared" si="6"/>
        <v>20244</v>
      </c>
      <c r="S8" s="9">
        <f t="shared" si="7"/>
        <v>7469725</v>
      </c>
      <c r="T8" s="15">
        <f t="shared" si="8"/>
        <v>16.686436250344954</v>
      </c>
      <c r="U8" s="15">
        <f>IF(O8="Exclude",0,G8*Fuel_Price!$B$2)</f>
        <v>3312.7227760000005</v>
      </c>
      <c r="V8" s="15">
        <f t="shared" si="9"/>
        <v>2989922.7577359979</v>
      </c>
    </row>
    <row r="9" spans="1:22">
      <c r="A9" s="1" t="s">
        <v>32</v>
      </c>
      <c r="B9" s="1" t="s">
        <v>33</v>
      </c>
      <c r="C9" s="1" t="s">
        <v>34</v>
      </c>
      <c r="D9" s="1" t="s">
        <v>12</v>
      </c>
      <c r="E9" s="12">
        <v>7392</v>
      </c>
      <c r="F9" s="12" t="s">
        <v>13</v>
      </c>
      <c r="G9" s="6">
        <v>857.17</v>
      </c>
      <c r="H9" s="1">
        <v>39.200000000000003</v>
      </c>
      <c r="I9" t="str">
        <f>IFERROR(VALUE(SUBSTITUTE(Raw_Data!E2," Miles","")),"")</f>
        <v/>
      </c>
      <c r="J9" t="str">
        <f t="shared" si="0"/>
        <v>OK</v>
      </c>
      <c r="K9" t="str">
        <f t="shared" si="1"/>
        <v>OK</v>
      </c>
      <c r="L9">
        <f t="shared" si="10"/>
        <v>12</v>
      </c>
      <c r="M9">
        <f t="shared" si="2"/>
        <v>10</v>
      </c>
      <c r="N9" s="9" t="str">
        <f t="shared" si="11"/>
        <v>Valid</v>
      </c>
      <c r="O9" t="str">
        <f t="shared" si="3"/>
        <v>Include</v>
      </c>
      <c r="P9" s="9">
        <f t="shared" si="4"/>
        <v>2035068.5799999984</v>
      </c>
      <c r="Q9" s="15">
        <f t="shared" si="5"/>
        <v>7469725</v>
      </c>
      <c r="R9" s="9">
        <f t="shared" si="6"/>
        <v>7392</v>
      </c>
      <c r="S9" s="9">
        <f t="shared" si="7"/>
        <v>7469725</v>
      </c>
      <c r="T9" s="15">
        <f t="shared" si="8"/>
        <v>16.686436250344954</v>
      </c>
      <c r="U9" s="15">
        <f>IF(O9="Exclude",0,G9*Fuel_Price!$B$2)</f>
        <v>1259.3541640000001</v>
      </c>
      <c r="V9" s="15">
        <f t="shared" si="9"/>
        <v>2989922.7577359979</v>
      </c>
    </row>
    <row r="10" spans="1:22">
      <c r="A10" s="1" t="s">
        <v>35</v>
      </c>
      <c r="B10" s="1" t="s">
        <v>36</v>
      </c>
      <c r="C10" s="1" t="s">
        <v>37</v>
      </c>
      <c r="D10" s="1" t="s">
        <v>12</v>
      </c>
      <c r="E10" s="12">
        <v>15318</v>
      </c>
      <c r="F10" s="12" t="s">
        <v>13</v>
      </c>
      <c r="G10" s="6">
        <v>1751.47</v>
      </c>
      <c r="H10" s="1">
        <v>39.76</v>
      </c>
      <c r="J10" t="str">
        <f t="shared" si="0"/>
        <v>OK</v>
      </c>
      <c r="K10" t="str">
        <f t="shared" si="1"/>
        <v>OK</v>
      </c>
      <c r="L10">
        <f t="shared" si="10"/>
        <v>12</v>
      </c>
      <c r="M10">
        <f t="shared" si="2"/>
        <v>10</v>
      </c>
      <c r="N10" s="9" t="str">
        <f t="shared" si="11"/>
        <v>Valid</v>
      </c>
      <c r="O10" t="str">
        <f t="shared" si="3"/>
        <v>Include</v>
      </c>
      <c r="P10" s="9">
        <f t="shared" si="4"/>
        <v>2035068.5799999984</v>
      </c>
      <c r="Q10" s="15">
        <f t="shared" si="5"/>
        <v>7469725</v>
      </c>
      <c r="R10" s="9">
        <f t="shared" si="6"/>
        <v>15318</v>
      </c>
      <c r="S10" s="9">
        <f t="shared" si="7"/>
        <v>7469725</v>
      </c>
      <c r="T10" s="15">
        <f t="shared" si="8"/>
        <v>16.686436250344954</v>
      </c>
      <c r="U10" s="15">
        <f>IF(O10="Exclude",0,G10*Fuel_Price!$B$2)</f>
        <v>2573.259724</v>
      </c>
      <c r="V10" s="15">
        <f t="shared" si="9"/>
        <v>2989922.7577359979</v>
      </c>
    </row>
    <row r="11" spans="1:22">
      <c r="A11" s="1" t="s">
        <v>38</v>
      </c>
      <c r="B11" s="1" t="s">
        <v>39</v>
      </c>
      <c r="C11" s="1" t="s">
        <v>40</v>
      </c>
      <c r="D11" s="1" t="s">
        <v>12</v>
      </c>
      <c r="E11" s="12">
        <v>15063</v>
      </c>
      <c r="F11" s="12" t="s">
        <v>13</v>
      </c>
      <c r="G11" s="6">
        <v>1698.86</v>
      </c>
      <c r="H11" s="1">
        <v>40.31</v>
      </c>
      <c r="J11" t="str">
        <f t="shared" si="0"/>
        <v>OK</v>
      </c>
      <c r="K11" t="str">
        <f t="shared" si="1"/>
        <v>OK</v>
      </c>
      <c r="L11">
        <f t="shared" si="10"/>
        <v>12</v>
      </c>
      <c r="M11">
        <f t="shared" si="2"/>
        <v>10</v>
      </c>
      <c r="N11" s="9" t="str">
        <f t="shared" si="11"/>
        <v>Valid</v>
      </c>
      <c r="O11" t="str">
        <f t="shared" si="3"/>
        <v>Include</v>
      </c>
      <c r="P11" s="9">
        <f t="shared" si="4"/>
        <v>2035068.5799999984</v>
      </c>
      <c r="Q11" s="15">
        <f t="shared" si="5"/>
        <v>7469725</v>
      </c>
      <c r="R11" s="9">
        <f t="shared" si="6"/>
        <v>15063</v>
      </c>
      <c r="S11" s="9">
        <f t="shared" si="7"/>
        <v>7469725</v>
      </c>
      <c r="T11" s="15">
        <f t="shared" si="8"/>
        <v>16.686436250344954</v>
      </c>
      <c r="U11" s="15">
        <f>IF(O11="Exclude",0,G11*Fuel_Price!$B$2)</f>
        <v>2495.9651119999999</v>
      </c>
      <c r="V11" s="15">
        <f t="shared" si="9"/>
        <v>2989922.7577359979</v>
      </c>
    </row>
    <row r="12" spans="1:22">
      <c r="A12" s="1" t="s">
        <v>41</v>
      </c>
      <c r="B12" s="1" t="s">
        <v>42</v>
      </c>
      <c r="C12" s="1" t="s">
        <v>40</v>
      </c>
      <c r="D12" s="1" t="s">
        <v>12</v>
      </c>
      <c r="E12" s="12">
        <v>12438</v>
      </c>
      <c r="F12" s="12" t="s">
        <v>13</v>
      </c>
      <c r="G12" s="6">
        <v>1286.78</v>
      </c>
      <c r="H12" s="1">
        <v>43.94</v>
      </c>
      <c r="J12" t="str">
        <f t="shared" si="0"/>
        <v>OK</v>
      </c>
      <c r="K12" t="str">
        <f t="shared" si="1"/>
        <v>OK</v>
      </c>
      <c r="L12">
        <f t="shared" si="10"/>
        <v>12</v>
      </c>
      <c r="M12">
        <f t="shared" si="2"/>
        <v>10</v>
      </c>
      <c r="N12" s="9" t="str">
        <f t="shared" si="11"/>
        <v>Valid</v>
      </c>
      <c r="O12" t="str">
        <f t="shared" si="3"/>
        <v>Include</v>
      </c>
      <c r="P12" s="9">
        <f t="shared" si="4"/>
        <v>2035068.5799999984</v>
      </c>
      <c r="Q12" s="15">
        <f t="shared" si="5"/>
        <v>7469725</v>
      </c>
      <c r="R12" s="9">
        <f t="shared" si="6"/>
        <v>12438</v>
      </c>
      <c r="S12" s="9">
        <f t="shared" si="7"/>
        <v>7469725</v>
      </c>
      <c r="T12" s="15">
        <f t="shared" si="8"/>
        <v>16.686436250344954</v>
      </c>
      <c r="U12" s="15">
        <f>IF(O12="Exclude",0,G12*Fuel_Price!$B$2)</f>
        <v>1890.537176</v>
      </c>
      <c r="V12" s="15">
        <f t="shared" si="9"/>
        <v>2989922.7577359979</v>
      </c>
    </row>
    <row r="13" spans="1:22">
      <c r="A13" s="1" t="s">
        <v>43</v>
      </c>
      <c r="B13" s="1" t="s">
        <v>44</v>
      </c>
      <c r="C13" s="1" t="s">
        <v>40</v>
      </c>
      <c r="D13" s="1" t="s">
        <v>12</v>
      </c>
      <c r="E13" s="12">
        <v>8468</v>
      </c>
      <c r="F13" s="12" t="s">
        <v>13</v>
      </c>
      <c r="G13" s="6">
        <v>1096.3399999999999</v>
      </c>
      <c r="H13" s="1">
        <v>35.11</v>
      </c>
      <c r="J13" t="str">
        <f t="shared" si="0"/>
        <v>OK</v>
      </c>
      <c r="K13" t="str">
        <f t="shared" si="1"/>
        <v>OK</v>
      </c>
      <c r="L13">
        <f t="shared" si="10"/>
        <v>12</v>
      </c>
      <c r="M13">
        <f t="shared" si="2"/>
        <v>10</v>
      </c>
      <c r="N13" s="9" t="str">
        <f t="shared" si="11"/>
        <v>Valid</v>
      </c>
      <c r="O13" t="str">
        <f t="shared" si="3"/>
        <v>Include</v>
      </c>
      <c r="P13" s="9">
        <f t="shared" si="4"/>
        <v>2035068.5799999984</v>
      </c>
      <c r="Q13" s="15">
        <f t="shared" si="5"/>
        <v>7469725</v>
      </c>
      <c r="R13" s="9">
        <f t="shared" si="6"/>
        <v>8468</v>
      </c>
      <c r="S13" s="9">
        <f t="shared" si="7"/>
        <v>7469725</v>
      </c>
      <c r="T13" s="15">
        <f t="shared" si="8"/>
        <v>16.686436250344954</v>
      </c>
      <c r="U13" s="15">
        <f>IF(O13="Exclude",0,G13*Fuel_Price!$B$2)</f>
        <v>1610.7427279999999</v>
      </c>
      <c r="V13" s="15">
        <f t="shared" si="9"/>
        <v>2989922.7577359979</v>
      </c>
    </row>
    <row r="14" spans="1:22">
      <c r="A14" s="1" t="s">
        <v>45</v>
      </c>
      <c r="B14" s="1" t="s">
        <v>46</v>
      </c>
      <c r="C14" s="1" t="s">
        <v>40</v>
      </c>
      <c r="D14" s="1" t="s">
        <v>12</v>
      </c>
      <c r="E14" s="12">
        <v>13695</v>
      </c>
      <c r="F14" s="12" t="s">
        <v>13</v>
      </c>
      <c r="G14" s="6">
        <v>1525.83</v>
      </c>
      <c r="H14" s="1">
        <v>40.799999999999997</v>
      </c>
      <c r="J14" t="str">
        <f t="shared" si="0"/>
        <v>OK</v>
      </c>
      <c r="K14" t="str">
        <f t="shared" si="1"/>
        <v>OK</v>
      </c>
      <c r="L14">
        <f t="shared" si="10"/>
        <v>12</v>
      </c>
      <c r="M14">
        <f t="shared" si="2"/>
        <v>10</v>
      </c>
      <c r="N14" s="9" t="str">
        <f t="shared" si="11"/>
        <v>Valid</v>
      </c>
      <c r="O14" t="str">
        <f t="shared" si="3"/>
        <v>Include</v>
      </c>
      <c r="P14" s="9">
        <f t="shared" si="4"/>
        <v>2035068.5799999984</v>
      </c>
      <c r="Q14" s="15">
        <f t="shared" si="5"/>
        <v>7469725</v>
      </c>
      <c r="R14" s="9">
        <f t="shared" si="6"/>
        <v>13695</v>
      </c>
      <c r="S14" s="9">
        <f t="shared" si="7"/>
        <v>7469725</v>
      </c>
      <c r="T14" s="15">
        <f t="shared" si="8"/>
        <v>16.686436250344954</v>
      </c>
      <c r="U14" s="15">
        <f>IF(O14="Exclude",0,G14*Fuel_Price!$B$2)</f>
        <v>2241.7494360000001</v>
      </c>
      <c r="V14" s="15">
        <f t="shared" si="9"/>
        <v>2989922.7577359979</v>
      </c>
    </row>
    <row r="15" spans="1:22">
      <c r="A15" s="1" t="s">
        <v>47</v>
      </c>
      <c r="B15" s="1" t="s">
        <v>48</v>
      </c>
      <c r="C15" s="1" t="s">
        <v>49</v>
      </c>
      <c r="D15" s="1" t="s">
        <v>12</v>
      </c>
      <c r="E15" s="12">
        <v>15272</v>
      </c>
      <c r="F15" s="12" t="s">
        <v>13</v>
      </c>
      <c r="G15" s="6">
        <v>1730.89</v>
      </c>
      <c r="H15" s="1">
        <v>40.11</v>
      </c>
      <c r="J15" t="str">
        <f t="shared" si="0"/>
        <v>OK</v>
      </c>
      <c r="K15" t="str">
        <f t="shared" si="1"/>
        <v>OK</v>
      </c>
      <c r="L15">
        <f t="shared" si="10"/>
        <v>12</v>
      </c>
      <c r="M15">
        <f t="shared" si="2"/>
        <v>10</v>
      </c>
      <c r="N15" s="9" t="str">
        <f t="shared" si="11"/>
        <v>Valid</v>
      </c>
      <c r="O15" t="str">
        <f t="shared" si="3"/>
        <v>Include</v>
      </c>
      <c r="P15" s="9">
        <f t="shared" si="4"/>
        <v>2035068.5799999984</v>
      </c>
      <c r="Q15" s="15">
        <f t="shared" si="5"/>
        <v>7469725</v>
      </c>
      <c r="R15" s="9">
        <f t="shared" si="6"/>
        <v>15272</v>
      </c>
      <c r="S15" s="9">
        <f t="shared" si="7"/>
        <v>7469725</v>
      </c>
      <c r="T15" s="15">
        <f t="shared" si="8"/>
        <v>16.686436250344954</v>
      </c>
      <c r="U15" s="15">
        <f>IF(O15="Exclude",0,G15*Fuel_Price!$B$2)</f>
        <v>2543.0235880000005</v>
      </c>
      <c r="V15" s="15">
        <f t="shared" si="9"/>
        <v>2989922.7577359979</v>
      </c>
    </row>
    <row r="16" spans="1:22">
      <c r="A16" s="1" t="s">
        <v>50</v>
      </c>
      <c r="B16" s="1" t="s">
        <v>51</v>
      </c>
      <c r="C16" s="1" t="s">
        <v>49</v>
      </c>
      <c r="D16" s="1" t="s">
        <v>12</v>
      </c>
      <c r="E16" s="12">
        <v>4511</v>
      </c>
      <c r="F16" s="12" t="s">
        <v>13</v>
      </c>
      <c r="G16" s="6">
        <v>658.85</v>
      </c>
      <c r="H16" s="1">
        <v>31.13</v>
      </c>
      <c r="J16" t="str">
        <f t="shared" si="0"/>
        <v>OK</v>
      </c>
      <c r="K16" t="str">
        <f t="shared" si="1"/>
        <v>OK</v>
      </c>
      <c r="L16">
        <f t="shared" si="10"/>
        <v>12</v>
      </c>
      <c r="M16">
        <f t="shared" si="2"/>
        <v>10</v>
      </c>
      <c r="N16" s="9" t="str">
        <f t="shared" si="11"/>
        <v>Valid</v>
      </c>
      <c r="O16" t="str">
        <f t="shared" si="3"/>
        <v>Include</v>
      </c>
      <c r="P16" s="9">
        <f t="shared" si="4"/>
        <v>2035068.5799999984</v>
      </c>
      <c r="Q16" s="15">
        <f t="shared" si="5"/>
        <v>7469725</v>
      </c>
      <c r="R16" s="9">
        <f t="shared" si="6"/>
        <v>4511</v>
      </c>
      <c r="S16" s="9">
        <f t="shared" si="7"/>
        <v>7469725</v>
      </c>
      <c r="T16" s="15">
        <f t="shared" si="8"/>
        <v>16.686436250344954</v>
      </c>
      <c r="U16" s="15">
        <f>IF(O16="Exclude",0,G16*Fuel_Price!$B$2)</f>
        <v>967.98242000000005</v>
      </c>
      <c r="V16" s="15">
        <f t="shared" si="9"/>
        <v>2989922.7577359979</v>
      </c>
    </row>
    <row r="17" spans="1:22">
      <c r="A17" s="1" t="s">
        <v>52</v>
      </c>
      <c r="B17" s="1" t="s">
        <v>53</v>
      </c>
      <c r="C17" s="1" t="s">
        <v>49</v>
      </c>
      <c r="D17" s="1" t="s">
        <v>12</v>
      </c>
      <c r="E17" s="12">
        <v>14293</v>
      </c>
      <c r="F17" s="12" t="s">
        <v>13</v>
      </c>
      <c r="G17" s="6">
        <v>1751.51</v>
      </c>
      <c r="H17" s="1">
        <v>37.1</v>
      </c>
      <c r="J17" t="str">
        <f t="shared" si="0"/>
        <v>OK</v>
      </c>
      <c r="K17" t="str">
        <f t="shared" si="1"/>
        <v>OK</v>
      </c>
      <c r="L17">
        <f t="shared" si="10"/>
        <v>12</v>
      </c>
      <c r="M17">
        <f t="shared" si="2"/>
        <v>10</v>
      </c>
      <c r="N17" s="9" t="str">
        <f t="shared" si="11"/>
        <v>Valid</v>
      </c>
      <c r="O17" t="str">
        <f t="shared" si="3"/>
        <v>Include</v>
      </c>
      <c r="P17" s="9">
        <f t="shared" si="4"/>
        <v>2035068.5799999984</v>
      </c>
      <c r="Q17" s="15">
        <f t="shared" si="5"/>
        <v>7469725</v>
      </c>
      <c r="R17" s="9">
        <f t="shared" si="6"/>
        <v>14293</v>
      </c>
      <c r="S17" s="9">
        <f t="shared" si="7"/>
        <v>7469725</v>
      </c>
      <c r="T17" s="15">
        <f t="shared" si="8"/>
        <v>16.686436250344954</v>
      </c>
      <c r="U17" s="15">
        <f>IF(O17="Exclude",0,G17*Fuel_Price!$B$2)</f>
        <v>2573.3184919999999</v>
      </c>
      <c r="V17" s="15">
        <f t="shared" si="9"/>
        <v>2989922.7577359979</v>
      </c>
    </row>
    <row r="18" spans="1:22">
      <c r="A18" s="1" t="s">
        <v>54</v>
      </c>
      <c r="B18" s="1" t="s">
        <v>55</v>
      </c>
      <c r="C18" s="1" t="s">
        <v>49</v>
      </c>
      <c r="D18" s="1" t="s">
        <v>12</v>
      </c>
      <c r="E18" s="12">
        <v>14443</v>
      </c>
      <c r="F18" s="12" t="s">
        <v>13</v>
      </c>
      <c r="G18" s="6">
        <v>1654.04</v>
      </c>
      <c r="H18" s="1">
        <v>39.700000000000003</v>
      </c>
      <c r="J18" t="str">
        <f t="shared" si="0"/>
        <v>OK</v>
      </c>
      <c r="K18" t="str">
        <f t="shared" si="1"/>
        <v>OK</v>
      </c>
      <c r="L18">
        <f t="shared" si="10"/>
        <v>12</v>
      </c>
      <c r="M18">
        <f t="shared" si="2"/>
        <v>10</v>
      </c>
      <c r="N18" s="9" t="str">
        <f t="shared" si="11"/>
        <v>Valid</v>
      </c>
      <c r="O18" t="str">
        <f t="shared" si="3"/>
        <v>Include</v>
      </c>
      <c r="P18" s="9">
        <f t="shared" si="4"/>
        <v>2035068.5799999984</v>
      </c>
      <c r="Q18" s="15">
        <f t="shared" si="5"/>
        <v>7469725</v>
      </c>
      <c r="R18" s="9">
        <f t="shared" si="6"/>
        <v>14443</v>
      </c>
      <c r="S18" s="9">
        <f t="shared" si="7"/>
        <v>7469725</v>
      </c>
      <c r="T18" s="15">
        <f t="shared" si="8"/>
        <v>16.686436250344954</v>
      </c>
      <c r="U18" s="15">
        <f>IF(O18="Exclude",0,G18*Fuel_Price!$B$2)</f>
        <v>2430.1155680000002</v>
      </c>
      <c r="V18" s="15">
        <f t="shared" si="9"/>
        <v>2989922.7577359979</v>
      </c>
    </row>
    <row r="19" spans="1:22">
      <c r="A19" s="1" t="s">
        <v>56</v>
      </c>
      <c r="B19" s="1" t="s">
        <v>57</v>
      </c>
      <c r="C19" s="1" t="s">
        <v>58</v>
      </c>
      <c r="D19" s="1" t="s">
        <v>12</v>
      </c>
      <c r="E19" s="12">
        <v>9302</v>
      </c>
      <c r="F19" s="12" t="s">
        <v>13</v>
      </c>
      <c r="G19" s="6">
        <v>1180.68</v>
      </c>
      <c r="H19" s="1">
        <v>35.82</v>
      </c>
      <c r="J19" t="str">
        <f t="shared" si="0"/>
        <v>OK</v>
      </c>
      <c r="K19" t="str">
        <f t="shared" si="1"/>
        <v>OK</v>
      </c>
      <c r="L19">
        <f t="shared" si="10"/>
        <v>12</v>
      </c>
      <c r="M19">
        <f t="shared" si="2"/>
        <v>10</v>
      </c>
      <c r="N19" s="9" t="str">
        <f t="shared" si="11"/>
        <v>Valid</v>
      </c>
      <c r="O19" t="str">
        <f t="shared" si="3"/>
        <v>Include</v>
      </c>
      <c r="P19" s="9">
        <f t="shared" si="4"/>
        <v>2035068.5799999984</v>
      </c>
      <c r="Q19" s="15">
        <f t="shared" si="5"/>
        <v>7469725</v>
      </c>
      <c r="R19" s="9">
        <f t="shared" si="6"/>
        <v>9302</v>
      </c>
      <c r="S19" s="9">
        <f t="shared" si="7"/>
        <v>7469725</v>
      </c>
      <c r="T19" s="15">
        <f t="shared" si="8"/>
        <v>16.686436250344954</v>
      </c>
      <c r="U19" s="15">
        <f>IF(O19="Exclude",0,G19*Fuel_Price!$B$2)</f>
        <v>1734.6550560000001</v>
      </c>
      <c r="V19" s="15">
        <f t="shared" si="9"/>
        <v>2989922.7577359979</v>
      </c>
    </row>
    <row r="20" spans="1:22">
      <c r="A20" s="1" t="s">
        <v>59</v>
      </c>
      <c r="B20" s="1" t="s">
        <v>60</v>
      </c>
      <c r="C20" s="1" t="s">
        <v>58</v>
      </c>
      <c r="D20" s="1" t="s">
        <v>12</v>
      </c>
      <c r="E20" s="12">
        <v>9345</v>
      </c>
      <c r="F20" s="12" t="s">
        <v>13</v>
      </c>
      <c r="G20" s="6">
        <v>1158.71</v>
      </c>
      <c r="H20" s="1">
        <v>36.659999999999997</v>
      </c>
      <c r="J20" t="str">
        <f t="shared" si="0"/>
        <v>OK</v>
      </c>
      <c r="K20" t="str">
        <f t="shared" si="1"/>
        <v>OK</v>
      </c>
      <c r="L20">
        <f t="shared" si="10"/>
        <v>12</v>
      </c>
      <c r="M20">
        <f t="shared" si="2"/>
        <v>10</v>
      </c>
      <c r="N20" s="9" t="str">
        <f t="shared" si="11"/>
        <v>Valid</v>
      </c>
      <c r="O20" t="str">
        <f t="shared" si="3"/>
        <v>Include</v>
      </c>
      <c r="P20" s="9">
        <f t="shared" si="4"/>
        <v>2035068.5799999984</v>
      </c>
      <c r="Q20" s="15">
        <f t="shared" si="5"/>
        <v>7469725</v>
      </c>
      <c r="R20" s="9">
        <f t="shared" si="6"/>
        <v>9345</v>
      </c>
      <c r="S20" s="9">
        <f t="shared" si="7"/>
        <v>7469725</v>
      </c>
      <c r="T20" s="15">
        <f t="shared" si="8"/>
        <v>16.686436250344954</v>
      </c>
      <c r="U20" s="15">
        <f>IF(O20="Exclude",0,G20*Fuel_Price!$B$2)</f>
        <v>1702.3767320000002</v>
      </c>
      <c r="V20" s="15">
        <f t="shared" si="9"/>
        <v>2989922.7577359979</v>
      </c>
    </row>
    <row r="21" spans="1:22">
      <c r="A21" s="1" t="s">
        <v>61</v>
      </c>
      <c r="B21" s="1" t="s">
        <v>62</v>
      </c>
      <c r="C21" s="1" t="s">
        <v>58</v>
      </c>
      <c r="D21" s="1" t="s">
        <v>12</v>
      </c>
      <c r="E21" s="12">
        <v>8964</v>
      </c>
      <c r="F21" s="12" t="s">
        <v>13</v>
      </c>
      <c r="G21" s="6">
        <v>1115.06</v>
      </c>
      <c r="H21" s="1">
        <v>36.549999999999997</v>
      </c>
      <c r="J21" t="str">
        <f t="shared" si="0"/>
        <v>OK</v>
      </c>
      <c r="K21" t="str">
        <f t="shared" si="1"/>
        <v>OK</v>
      </c>
      <c r="L21">
        <f t="shared" si="10"/>
        <v>12</v>
      </c>
      <c r="M21">
        <f t="shared" si="2"/>
        <v>10</v>
      </c>
      <c r="N21" s="9" t="str">
        <f t="shared" si="11"/>
        <v>Valid</v>
      </c>
      <c r="O21" t="str">
        <f t="shared" si="3"/>
        <v>Include</v>
      </c>
      <c r="P21" s="9">
        <f t="shared" si="4"/>
        <v>2035068.5799999984</v>
      </c>
      <c r="Q21" s="15">
        <f t="shared" si="5"/>
        <v>7469725</v>
      </c>
      <c r="R21" s="9">
        <f t="shared" si="6"/>
        <v>8964</v>
      </c>
      <c r="S21" s="9">
        <f t="shared" si="7"/>
        <v>7469725</v>
      </c>
      <c r="T21" s="15">
        <f t="shared" si="8"/>
        <v>16.686436250344954</v>
      </c>
      <c r="U21" s="15">
        <f>IF(O21="Exclude",0,G21*Fuel_Price!$B$2)</f>
        <v>1638.2461519999999</v>
      </c>
      <c r="V21" s="15">
        <f t="shared" si="9"/>
        <v>2989922.7577359979</v>
      </c>
    </row>
    <row r="22" spans="1:22">
      <c r="A22" s="1" t="s">
        <v>63</v>
      </c>
      <c r="B22" s="1" t="s">
        <v>64</v>
      </c>
      <c r="C22" s="1" t="s">
        <v>58</v>
      </c>
      <c r="D22" s="1" t="s">
        <v>12</v>
      </c>
      <c r="E22" s="12">
        <v>7813</v>
      </c>
      <c r="F22" s="12" t="s">
        <v>13</v>
      </c>
      <c r="G22" s="6">
        <v>1103.42</v>
      </c>
      <c r="H22" s="1">
        <v>32.19</v>
      </c>
      <c r="J22" t="str">
        <f t="shared" si="0"/>
        <v>OK</v>
      </c>
      <c r="K22" t="str">
        <f t="shared" si="1"/>
        <v>OK</v>
      </c>
      <c r="L22">
        <f t="shared" si="10"/>
        <v>12</v>
      </c>
      <c r="M22">
        <f t="shared" si="2"/>
        <v>10</v>
      </c>
      <c r="N22" s="9" t="str">
        <f t="shared" si="11"/>
        <v>Valid</v>
      </c>
      <c r="O22" t="str">
        <f t="shared" si="3"/>
        <v>Include</v>
      </c>
      <c r="P22" s="9">
        <f t="shared" si="4"/>
        <v>2035068.5799999984</v>
      </c>
      <c r="Q22" s="15">
        <f t="shared" si="5"/>
        <v>7469725</v>
      </c>
      <c r="R22" s="9">
        <f t="shared" si="6"/>
        <v>7813</v>
      </c>
      <c r="S22" s="9">
        <f t="shared" si="7"/>
        <v>7469725</v>
      </c>
      <c r="T22" s="15">
        <f t="shared" si="8"/>
        <v>16.686436250344954</v>
      </c>
      <c r="U22" s="15">
        <f>IF(O22="Exclude",0,G22*Fuel_Price!$B$2)</f>
        <v>1621.1446640000001</v>
      </c>
      <c r="V22" s="15">
        <f t="shared" si="9"/>
        <v>2989922.7577359979</v>
      </c>
    </row>
    <row r="23" spans="1:22">
      <c r="A23" s="1" t="s">
        <v>65</v>
      </c>
      <c r="B23" s="1" t="s">
        <v>66</v>
      </c>
      <c r="C23" s="1" t="s">
        <v>58</v>
      </c>
      <c r="D23" s="1" t="s">
        <v>12</v>
      </c>
      <c r="E23" s="12">
        <v>14412</v>
      </c>
      <c r="F23" s="12" t="s">
        <v>13</v>
      </c>
      <c r="G23" s="6">
        <v>1690.72</v>
      </c>
      <c r="H23" s="1">
        <v>38.75</v>
      </c>
      <c r="J23" t="str">
        <f t="shared" si="0"/>
        <v>OK</v>
      </c>
      <c r="K23" t="str">
        <f t="shared" si="1"/>
        <v>OK</v>
      </c>
      <c r="L23">
        <f t="shared" si="10"/>
        <v>12</v>
      </c>
      <c r="M23">
        <f t="shared" si="2"/>
        <v>10</v>
      </c>
      <c r="N23" s="9" t="str">
        <f t="shared" si="11"/>
        <v>Valid</v>
      </c>
      <c r="O23" t="str">
        <f t="shared" si="3"/>
        <v>Include</v>
      </c>
      <c r="P23" s="9">
        <f t="shared" si="4"/>
        <v>2035068.5799999984</v>
      </c>
      <c r="Q23" s="15">
        <f t="shared" si="5"/>
        <v>7469725</v>
      </c>
      <c r="R23" s="9">
        <f t="shared" si="6"/>
        <v>14412</v>
      </c>
      <c r="S23" s="9">
        <f t="shared" si="7"/>
        <v>7469725</v>
      </c>
      <c r="T23" s="15">
        <f t="shared" si="8"/>
        <v>16.686436250344954</v>
      </c>
      <c r="U23" s="15">
        <f>IF(O23="Exclude",0,G23*Fuel_Price!$B$2)</f>
        <v>2484.0058240000003</v>
      </c>
      <c r="V23" s="15">
        <f t="shared" si="9"/>
        <v>2989922.7577359979</v>
      </c>
    </row>
    <row r="24" spans="1:22">
      <c r="A24" s="1" t="s">
        <v>67</v>
      </c>
      <c r="B24" s="1" t="s">
        <v>68</v>
      </c>
      <c r="C24" s="1" t="s">
        <v>58</v>
      </c>
      <c r="D24" s="1" t="s">
        <v>12</v>
      </c>
      <c r="E24" s="12">
        <v>10054</v>
      </c>
      <c r="F24" s="12" t="s">
        <v>13</v>
      </c>
      <c r="G24" s="6">
        <v>1253.67</v>
      </c>
      <c r="H24" s="1">
        <v>36.46</v>
      </c>
      <c r="J24" t="str">
        <f t="shared" si="0"/>
        <v>OK</v>
      </c>
      <c r="K24" t="str">
        <f t="shared" si="1"/>
        <v>OK</v>
      </c>
      <c r="L24">
        <f t="shared" si="10"/>
        <v>12</v>
      </c>
      <c r="M24">
        <f t="shared" si="2"/>
        <v>10</v>
      </c>
      <c r="N24" s="9" t="str">
        <f t="shared" si="11"/>
        <v>Valid</v>
      </c>
      <c r="O24" t="str">
        <f t="shared" si="3"/>
        <v>Include</v>
      </c>
      <c r="P24" s="9">
        <f t="shared" si="4"/>
        <v>2035068.5799999984</v>
      </c>
      <c r="Q24" s="15">
        <f t="shared" si="5"/>
        <v>7469725</v>
      </c>
      <c r="R24" s="9">
        <f t="shared" si="6"/>
        <v>10054</v>
      </c>
      <c r="S24" s="9">
        <f t="shared" si="7"/>
        <v>7469725</v>
      </c>
      <c r="T24" s="15">
        <f t="shared" si="8"/>
        <v>16.686436250344954</v>
      </c>
      <c r="U24" s="15">
        <f>IF(O24="Exclude",0,G24*Fuel_Price!$B$2)</f>
        <v>1841.8919640000001</v>
      </c>
      <c r="V24" s="15">
        <f t="shared" si="9"/>
        <v>2989922.7577359979</v>
      </c>
    </row>
    <row r="25" spans="1:22">
      <c r="A25" s="1" t="s">
        <v>69</v>
      </c>
      <c r="B25" s="1" t="s">
        <v>70</v>
      </c>
      <c r="C25" s="1" t="s">
        <v>49</v>
      </c>
      <c r="D25" s="1" t="s">
        <v>12</v>
      </c>
      <c r="E25" s="12">
        <v>15360</v>
      </c>
      <c r="F25" s="12" t="s">
        <v>13</v>
      </c>
      <c r="G25" s="6">
        <v>1821.59</v>
      </c>
      <c r="H25" s="1">
        <v>38.33</v>
      </c>
      <c r="J25" t="str">
        <f t="shared" si="0"/>
        <v>OK</v>
      </c>
      <c r="K25" t="str">
        <f t="shared" si="1"/>
        <v>OK</v>
      </c>
      <c r="L25">
        <f t="shared" si="10"/>
        <v>12</v>
      </c>
      <c r="M25">
        <f t="shared" si="2"/>
        <v>10</v>
      </c>
      <c r="N25" s="9" t="str">
        <f t="shared" si="11"/>
        <v>Valid</v>
      </c>
      <c r="O25" t="str">
        <f t="shared" si="3"/>
        <v>Include</v>
      </c>
      <c r="P25" s="9">
        <f t="shared" si="4"/>
        <v>2035068.5799999984</v>
      </c>
      <c r="Q25" s="15">
        <f t="shared" si="5"/>
        <v>7469725</v>
      </c>
      <c r="R25" s="9">
        <f t="shared" si="6"/>
        <v>15360</v>
      </c>
      <c r="S25" s="9">
        <f t="shared" si="7"/>
        <v>7469725</v>
      </c>
      <c r="T25" s="15">
        <f t="shared" si="8"/>
        <v>16.686436250344954</v>
      </c>
      <c r="U25" s="15">
        <f>IF(O25="Exclude",0,G25*Fuel_Price!$B$2)</f>
        <v>2676.2800280000001</v>
      </c>
      <c r="V25" s="15">
        <f t="shared" si="9"/>
        <v>2989922.7577359979</v>
      </c>
    </row>
    <row r="26" spans="1:22">
      <c r="A26" s="1" t="s">
        <v>71</v>
      </c>
      <c r="B26" s="1" t="s">
        <v>72</v>
      </c>
      <c r="C26" s="1" t="s">
        <v>58</v>
      </c>
      <c r="D26" s="1" t="s">
        <v>12</v>
      </c>
      <c r="E26" s="12">
        <v>14899</v>
      </c>
      <c r="F26" s="12" t="s">
        <v>13</v>
      </c>
      <c r="G26" s="6">
        <v>1644.64</v>
      </c>
      <c r="H26" s="1">
        <v>41.18</v>
      </c>
      <c r="J26" t="str">
        <f t="shared" si="0"/>
        <v>OK</v>
      </c>
      <c r="K26" t="str">
        <f t="shared" si="1"/>
        <v>OK</v>
      </c>
      <c r="L26">
        <f t="shared" si="10"/>
        <v>12</v>
      </c>
      <c r="M26">
        <f t="shared" si="2"/>
        <v>10</v>
      </c>
      <c r="N26" s="9" t="str">
        <f t="shared" si="11"/>
        <v>Valid</v>
      </c>
      <c r="O26" t="str">
        <f t="shared" si="3"/>
        <v>Include</v>
      </c>
      <c r="P26" s="9">
        <f t="shared" si="4"/>
        <v>2035068.5799999984</v>
      </c>
      <c r="Q26" s="15">
        <f t="shared" si="5"/>
        <v>7469725</v>
      </c>
      <c r="R26" s="9">
        <f t="shared" si="6"/>
        <v>14899</v>
      </c>
      <c r="S26" s="9">
        <f t="shared" si="7"/>
        <v>7469725</v>
      </c>
      <c r="T26" s="15">
        <f t="shared" si="8"/>
        <v>16.686436250344954</v>
      </c>
      <c r="U26" s="15">
        <f>IF(O26="Exclude",0,G26*Fuel_Price!$B$2)</f>
        <v>2416.3050880000001</v>
      </c>
      <c r="V26" s="15">
        <f t="shared" si="9"/>
        <v>2989922.7577359979</v>
      </c>
    </row>
    <row r="27" spans="1:22">
      <c r="A27" s="1" t="s">
        <v>73</v>
      </c>
      <c r="B27" s="1" t="s">
        <v>74</v>
      </c>
      <c r="C27" s="1" t="s">
        <v>58</v>
      </c>
      <c r="D27" s="1" t="s">
        <v>12</v>
      </c>
      <c r="E27" s="12">
        <v>15139</v>
      </c>
      <c r="F27" s="12" t="s">
        <v>13</v>
      </c>
      <c r="G27" s="6">
        <v>1917.17</v>
      </c>
      <c r="H27" s="1">
        <v>35.9</v>
      </c>
      <c r="J27" t="str">
        <f t="shared" si="0"/>
        <v>OK</v>
      </c>
      <c r="K27" t="str">
        <f t="shared" si="1"/>
        <v>OK</v>
      </c>
      <c r="L27">
        <f t="shared" si="10"/>
        <v>12</v>
      </c>
      <c r="M27">
        <f t="shared" si="2"/>
        <v>10</v>
      </c>
      <c r="N27" s="9" t="str">
        <f t="shared" si="11"/>
        <v>Valid</v>
      </c>
      <c r="O27" t="str">
        <f t="shared" si="3"/>
        <v>Include</v>
      </c>
      <c r="P27" s="9">
        <f t="shared" si="4"/>
        <v>2035068.5799999984</v>
      </c>
      <c r="Q27" s="15">
        <f t="shared" si="5"/>
        <v>7469725</v>
      </c>
      <c r="R27" s="9">
        <f t="shared" si="6"/>
        <v>15139</v>
      </c>
      <c r="S27" s="9">
        <f t="shared" si="7"/>
        <v>7469725</v>
      </c>
      <c r="T27" s="15">
        <f t="shared" si="8"/>
        <v>16.686436250344954</v>
      </c>
      <c r="U27" s="15">
        <f>IF(O27="Exclude",0,G27*Fuel_Price!$B$2)</f>
        <v>2816.7061640000002</v>
      </c>
      <c r="V27" s="15">
        <f t="shared" si="9"/>
        <v>2989922.7577359979</v>
      </c>
    </row>
    <row r="28" spans="1:22">
      <c r="A28" s="1" t="s">
        <v>75</v>
      </c>
      <c r="B28" s="1" t="s">
        <v>76</v>
      </c>
      <c r="C28" s="1" t="s">
        <v>77</v>
      </c>
      <c r="D28" s="1" t="s">
        <v>12</v>
      </c>
      <c r="E28" s="12">
        <v>15864</v>
      </c>
      <c r="F28" s="12" t="s">
        <v>13</v>
      </c>
      <c r="G28" s="6">
        <v>1798.38</v>
      </c>
      <c r="H28" s="1">
        <v>40.1</v>
      </c>
      <c r="J28" t="str">
        <f t="shared" si="0"/>
        <v>OK</v>
      </c>
      <c r="K28" t="str">
        <f t="shared" si="1"/>
        <v>OK</v>
      </c>
      <c r="L28">
        <f t="shared" si="10"/>
        <v>12</v>
      </c>
      <c r="M28">
        <f t="shared" si="2"/>
        <v>10</v>
      </c>
      <c r="N28" s="9" t="str">
        <f t="shared" si="11"/>
        <v>Valid</v>
      </c>
      <c r="O28" t="str">
        <f t="shared" si="3"/>
        <v>Include</v>
      </c>
      <c r="P28" s="9">
        <f t="shared" si="4"/>
        <v>2035068.5799999984</v>
      </c>
      <c r="Q28" s="15">
        <f t="shared" si="5"/>
        <v>7469725</v>
      </c>
      <c r="R28" s="9">
        <f t="shared" si="6"/>
        <v>15864</v>
      </c>
      <c r="S28" s="9">
        <f t="shared" si="7"/>
        <v>7469725</v>
      </c>
      <c r="T28" s="15">
        <f t="shared" si="8"/>
        <v>16.686436250344954</v>
      </c>
      <c r="U28" s="15">
        <f>IF(O28="Exclude",0,G28*Fuel_Price!$B$2)</f>
        <v>2642.1798960000001</v>
      </c>
      <c r="V28" s="15">
        <f t="shared" si="9"/>
        <v>2989922.7577359979</v>
      </c>
    </row>
    <row r="29" spans="1:22">
      <c r="A29" s="1" t="s">
        <v>78</v>
      </c>
      <c r="B29" s="1" t="s">
        <v>79</v>
      </c>
      <c r="C29" s="1" t="s">
        <v>58</v>
      </c>
      <c r="D29" s="1" t="s">
        <v>12</v>
      </c>
      <c r="E29" s="12">
        <v>20456</v>
      </c>
      <c r="F29" s="12" t="s">
        <v>13</v>
      </c>
      <c r="G29" s="6">
        <v>2658.94</v>
      </c>
      <c r="H29" s="1">
        <v>34.97</v>
      </c>
      <c r="J29" t="str">
        <f t="shared" si="0"/>
        <v>OK</v>
      </c>
      <c r="K29" t="str">
        <f t="shared" si="1"/>
        <v>OK</v>
      </c>
      <c r="L29">
        <f t="shared" si="10"/>
        <v>12</v>
      </c>
      <c r="M29">
        <f t="shared" si="2"/>
        <v>10</v>
      </c>
      <c r="N29" s="9" t="str">
        <f t="shared" si="11"/>
        <v>Valid</v>
      </c>
      <c r="O29" t="str">
        <f t="shared" si="3"/>
        <v>Include</v>
      </c>
      <c r="P29" s="9">
        <f t="shared" si="4"/>
        <v>2035068.5799999984</v>
      </c>
      <c r="Q29" s="15">
        <f t="shared" si="5"/>
        <v>7469725</v>
      </c>
      <c r="R29" s="9">
        <f t="shared" si="6"/>
        <v>20456</v>
      </c>
      <c r="S29" s="9">
        <f t="shared" si="7"/>
        <v>7469725</v>
      </c>
      <c r="T29" s="15">
        <f t="shared" si="8"/>
        <v>16.686436250344954</v>
      </c>
      <c r="U29" s="15">
        <f>IF(O29="Exclude",0,G29*Fuel_Price!$B$2)</f>
        <v>3906.5146480000003</v>
      </c>
      <c r="V29" s="15">
        <f t="shared" si="9"/>
        <v>2989922.7577359979</v>
      </c>
    </row>
    <row r="30" spans="1:22">
      <c r="A30" s="1" t="s">
        <v>80</v>
      </c>
      <c r="B30" s="1" t="s">
        <v>81</v>
      </c>
      <c r="C30" s="1" t="s">
        <v>82</v>
      </c>
      <c r="D30" s="1" t="s">
        <v>12</v>
      </c>
      <c r="E30" s="12">
        <v>14713</v>
      </c>
      <c r="F30" s="12" t="s">
        <v>13</v>
      </c>
      <c r="G30" s="6">
        <v>1804.09</v>
      </c>
      <c r="H30" s="1">
        <v>37.08</v>
      </c>
      <c r="J30" t="str">
        <f t="shared" si="0"/>
        <v>OK</v>
      </c>
      <c r="K30" t="str">
        <f t="shared" si="1"/>
        <v>OK</v>
      </c>
      <c r="L30">
        <f t="shared" si="10"/>
        <v>12</v>
      </c>
      <c r="M30">
        <f t="shared" si="2"/>
        <v>10</v>
      </c>
      <c r="N30" s="9" t="str">
        <f t="shared" si="11"/>
        <v>Valid</v>
      </c>
      <c r="O30" t="str">
        <f t="shared" si="3"/>
        <v>Include</v>
      </c>
      <c r="P30" s="9">
        <f t="shared" si="4"/>
        <v>2035068.5799999984</v>
      </c>
      <c r="Q30" s="15">
        <f t="shared" si="5"/>
        <v>7469725</v>
      </c>
      <c r="R30" s="9">
        <f t="shared" si="6"/>
        <v>14713</v>
      </c>
      <c r="S30" s="9">
        <f t="shared" si="7"/>
        <v>7469725</v>
      </c>
      <c r="T30" s="15">
        <f t="shared" si="8"/>
        <v>16.686436250344954</v>
      </c>
      <c r="U30" s="15">
        <f>IF(O30="Exclude",0,G30*Fuel_Price!$B$2)</f>
        <v>2650.5690279999999</v>
      </c>
      <c r="V30" s="15">
        <f t="shared" si="9"/>
        <v>2989922.7577359979</v>
      </c>
    </row>
    <row r="31" spans="1:22">
      <c r="A31" s="1" t="s">
        <v>83</v>
      </c>
      <c r="B31" s="1" t="s">
        <v>84</v>
      </c>
      <c r="C31" s="1" t="s">
        <v>85</v>
      </c>
      <c r="D31" s="1" t="s">
        <v>12</v>
      </c>
      <c r="E31" s="12">
        <v>7355</v>
      </c>
      <c r="F31" s="12" t="s">
        <v>13</v>
      </c>
      <c r="G31" s="6">
        <v>991.23</v>
      </c>
      <c r="H31" s="1">
        <v>33.729999999999997</v>
      </c>
      <c r="J31" t="str">
        <f t="shared" si="0"/>
        <v>OK</v>
      </c>
      <c r="K31" t="str">
        <f t="shared" si="1"/>
        <v>OK</v>
      </c>
      <c r="L31">
        <f t="shared" si="10"/>
        <v>12</v>
      </c>
      <c r="M31">
        <f t="shared" si="2"/>
        <v>10</v>
      </c>
      <c r="N31" s="9" t="str">
        <f t="shared" si="11"/>
        <v>Valid</v>
      </c>
      <c r="O31" t="str">
        <f t="shared" si="3"/>
        <v>Include</v>
      </c>
      <c r="P31" s="9">
        <f t="shared" si="4"/>
        <v>2035068.5799999984</v>
      </c>
      <c r="Q31" s="15">
        <f t="shared" si="5"/>
        <v>7469725</v>
      </c>
      <c r="R31" s="9">
        <f t="shared" si="6"/>
        <v>7355</v>
      </c>
      <c r="S31" s="9">
        <f t="shared" si="7"/>
        <v>7469725</v>
      </c>
      <c r="T31" s="15">
        <f t="shared" si="8"/>
        <v>16.686436250344954</v>
      </c>
      <c r="U31" s="15">
        <f>IF(O31="Exclude",0,G31*Fuel_Price!$B$2)</f>
        <v>1456.315116</v>
      </c>
      <c r="V31" s="15">
        <f t="shared" si="9"/>
        <v>2989922.7577359979</v>
      </c>
    </row>
    <row r="32" spans="1:22">
      <c r="A32" s="1" t="s">
        <v>86</v>
      </c>
      <c r="B32" s="1" t="s">
        <v>87</v>
      </c>
      <c r="C32" s="1" t="s">
        <v>77</v>
      </c>
      <c r="D32" s="1" t="s">
        <v>12</v>
      </c>
      <c r="E32" s="12">
        <v>8643</v>
      </c>
      <c r="F32" s="12" t="s">
        <v>13</v>
      </c>
      <c r="G32" s="6">
        <v>1101.1500000000001</v>
      </c>
      <c r="H32" s="1">
        <v>35.68</v>
      </c>
      <c r="J32" t="str">
        <f t="shared" si="0"/>
        <v>OK</v>
      </c>
      <c r="K32" t="str">
        <f t="shared" si="1"/>
        <v>OK</v>
      </c>
      <c r="L32">
        <f t="shared" si="10"/>
        <v>12</v>
      </c>
      <c r="M32">
        <f t="shared" si="2"/>
        <v>10</v>
      </c>
      <c r="N32" s="9" t="str">
        <f t="shared" si="11"/>
        <v>Valid</v>
      </c>
      <c r="O32" t="str">
        <f t="shared" si="3"/>
        <v>Include</v>
      </c>
      <c r="P32" s="9">
        <f t="shared" si="4"/>
        <v>2035068.5799999984</v>
      </c>
      <c r="Q32" s="15">
        <f t="shared" si="5"/>
        <v>7469725</v>
      </c>
      <c r="R32" s="9">
        <f t="shared" si="6"/>
        <v>8643</v>
      </c>
      <c r="S32" s="9">
        <f t="shared" si="7"/>
        <v>7469725</v>
      </c>
      <c r="T32" s="15">
        <f t="shared" si="8"/>
        <v>16.686436250344954</v>
      </c>
      <c r="U32" s="15">
        <f>IF(O32="Exclude",0,G32*Fuel_Price!$B$2)</f>
        <v>1617.8095800000001</v>
      </c>
      <c r="V32" s="15">
        <f t="shared" si="9"/>
        <v>2989922.7577359979</v>
      </c>
    </row>
    <row r="33" spans="1:22">
      <c r="A33" s="1" t="s">
        <v>88</v>
      </c>
      <c r="B33" s="1" t="s">
        <v>89</v>
      </c>
      <c r="C33" s="1" t="s">
        <v>90</v>
      </c>
      <c r="D33" s="1" t="s">
        <v>12</v>
      </c>
      <c r="E33" s="12">
        <v>7862</v>
      </c>
      <c r="F33" s="12" t="s">
        <v>13</v>
      </c>
      <c r="G33" s="6">
        <v>930.11</v>
      </c>
      <c r="H33" s="1">
        <v>38.43</v>
      </c>
      <c r="J33" t="str">
        <f t="shared" si="0"/>
        <v>OK</v>
      </c>
      <c r="K33" t="str">
        <f t="shared" si="1"/>
        <v>OK</v>
      </c>
      <c r="L33">
        <f t="shared" si="10"/>
        <v>12</v>
      </c>
      <c r="M33">
        <f t="shared" si="2"/>
        <v>10</v>
      </c>
      <c r="N33" s="9" t="str">
        <f t="shared" si="11"/>
        <v>Valid</v>
      </c>
      <c r="O33" t="str">
        <f t="shared" si="3"/>
        <v>Include</v>
      </c>
      <c r="P33" s="9">
        <f t="shared" si="4"/>
        <v>2035068.5799999984</v>
      </c>
      <c r="Q33" s="15">
        <f t="shared" si="5"/>
        <v>7469725</v>
      </c>
      <c r="R33" s="9">
        <f t="shared" si="6"/>
        <v>7862</v>
      </c>
      <c r="S33" s="9">
        <f t="shared" si="7"/>
        <v>7469725</v>
      </c>
      <c r="T33" s="15">
        <f t="shared" si="8"/>
        <v>16.686436250344954</v>
      </c>
      <c r="U33" s="15">
        <f>IF(O33="Exclude",0,G33*Fuel_Price!$B$2)</f>
        <v>1366.5176120000001</v>
      </c>
      <c r="V33" s="15">
        <f t="shared" si="9"/>
        <v>2989922.7577359979</v>
      </c>
    </row>
    <row r="34" spans="1:22">
      <c r="A34" s="1" t="s">
        <v>91</v>
      </c>
      <c r="B34" s="1" t="s">
        <v>92</v>
      </c>
      <c r="C34" s="1" t="s">
        <v>93</v>
      </c>
      <c r="D34" s="1" t="s">
        <v>12</v>
      </c>
      <c r="E34" s="12">
        <v>10112</v>
      </c>
      <c r="F34" s="12" t="s">
        <v>13</v>
      </c>
      <c r="G34" s="6">
        <v>1209.72</v>
      </c>
      <c r="H34" s="1">
        <v>38</v>
      </c>
      <c r="J34" t="str">
        <f t="shared" si="0"/>
        <v>OK</v>
      </c>
      <c r="K34" t="str">
        <f t="shared" si="1"/>
        <v>OK</v>
      </c>
      <c r="L34">
        <f t="shared" si="10"/>
        <v>12</v>
      </c>
      <c r="M34">
        <f t="shared" si="2"/>
        <v>10</v>
      </c>
      <c r="N34" s="9" t="str">
        <f t="shared" si="11"/>
        <v>Valid</v>
      </c>
      <c r="O34" t="str">
        <f t="shared" si="3"/>
        <v>Include</v>
      </c>
      <c r="P34" s="9">
        <f t="shared" si="4"/>
        <v>2035068.5799999984</v>
      </c>
      <c r="Q34" s="15">
        <f t="shared" si="5"/>
        <v>7469725</v>
      </c>
      <c r="R34" s="9">
        <f t="shared" si="6"/>
        <v>10112</v>
      </c>
      <c r="S34" s="9">
        <f t="shared" si="7"/>
        <v>7469725</v>
      </c>
      <c r="T34" s="15">
        <f t="shared" si="8"/>
        <v>16.686436250344954</v>
      </c>
      <c r="U34" s="15">
        <f>IF(O34="Exclude",0,G34*Fuel_Price!$B$2)</f>
        <v>1777.3206240000002</v>
      </c>
      <c r="V34" s="15">
        <f t="shared" si="9"/>
        <v>2989922.7577359979</v>
      </c>
    </row>
    <row r="35" spans="1:22">
      <c r="A35" s="1" t="s">
        <v>94</v>
      </c>
      <c r="B35" s="1" t="s">
        <v>95</v>
      </c>
      <c r="C35" s="1" t="s">
        <v>90</v>
      </c>
      <c r="D35" s="1" t="s">
        <v>12</v>
      </c>
      <c r="E35" s="12">
        <v>7854</v>
      </c>
      <c r="F35" s="12" t="s">
        <v>13</v>
      </c>
      <c r="G35" s="6">
        <v>972.57</v>
      </c>
      <c r="H35" s="1">
        <v>36.71</v>
      </c>
      <c r="J35" t="str">
        <f t="shared" si="0"/>
        <v>OK</v>
      </c>
      <c r="K35" t="str">
        <f t="shared" si="1"/>
        <v>OK</v>
      </c>
      <c r="L35">
        <f t="shared" si="10"/>
        <v>12</v>
      </c>
      <c r="M35">
        <f t="shared" si="2"/>
        <v>10</v>
      </c>
      <c r="N35" s="9" t="str">
        <f t="shared" si="11"/>
        <v>Valid</v>
      </c>
      <c r="O35" t="str">
        <f t="shared" si="3"/>
        <v>Include</v>
      </c>
      <c r="P35" s="9">
        <f t="shared" si="4"/>
        <v>2035068.5799999984</v>
      </c>
      <c r="Q35" s="15">
        <f t="shared" si="5"/>
        <v>7469725</v>
      </c>
      <c r="R35" s="9">
        <f t="shared" si="6"/>
        <v>7854</v>
      </c>
      <c r="S35" s="9">
        <f t="shared" si="7"/>
        <v>7469725</v>
      </c>
      <c r="T35" s="15">
        <f t="shared" si="8"/>
        <v>16.686436250344954</v>
      </c>
      <c r="U35" s="15">
        <f>IF(O35="Exclude",0,G35*Fuel_Price!$B$2)</f>
        <v>1428.899844</v>
      </c>
      <c r="V35" s="15">
        <f t="shared" si="9"/>
        <v>2989922.7577359979</v>
      </c>
    </row>
    <row r="36" spans="1:22">
      <c r="A36" s="1" t="s">
        <v>96</v>
      </c>
      <c r="B36" s="1" t="s">
        <v>97</v>
      </c>
      <c r="C36" s="1" t="s">
        <v>98</v>
      </c>
      <c r="D36" s="1" t="s">
        <v>12</v>
      </c>
      <c r="E36" s="12">
        <v>7253</v>
      </c>
      <c r="F36" s="12" t="s">
        <v>13</v>
      </c>
      <c r="G36" s="6">
        <v>889.26</v>
      </c>
      <c r="H36" s="1">
        <v>37.08</v>
      </c>
      <c r="J36" t="str">
        <f t="shared" si="0"/>
        <v>OK</v>
      </c>
      <c r="K36" t="str">
        <f t="shared" si="1"/>
        <v>OK</v>
      </c>
      <c r="L36">
        <f t="shared" si="10"/>
        <v>12</v>
      </c>
      <c r="M36">
        <f t="shared" si="2"/>
        <v>10</v>
      </c>
      <c r="N36" s="9" t="str">
        <f t="shared" si="11"/>
        <v>Valid</v>
      </c>
      <c r="O36" t="str">
        <f t="shared" si="3"/>
        <v>Include</v>
      </c>
      <c r="P36" s="9">
        <f t="shared" si="4"/>
        <v>2035068.5799999984</v>
      </c>
      <c r="Q36" s="15">
        <f t="shared" si="5"/>
        <v>7469725</v>
      </c>
      <c r="R36" s="9">
        <f t="shared" si="6"/>
        <v>7253</v>
      </c>
      <c r="S36" s="9">
        <f t="shared" si="7"/>
        <v>7469725</v>
      </c>
      <c r="T36" s="15">
        <f t="shared" si="8"/>
        <v>16.686436250344954</v>
      </c>
      <c r="U36" s="15">
        <f>IF(O36="Exclude",0,G36*Fuel_Price!$B$2)</f>
        <v>1306.500792</v>
      </c>
      <c r="V36" s="15">
        <f t="shared" si="9"/>
        <v>2989922.7577359979</v>
      </c>
    </row>
    <row r="37" spans="1:22">
      <c r="A37" s="1" t="s">
        <v>99</v>
      </c>
      <c r="B37" s="1" t="s">
        <v>100</v>
      </c>
      <c r="C37" s="1" t="s">
        <v>98</v>
      </c>
      <c r="D37" s="1" t="s">
        <v>12</v>
      </c>
      <c r="E37" s="12">
        <v>9189</v>
      </c>
      <c r="F37" s="12" t="s">
        <v>13</v>
      </c>
      <c r="G37" s="6">
        <v>971.47</v>
      </c>
      <c r="H37" s="1">
        <v>43</v>
      </c>
      <c r="J37" t="str">
        <f t="shared" si="0"/>
        <v>OK</v>
      </c>
      <c r="K37" t="str">
        <f t="shared" si="1"/>
        <v>OK</v>
      </c>
      <c r="L37">
        <f t="shared" si="10"/>
        <v>12</v>
      </c>
      <c r="M37">
        <f t="shared" si="2"/>
        <v>10</v>
      </c>
      <c r="N37" s="9" t="str">
        <f t="shared" si="11"/>
        <v>Valid</v>
      </c>
      <c r="O37" t="str">
        <f t="shared" si="3"/>
        <v>Include</v>
      </c>
      <c r="P37" s="9">
        <f t="shared" si="4"/>
        <v>2035068.5799999984</v>
      </c>
      <c r="Q37" s="15">
        <f t="shared" si="5"/>
        <v>7469725</v>
      </c>
      <c r="R37" s="9">
        <f t="shared" si="6"/>
        <v>9189</v>
      </c>
      <c r="S37" s="9">
        <f t="shared" si="7"/>
        <v>7469725</v>
      </c>
      <c r="T37" s="15">
        <f t="shared" si="8"/>
        <v>16.686436250344954</v>
      </c>
      <c r="U37" s="15">
        <f>IF(O37="Exclude",0,G37*Fuel_Price!$B$2)</f>
        <v>1427.2837240000001</v>
      </c>
      <c r="V37" s="15">
        <f t="shared" si="9"/>
        <v>2989922.7577359979</v>
      </c>
    </row>
    <row r="38" spans="1:22">
      <c r="A38" s="1" t="s">
        <v>101</v>
      </c>
      <c r="B38" s="1" t="s">
        <v>102</v>
      </c>
      <c r="C38" s="1" t="s">
        <v>37</v>
      </c>
      <c r="D38" s="1" t="s">
        <v>12</v>
      </c>
      <c r="E38" s="12">
        <v>6759</v>
      </c>
      <c r="F38" s="12" t="s">
        <v>13</v>
      </c>
      <c r="G38" s="6">
        <v>753.67</v>
      </c>
      <c r="H38" s="1">
        <v>40.770000000000003</v>
      </c>
      <c r="J38" t="str">
        <f t="shared" si="0"/>
        <v>OK</v>
      </c>
      <c r="K38" t="str">
        <f t="shared" si="1"/>
        <v>OK</v>
      </c>
      <c r="L38">
        <f t="shared" si="10"/>
        <v>12</v>
      </c>
      <c r="M38">
        <f t="shared" si="2"/>
        <v>10</v>
      </c>
      <c r="N38" s="9" t="str">
        <f t="shared" si="11"/>
        <v>Valid</v>
      </c>
      <c r="O38" t="str">
        <f t="shared" si="3"/>
        <v>Include</v>
      </c>
      <c r="P38" s="9">
        <f t="shared" si="4"/>
        <v>2035068.5799999984</v>
      </c>
      <c r="Q38" s="15">
        <f t="shared" si="5"/>
        <v>7469725</v>
      </c>
      <c r="R38" s="9">
        <f t="shared" si="6"/>
        <v>6759</v>
      </c>
      <c r="S38" s="9">
        <f t="shared" si="7"/>
        <v>7469725</v>
      </c>
      <c r="T38" s="15">
        <f t="shared" si="8"/>
        <v>16.686436250344954</v>
      </c>
      <c r="U38" s="15">
        <f>IF(O38="Exclude",0,G38*Fuel_Price!$B$2)</f>
        <v>1107.291964</v>
      </c>
      <c r="V38" s="15">
        <f t="shared" si="9"/>
        <v>2989922.7577359979</v>
      </c>
    </row>
    <row r="39" spans="1:22">
      <c r="A39" s="1" t="s">
        <v>103</v>
      </c>
      <c r="B39" s="1" t="s">
        <v>104</v>
      </c>
      <c r="C39" s="1" t="s">
        <v>105</v>
      </c>
      <c r="D39" s="1" t="s">
        <v>12</v>
      </c>
      <c r="E39" s="12">
        <v>1548</v>
      </c>
      <c r="F39" s="12" t="s">
        <v>13</v>
      </c>
      <c r="G39" s="6">
        <v>272.07</v>
      </c>
      <c r="H39" s="1">
        <v>25.87</v>
      </c>
      <c r="J39" t="str">
        <f t="shared" si="0"/>
        <v>OK</v>
      </c>
      <c r="K39" t="str">
        <f t="shared" si="1"/>
        <v>OK</v>
      </c>
      <c r="L39">
        <f t="shared" si="10"/>
        <v>12</v>
      </c>
      <c r="M39">
        <f t="shared" si="2"/>
        <v>10</v>
      </c>
      <c r="N39" s="9" t="str">
        <f t="shared" si="11"/>
        <v>Valid</v>
      </c>
      <c r="O39" t="str">
        <f t="shared" si="3"/>
        <v>Include</v>
      </c>
      <c r="P39" s="9">
        <f t="shared" si="4"/>
        <v>2035068.5799999984</v>
      </c>
      <c r="Q39" s="15">
        <f t="shared" si="5"/>
        <v>7469725</v>
      </c>
      <c r="R39" s="9">
        <f t="shared" si="6"/>
        <v>1548</v>
      </c>
      <c r="S39" s="9">
        <f t="shared" si="7"/>
        <v>7469725</v>
      </c>
      <c r="T39" s="15">
        <f t="shared" si="8"/>
        <v>16.686436250344954</v>
      </c>
      <c r="U39" s="15">
        <f>IF(O39="Exclude",0,G39*Fuel_Price!$B$2)</f>
        <v>399.72524400000003</v>
      </c>
      <c r="V39" s="15">
        <f t="shared" si="9"/>
        <v>2989922.7577359979</v>
      </c>
    </row>
    <row r="40" spans="1:22">
      <c r="A40" s="1" t="s">
        <v>106</v>
      </c>
      <c r="B40" s="1" t="s">
        <v>107</v>
      </c>
      <c r="C40" s="1" t="s">
        <v>108</v>
      </c>
      <c r="D40" s="1" t="s">
        <v>12</v>
      </c>
      <c r="E40" s="12">
        <v>12822</v>
      </c>
      <c r="F40" s="12" t="s">
        <v>13</v>
      </c>
      <c r="G40" s="6">
        <v>1547.46</v>
      </c>
      <c r="H40" s="1">
        <v>37.67</v>
      </c>
      <c r="J40" t="str">
        <f t="shared" si="0"/>
        <v>OK</v>
      </c>
      <c r="K40" t="str">
        <f t="shared" si="1"/>
        <v>OK</v>
      </c>
      <c r="L40">
        <f t="shared" si="10"/>
        <v>12</v>
      </c>
      <c r="M40">
        <f t="shared" si="2"/>
        <v>10</v>
      </c>
      <c r="N40" s="9" t="str">
        <f t="shared" si="11"/>
        <v>Valid</v>
      </c>
      <c r="O40" t="str">
        <f t="shared" si="3"/>
        <v>Include</v>
      </c>
      <c r="P40" s="9">
        <f t="shared" si="4"/>
        <v>2035068.5799999984</v>
      </c>
      <c r="Q40" s="15">
        <f t="shared" si="5"/>
        <v>7469725</v>
      </c>
      <c r="R40" s="9">
        <f t="shared" si="6"/>
        <v>12822</v>
      </c>
      <c r="S40" s="9">
        <f t="shared" si="7"/>
        <v>7469725</v>
      </c>
      <c r="T40" s="15">
        <f t="shared" si="8"/>
        <v>16.686436250344954</v>
      </c>
      <c r="U40" s="15">
        <f>IF(O40="Exclude",0,G40*Fuel_Price!$B$2)</f>
        <v>2273.5282320000001</v>
      </c>
      <c r="V40" s="15">
        <f t="shared" si="9"/>
        <v>2989922.7577359979</v>
      </c>
    </row>
    <row r="41" spans="1:22">
      <c r="A41" s="1" t="s">
        <v>109</v>
      </c>
      <c r="B41" s="1" t="s">
        <v>110</v>
      </c>
      <c r="C41" s="1" t="s">
        <v>111</v>
      </c>
      <c r="D41" s="1" t="s">
        <v>12</v>
      </c>
      <c r="E41" s="12">
        <v>4891</v>
      </c>
      <c r="F41" s="12" t="s">
        <v>13</v>
      </c>
      <c r="G41" s="6">
        <v>474.16</v>
      </c>
      <c r="H41" s="1">
        <v>46.89</v>
      </c>
      <c r="J41" t="str">
        <f t="shared" si="0"/>
        <v>OK</v>
      </c>
      <c r="K41" t="str">
        <f t="shared" si="1"/>
        <v>OK</v>
      </c>
      <c r="L41">
        <f t="shared" si="10"/>
        <v>12</v>
      </c>
      <c r="M41">
        <f t="shared" si="2"/>
        <v>10</v>
      </c>
      <c r="N41" s="9" t="str">
        <f t="shared" si="11"/>
        <v>Valid</v>
      </c>
      <c r="O41" t="str">
        <f t="shared" si="3"/>
        <v>Include</v>
      </c>
      <c r="P41" s="9">
        <f t="shared" si="4"/>
        <v>2035068.5799999984</v>
      </c>
      <c r="Q41" s="15">
        <f t="shared" si="5"/>
        <v>7469725</v>
      </c>
      <c r="R41" s="9">
        <f t="shared" si="6"/>
        <v>4891</v>
      </c>
      <c r="S41" s="9">
        <f t="shared" si="7"/>
        <v>7469725</v>
      </c>
      <c r="T41" s="15">
        <f t="shared" si="8"/>
        <v>16.686436250344954</v>
      </c>
      <c r="U41" s="15">
        <f>IF(O41="Exclude",0,G41*Fuel_Price!$B$2)</f>
        <v>696.63587200000006</v>
      </c>
      <c r="V41" s="15">
        <f t="shared" si="9"/>
        <v>2989922.7577359979</v>
      </c>
    </row>
    <row r="42" spans="1:22">
      <c r="A42" s="1" t="s">
        <v>112</v>
      </c>
      <c r="B42" s="1" t="s">
        <v>113</v>
      </c>
      <c r="C42" s="1" t="s">
        <v>114</v>
      </c>
      <c r="D42" s="1" t="s">
        <v>12</v>
      </c>
      <c r="E42" s="12">
        <v>7071</v>
      </c>
      <c r="F42" s="12" t="s">
        <v>13</v>
      </c>
      <c r="G42" s="6">
        <v>686.79</v>
      </c>
      <c r="H42" s="1">
        <v>46.81</v>
      </c>
      <c r="J42" t="str">
        <f t="shared" si="0"/>
        <v>OK</v>
      </c>
      <c r="K42" t="str">
        <f t="shared" si="1"/>
        <v>OK</v>
      </c>
      <c r="L42">
        <f t="shared" si="10"/>
        <v>12</v>
      </c>
      <c r="M42">
        <f t="shared" si="2"/>
        <v>10</v>
      </c>
      <c r="N42" s="9" t="str">
        <f t="shared" si="11"/>
        <v>Valid</v>
      </c>
      <c r="O42" t="str">
        <f t="shared" si="3"/>
        <v>Include</v>
      </c>
      <c r="P42" s="9">
        <f t="shared" si="4"/>
        <v>2035068.5799999984</v>
      </c>
      <c r="Q42" s="15">
        <f t="shared" si="5"/>
        <v>7469725</v>
      </c>
      <c r="R42" s="9">
        <f t="shared" si="6"/>
        <v>7071</v>
      </c>
      <c r="S42" s="9">
        <f t="shared" si="7"/>
        <v>7469725</v>
      </c>
      <c r="T42" s="15">
        <f t="shared" si="8"/>
        <v>16.686436250344954</v>
      </c>
      <c r="U42" s="15">
        <f>IF(O42="Exclude",0,G42*Fuel_Price!$B$2)</f>
        <v>1009.031868</v>
      </c>
      <c r="V42" s="15">
        <f t="shared" si="9"/>
        <v>2989922.7577359979</v>
      </c>
    </row>
    <row r="43" spans="1:22">
      <c r="A43" s="1" t="s">
        <v>115</v>
      </c>
      <c r="B43" s="1" t="s">
        <v>116</v>
      </c>
      <c r="C43" s="1" t="s">
        <v>117</v>
      </c>
      <c r="D43" s="1" t="s">
        <v>12</v>
      </c>
      <c r="E43" s="12">
        <v>13491</v>
      </c>
      <c r="F43" s="12" t="s">
        <v>13</v>
      </c>
      <c r="G43" s="6">
        <v>910.4</v>
      </c>
      <c r="H43" s="1">
        <v>67.37</v>
      </c>
      <c r="J43" t="str">
        <f t="shared" si="0"/>
        <v>OK</v>
      </c>
      <c r="K43" t="str">
        <f t="shared" si="1"/>
        <v>OK</v>
      </c>
      <c r="L43">
        <f t="shared" si="10"/>
        <v>12</v>
      </c>
      <c r="M43">
        <f t="shared" si="2"/>
        <v>10</v>
      </c>
      <c r="N43" s="9" t="str">
        <f t="shared" si="11"/>
        <v>Valid</v>
      </c>
      <c r="O43" t="str">
        <f t="shared" si="3"/>
        <v>Include</v>
      </c>
      <c r="P43" s="9">
        <f t="shared" si="4"/>
        <v>2035068.5799999984</v>
      </c>
      <c r="Q43" s="15">
        <f t="shared" si="5"/>
        <v>7469725</v>
      </c>
      <c r="R43" s="9">
        <f t="shared" si="6"/>
        <v>13491</v>
      </c>
      <c r="S43" s="9">
        <f t="shared" si="7"/>
        <v>7469725</v>
      </c>
      <c r="T43" s="15">
        <f t="shared" si="8"/>
        <v>16.686436250344954</v>
      </c>
      <c r="U43" s="15">
        <f>IF(O43="Exclude",0,G43*Fuel_Price!$B$2)</f>
        <v>1337.5596800000001</v>
      </c>
      <c r="V43" s="15">
        <f t="shared" si="9"/>
        <v>2989922.7577359979</v>
      </c>
    </row>
    <row r="44" spans="1:22">
      <c r="A44" s="1" t="s">
        <v>118</v>
      </c>
      <c r="B44" s="1" t="s">
        <v>119</v>
      </c>
      <c r="C44" s="1" t="s">
        <v>117</v>
      </c>
      <c r="D44" s="1" t="s">
        <v>12</v>
      </c>
      <c r="E44" s="12">
        <v>4294</v>
      </c>
      <c r="F44" s="12" t="s">
        <v>13</v>
      </c>
      <c r="G44" s="6">
        <v>368.12</v>
      </c>
      <c r="H44" s="1">
        <v>53.03</v>
      </c>
      <c r="J44" t="str">
        <f t="shared" si="0"/>
        <v>OK</v>
      </c>
      <c r="K44" t="str">
        <f t="shared" si="1"/>
        <v>OK</v>
      </c>
      <c r="L44">
        <f t="shared" si="10"/>
        <v>12</v>
      </c>
      <c r="M44">
        <f t="shared" si="2"/>
        <v>10</v>
      </c>
      <c r="N44" s="9" t="str">
        <f t="shared" si="11"/>
        <v>Valid</v>
      </c>
      <c r="O44" t="str">
        <f t="shared" si="3"/>
        <v>Include</v>
      </c>
      <c r="P44" s="9">
        <f t="shared" si="4"/>
        <v>2035068.5799999984</v>
      </c>
      <c r="Q44" s="15">
        <f t="shared" si="5"/>
        <v>7469725</v>
      </c>
      <c r="R44" s="9">
        <f t="shared" si="6"/>
        <v>4294</v>
      </c>
      <c r="S44" s="9">
        <f t="shared" si="7"/>
        <v>7469725</v>
      </c>
      <c r="T44" s="15">
        <f t="shared" si="8"/>
        <v>16.686436250344954</v>
      </c>
      <c r="U44" s="15">
        <f>IF(O44="Exclude",0,G44*Fuel_Price!$B$2)</f>
        <v>540.841904</v>
      </c>
      <c r="V44" s="15">
        <f t="shared" si="9"/>
        <v>2989922.7577359979</v>
      </c>
    </row>
    <row r="45" spans="1:22">
      <c r="A45" s="1" t="s">
        <v>120</v>
      </c>
      <c r="B45" s="1" t="s">
        <v>121</v>
      </c>
      <c r="C45" s="1" t="s">
        <v>122</v>
      </c>
      <c r="D45" s="1" t="s">
        <v>12</v>
      </c>
      <c r="E45" s="12">
        <v>3055</v>
      </c>
      <c r="F45" s="12" t="s">
        <v>13</v>
      </c>
      <c r="G45" s="6">
        <v>284.38</v>
      </c>
      <c r="H45" s="1">
        <v>48.84</v>
      </c>
      <c r="J45" t="str">
        <f t="shared" si="0"/>
        <v>OK</v>
      </c>
      <c r="K45" t="str">
        <f t="shared" si="1"/>
        <v>OK</v>
      </c>
      <c r="L45">
        <f t="shared" si="10"/>
        <v>12</v>
      </c>
      <c r="M45">
        <f t="shared" si="2"/>
        <v>10</v>
      </c>
      <c r="N45" s="9" t="str">
        <f t="shared" si="11"/>
        <v>Valid</v>
      </c>
      <c r="O45" t="str">
        <f t="shared" si="3"/>
        <v>Include</v>
      </c>
      <c r="P45" s="9">
        <f t="shared" si="4"/>
        <v>2035068.5799999984</v>
      </c>
      <c r="Q45" s="15">
        <f t="shared" si="5"/>
        <v>7469725</v>
      </c>
      <c r="R45" s="9">
        <f t="shared" si="6"/>
        <v>3055</v>
      </c>
      <c r="S45" s="9">
        <f t="shared" si="7"/>
        <v>7469725</v>
      </c>
      <c r="T45" s="15">
        <f t="shared" si="8"/>
        <v>16.686436250344954</v>
      </c>
      <c r="U45" s="15">
        <f>IF(O45="Exclude",0,G45*Fuel_Price!$B$2)</f>
        <v>417.81109600000002</v>
      </c>
      <c r="V45" s="15">
        <f t="shared" si="9"/>
        <v>2989922.7577359979</v>
      </c>
    </row>
    <row r="46" spans="1:22">
      <c r="A46" s="1" t="s">
        <v>123</v>
      </c>
      <c r="B46" s="1" t="s">
        <v>124</v>
      </c>
      <c r="C46" s="1" t="s">
        <v>122</v>
      </c>
      <c r="D46" s="1" t="s">
        <v>12</v>
      </c>
      <c r="E46" s="12">
        <v>6509</v>
      </c>
      <c r="F46" s="12" t="s">
        <v>13</v>
      </c>
      <c r="G46" s="6">
        <v>569</v>
      </c>
      <c r="H46" s="1">
        <v>52</v>
      </c>
      <c r="J46" t="str">
        <f t="shared" si="0"/>
        <v>OK</v>
      </c>
      <c r="K46" t="str">
        <f t="shared" si="1"/>
        <v>OK</v>
      </c>
      <c r="L46">
        <f t="shared" si="10"/>
        <v>12</v>
      </c>
      <c r="M46">
        <f t="shared" si="2"/>
        <v>10</v>
      </c>
      <c r="N46" s="9" t="str">
        <f t="shared" si="11"/>
        <v>Valid</v>
      </c>
      <c r="O46" t="str">
        <f t="shared" si="3"/>
        <v>Include</v>
      </c>
      <c r="P46" s="9">
        <f t="shared" si="4"/>
        <v>2035068.5799999984</v>
      </c>
      <c r="Q46" s="15">
        <f t="shared" si="5"/>
        <v>7469725</v>
      </c>
      <c r="R46" s="9">
        <f t="shared" si="6"/>
        <v>6509</v>
      </c>
      <c r="S46" s="9">
        <f t="shared" si="7"/>
        <v>7469725</v>
      </c>
      <c r="T46" s="15">
        <f t="shared" si="8"/>
        <v>16.686436250344954</v>
      </c>
      <c r="U46" s="15">
        <f>IF(O46="Exclude",0,G46*Fuel_Price!$B$2)</f>
        <v>835.97480000000007</v>
      </c>
      <c r="V46" s="15">
        <f t="shared" si="9"/>
        <v>2989922.7577359979</v>
      </c>
    </row>
    <row r="47" spans="1:22">
      <c r="A47" s="1" t="s">
        <v>125</v>
      </c>
      <c r="B47" s="1" t="s">
        <v>126</v>
      </c>
      <c r="C47" s="1" t="s">
        <v>117</v>
      </c>
      <c r="D47" s="1" t="s">
        <v>12</v>
      </c>
      <c r="E47" s="12">
        <v>16450</v>
      </c>
      <c r="F47" s="12" t="s">
        <v>13</v>
      </c>
      <c r="G47" s="6">
        <v>1246.6099999999999</v>
      </c>
      <c r="H47" s="1">
        <v>59.99</v>
      </c>
      <c r="J47" t="str">
        <f t="shared" si="0"/>
        <v>OK</v>
      </c>
      <c r="K47" t="str">
        <f t="shared" si="1"/>
        <v>OK</v>
      </c>
      <c r="L47">
        <f t="shared" si="10"/>
        <v>12</v>
      </c>
      <c r="M47">
        <f t="shared" si="2"/>
        <v>10</v>
      </c>
      <c r="N47" s="9" t="str">
        <f t="shared" si="11"/>
        <v>Valid</v>
      </c>
      <c r="O47" t="str">
        <f t="shared" si="3"/>
        <v>Include</v>
      </c>
      <c r="P47" s="9">
        <f t="shared" si="4"/>
        <v>2035068.5799999984</v>
      </c>
      <c r="Q47" s="15">
        <f t="shared" si="5"/>
        <v>7469725</v>
      </c>
      <c r="R47" s="9">
        <f t="shared" si="6"/>
        <v>16450</v>
      </c>
      <c r="S47" s="9">
        <f t="shared" si="7"/>
        <v>7469725</v>
      </c>
      <c r="T47" s="15">
        <f t="shared" si="8"/>
        <v>16.686436250344954</v>
      </c>
      <c r="U47" s="15">
        <f>IF(O47="Exclude",0,G47*Fuel_Price!$B$2)</f>
        <v>1831.5194119999999</v>
      </c>
      <c r="V47" s="15">
        <f t="shared" si="9"/>
        <v>2989922.7577359979</v>
      </c>
    </row>
    <row r="48" spans="1:22">
      <c r="A48" s="1" t="s">
        <v>127</v>
      </c>
      <c r="B48" s="1" t="s">
        <v>128</v>
      </c>
      <c r="C48" s="1" t="s">
        <v>117</v>
      </c>
      <c r="D48" s="1" t="s">
        <v>12</v>
      </c>
      <c r="E48" s="12">
        <v>12565</v>
      </c>
      <c r="F48" s="12" t="s">
        <v>13</v>
      </c>
      <c r="G48" s="6">
        <v>989.29</v>
      </c>
      <c r="H48" s="1">
        <v>57.74</v>
      </c>
      <c r="J48" t="str">
        <f t="shared" si="0"/>
        <v>OK</v>
      </c>
      <c r="K48" t="str">
        <f t="shared" si="1"/>
        <v>OK</v>
      </c>
      <c r="L48">
        <f t="shared" si="10"/>
        <v>12</v>
      </c>
      <c r="M48">
        <f t="shared" si="2"/>
        <v>10</v>
      </c>
      <c r="N48" s="9" t="str">
        <f t="shared" si="11"/>
        <v>Valid</v>
      </c>
      <c r="O48" t="str">
        <f t="shared" si="3"/>
        <v>Include</v>
      </c>
      <c r="P48" s="9">
        <f t="shared" si="4"/>
        <v>2035068.5799999984</v>
      </c>
      <c r="Q48" s="15">
        <f t="shared" si="5"/>
        <v>7469725</v>
      </c>
      <c r="R48" s="9">
        <f t="shared" si="6"/>
        <v>12565</v>
      </c>
      <c r="S48" s="9">
        <f t="shared" si="7"/>
        <v>7469725</v>
      </c>
      <c r="T48" s="15">
        <f t="shared" si="8"/>
        <v>16.686436250344954</v>
      </c>
      <c r="U48" s="15">
        <f>IF(O48="Exclude",0,G48*Fuel_Price!$B$2)</f>
        <v>1453.464868</v>
      </c>
      <c r="V48" s="15">
        <f t="shared" si="9"/>
        <v>2989922.7577359979</v>
      </c>
    </row>
    <row r="49" spans="1:22">
      <c r="A49" s="1" t="s">
        <v>129</v>
      </c>
      <c r="B49" s="1" t="s">
        <v>130</v>
      </c>
      <c r="C49" s="1" t="s">
        <v>117</v>
      </c>
      <c r="D49" s="1" t="s">
        <v>12</v>
      </c>
      <c r="E49" s="12">
        <v>5515</v>
      </c>
      <c r="F49" s="12" t="s">
        <v>13</v>
      </c>
      <c r="G49" s="6">
        <v>431.29</v>
      </c>
      <c r="H49" s="1">
        <v>58.13</v>
      </c>
      <c r="J49" t="str">
        <f t="shared" si="0"/>
        <v>OK</v>
      </c>
      <c r="K49" t="str">
        <f t="shared" si="1"/>
        <v>OK</v>
      </c>
      <c r="L49">
        <f t="shared" si="10"/>
        <v>12</v>
      </c>
      <c r="M49">
        <f t="shared" si="2"/>
        <v>10</v>
      </c>
      <c r="N49" s="9" t="str">
        <f t="shared" si="11"/>
        <v>Valid</v>
      </c>
      <c r="O49" t="str">
        <f t="shared" si="3"/>
        <v>Include</v>
      </c>
      <c r="P49" s="9">
        <f t="shared" si="4"/>
        <v>2035068.5799999984</v>
      </c>
      <c r="Q49" s="15">
        <f t="shared" si="5"/>
        <v>7469725</v>
      </c>
      <c r="R49" s="9">
        <f t="shared" si="6"/>
        <v>5515</v>
      </c>
      <c r="S49" s="9">
        <f t="shared" si="7"/>
        <v>7469725</v>
      </c>
      <c r="T49" s="15">
        <f t="shared" si="8"/>
        <v>16.686436250344954</v>
      </c>
      <c r="U49" s="15">
        <f>IF(O49="Exclude",0,G49*Fuel_Price!$B$2)</f>
        <v>633.65126800000007</v>
      </c>
      <c r="V49" s="15">
        <f t="shared" si="9"/>
        <v>2989922.7577359979</v>
      </c>
    </row>
    <row r="50" spans="1:22">
      <c r="A50" s="1" t="s">
        <v>131</v>
      </c>
      <c r="B50" s="1" t="s">
        <v>132</v>
      </c>
      <c r="C50" s="1" t="s">
        <v>117</v>
      </c>
      <c r="D50" s="1" t="s">
        <v>12</v>
      </c>
      <c r="E50" s="12">
        <v>1653</v>
      </c>
      <c r="F50" s="12" t="s">
        <v>13</v>
      </c>
      <c r="G50" s="6">
        <v>172.05</v>
      </c>
      <c r="H50" s="1">
        <v>43.68</v>
      </c>
      <c r="J50" t="str">
        <f t="shared" si="0"/>
        <v>OK</v>
      </c>
      <c r="K50" t="str">
        <f t="shared" si="1"/>
        <v>OK</v>
      </c>
      <c r="L50">
        <f t="shared" si="10"/>
        <v>12</v>
      </c>
      <c r="M50">
        <f t="shared" si="2"/>
        <v>10</v>
      </c>
      <c r="N50" s="9" t="str">
        <f t="shared" si="11"/>
        <v>Valid</v>
      </c>
      <c r="O50" t="str">
        <f t="shared" si="3"/>
        <v>Include</v>
      </c>
      <c r="P50" s="9">
        <f t="shared" si="4"/>
        <v>2035068.5799999984</v>
      </c>
      <c r="Q50" s="15">
        <f t="shared" si="5"/>
        <v>7469725</v>
      </c>
      <c r="R50" s="9">
        <f t="shared" si="6"/>
        <v>1653</v>
      </c>
      <c r="S50" s="9">
        <f t="shared" si="7"/>
        <v>7469725</v>
      </c>
      <c r="T50" s="15">
        <f t="shared" si="8"/>
        <v>16.686436250344954</v>
      </c>
      <c r="U50" s="15">
        <f>IF(O50="Exclude",0,G50*Fuel_Price!$B$2)</f>
        <v>252.77586000000002</v>
      </c>
      <c r="V50" s="15">
        <f t="shared" si="9"/>
        <v>2989922.7577359979</v>
      </c>
    </row>
    <row r="51" spans="1:22">
      <c r="A51" s="1" t="s">
        <v>133</v>
      </c>
      <c r="B51" s="1" t="s">
        <v>134</v>
      </c>
      <c r="C51" s="1" t="s">
        <v>122</v>
      </c>
      <c r="D51" s="1" t="s">
        <v>12</v>
      </c>
      <c r="E51" s="12">
        <v>5998</v>
      </c>
      <c r="F51" s="12" t="s">
        <v>13</v>
      </c>
      <c r="G51" s="6">
        <v>475.33</v>
      </c>
      <c r="H51" s="1">
        <v>57.37</v>
      </c>
      <c r="J51" t="str">
        <f t="shared" si="0"/>
        <v>OK</v>
      </c>
      <c r="K51" t="str">
        <f t="shared" si="1"/>
        <v>OK</v>
      </c>
      <c r="L51">
        <f t="shared" si="10"/>
        <v>12</v>
      </c>
      <c r="M51">
        <f t="shared" si="2"/>
        <v>10</v>
      </c>
      <c r="N51" s="9" t="str">
        <f t="shared" si="11"/>
        <v>Valid</v>
      </c>
      <c r="O51" t="str">
        <f t="shared" si="3"/>
        <v>Include</v>
      </c>
      <c r="P51" s="9">
        <f t="shared" si="4"/>
        <v>2035068.5799999984</v>
      </c>
      <c r="Q51" s="15">
        <f t="shared" si="5"/>
        <v>7469725</v>
      </c>
      <c r="R51" s="9">
        <f t="shared" si="6"/>
        <v>5998</v>
      </c>
      <c r="S51" s="9">
        <f t="shared" si="7"/>
        <v>7469725</v>
      </c>
      <c r="T51" s="15">
        <f t="shared" si="8"/>
        <v>16.686436250344954</v>
      </c>
      <c r="U51" s="15">
        <f>IF(O51="Exclude",0,G51*Fuel_Price!$B$2)</f>
        <v>698.35483599999998</v>
      </c>
      <c r="V51" s="15">
        <f t="shared" si="9"/>
        <v>2989922.7577359979</v>
      </c>
    </row>
    <row r="52" spans="1:22">
      <c r="A52" s="1" t="s">
        <v>135</v>
      </c>
      <c r="B52" s="1" t="s">
        <v>136</v>
      </c>
      <c r="C52" s="1" t="s">
        <v>117</v>
      </c>
      <c r="D52" s="1" t="s">
        <v>12</v>
      </c>
      <c r="E52" s="12">
        <v>5458</v>
      </c>
      <c r="F52" s="12" t="s">
        <v>137</v>
      </c>
      <c r="G52" s="6">
        <v>447.49</v>
      </c>
      <c r="H52" s="1">
        <v>34.450000000000003</v>
      </c>
      <c r="J52" t="str">
        <f t="shared" si="0"/>
        <v>OK</v>
      </c>
      <c r="K52" t="str">
        <f t="shared" si="1"/>
        <v>OK</v>
      </c>
      <c r="L52">
        <f t="shared" si="10"/>
        <v>12</v>
      </c>
      <c r="M52">
        <f t="shared" si="2"/>
        <v>10</v>
      </c>
      <c r="N52" s="9" t="str">
        <f t="shared" si="11"/>
        <v>Valid</v>
      </c>
      <c r="O52" t="str">
        <f t="shared" si="3"/>
        <v>Include</v>
      </c>
      <c r="P52" s="9">
        <f t="shared" si="4"/>
        <v>2035068.5799999984</v>
      </c>
      <c r="Q52" s="15">
        <f t="shared" si="5"/>
        <v>7469725</v>
      </c>
      <c r="R52" s="9">
        <f t="shared" si="6"/>
        <v>5458</v>
      </c>
      <c r="S52" s="9">
        <f t="shared" si="7"/>
        <v>7469725</v>
      </c>
      <c r="T52" s="15">
        <f t="shared" si="8"/>
        <v>16.686436250344954</v>
      </c>
      <c r="U52" s="15">
        <f>IF(O52="Exclude",0,G52*Fuel_Price!$B$2)</f>
        <v>657.45230800000002</v>
      </c>
      <c r="V52" s="15">
        <f t="shared" si="9"/>
        <v>2989922.7577359979</v>
      </c>
    </row>
    <row r="53" spans="1:22">
      <c r="A53" s="1" t="s">
        <v>138</v>
      </c>
      <c r="B53" s="1" t="s">
        <v>139</v>
      </c>
      <c r="C53" s="1" t="s">
        <v>117</v>
      </c>
      <c r="D53" s="1" t="s">
        <v>12</v>
      </c>
      <c r="E53" s="12">
        <v>4613</v>
      </c>
      <c r="F53" s="12" t="s">
        <v>13</v>
      </c>
      <c r="G53" s="6">
        <v>388.45</v>
      </c>
      <c r="H53" s="1">
        <v>53.99</v>
      </c>
      <c r="J53" t="str">
        <f t="shared" si="0"/>
        <v>OK</v>
      </c>
      <c r="K53" t="str">
        <f t="shared" si="1"/>
        <v>OK</v>
      </c>
      <c r="L53">
        <f t="shared" si="10"/>
        <v>12</v>
      </c>
      <c r="M53">
        <f t="shared" si="2"/>
        <v>10</v>
      </c>
      <c r="N53" s="9" t="str">
        <f t="shared" si="11"/>
        <v>Valid</v>
      </c>
      <c r="O53" t="str">
        <f t="shared" si="3"/>
        <v>Include</v>
      </c>
      <c r="P53" s="9">
        <f t="shared" si="4"/>
        <v>2035068.5799999984</v>
      </c>
      <c r="Q53" s="15">
        <f t="shared" si="5"/>
        <v>7469725</v>
      </c>
      <c r="R53" s="9">
        <f t="shared" si="6"/>
        <v>4613</v>
      </c>
      <c r="S53" s="9">
        <f t="shared" si="7"/>
        <v>7469725</v>
      </c>
      <c r="T53" s="15">
        <f t="shared" si="8"/>
        <v>16.686436250344954</v>
      </c>
      <c r="U53" s="15">
        <f>IF(O53="Exclude",0,G53*Fuel_Price!$B$2)</f>
        <v>570.71073999999999</v>
      </c>
      <c r="V53" s="15">
        <f t="shared" si="9"/>
        <v>2989922.7577359979</v>
      </c>
    </row>
    <row r="54" spans="1:22">
      <c r="A54" s="1" t="s">
        <v>141</v>
      </c>
      <c r="B54" s="1" t="s">
        <v>142</v>
      </c>
      <c r="C54" s="1" t="s">
        <v>140</v>
      </c>
      <c r="D54" s="1" t="s">
        <v>12</v>
      </c>
      <c r="E54" s="12">
        <v>11677</v>
      </c>
      <c r="F54" s="12" t="s">
        <v>13</v>
      </c>
      <c r="G54" s="6">
        <v>3012.04</v>
      </c>
      <c r="H54" s="1">
        <v>17.62</v>
      </c>
      <c r="J54" t="str">
        <f t="shared" si="0"/>
        <v>OK</v>
      </c>
      <c r="K54" t="str">
        <f t="shared" si="1"/>
        <v>OK</v>
      </c>
      <c r="L54">
        <f t="shared" si="10"/>
        <v>12</v>
      </c>
      <c r="M54">
        <f t="shared" si="2"/>
        <v>10</v>
      </c>
      <c r="N54" s="9" t="str">
        <f t="shared" si="11"/>
        <v>Valid</v>
      </c>
      <c r="O54" t="str">
        <f t="shared" si="3"/>
        <v>Include</v>
      </c>
      <c r="P54" s="9">
        <f t="shared" si="4"/>
        <v>2035068.5799999984</v>
      </c>
      <c r="Q54" s="15">
        <f t="shared" si="5"/>
        <v>7469725</v>
      </c>
      <c r="R54" s="9">
        <f t="shared" si="6"/>
        <v>11677</v>
      </c>
      <c r="S54" s="9">
        <f t="shared" si="7"/>
        <v>7469725</v>
      </c>
      <c r="T54" s="15">
        <f t="shared" si="8"/>
        <v>16.686436250344954</v>
      </c>
      <c r="U54" s="15">
        <f>IF(O54="Exclude",0,G54*Fuel_Price!$B$2)</f>
        <v>4425.2891680000002</v>
      </c>
      <c r="V54" s="15">
        <f t="shared" si="9"/>
        <v>2989922.7577359979</v>
      </c>
    </row>
    <row r="55" spans="1:22">
      <c r="A55" s="1" t="s">
        <v>143</v>
      </c>
      <c r="B55" s="1" t="s">
        <v>144</v>
      </c>
      <c r="C55" s="1" t="s">
        <v>140</v>
      </c>
      <c r="D55" s="1" t="s">
        <v>12</v>
      </c>
      <c r="E55" s="12">
        <v>12500</v>
      </c>
      <c r="F55" s="12" t="s">
        <v>13</v>
      </c>
      <c r="G55" s="6">
        <v>2578.17</v>
      </c>
      <c r="H55" s="1">
        <v>22.04</v>
      </c>
      <c r="J55" t="str">
        <f t="shared" si="0"/>
        <v>OK</v>
      </c>
      <c r="K55" t="str">
        <f t="shared" si="1"/>
        <v>OK</v>
      </c>
      <c r="L55">
        <f t="shared" si="10"/>
        <v>12</v>
      </c>
      <c r="M55">
        <f t="shared" si="2"/>
        <v>10</v>
      </c>
      <c r="N55" s="9" t="str">
        <f t="shared" si="11"/>
        <v>Valid</v>
      </c>
      <c r="O55" t="str">
        <f t="shared" si="3"/>
        <v>Include</v>
      </c>
      <c r="P55" s="9">
        <f t="shared" si="4"/>
        <v>2035068.5799999984</v>
      </c>
      <c r="Q55" s="15">
        <f t="shared" si="5"/>
        <v>7469725</v>
      </c>
      <c r="R55" s="9">
        <f t="shared" si="6"/>
        <v>12500</v>
      </c>
      <c r="S55" s="9">
        <f t="shared" si="7"/>
        <v>7469725</v>
      </c>
      <c r="T55" s="15">
        <f t="shared" si="8"/>
        <v>16.686436250344954</v>
      </c>
      <c r="U55" s="15">
        <f>IF(O55="Exclude",0,G55*Fuel_Price!$B$2)</f>
        <v>3787.8473640000002</v>
      </c>
      <c r="V55" s="15">
        <f t="shared" si="9"/>
        <v>2989922.7577359979</v>
      </c>
    </row>
    <row r="56" spans="1:22">
      <c r="A56" s="1" t="s">
        <v>145</v>
      </c>
      <c r="B56" s="1" t="s">
        <v>146</v>
      </c>
      <c r="C56" s="1" t="s">
        <v>140</v>
      </c>
      <c r="D56" s="1" t="s">
        <v>12</v>
      </c>
      <c r="E56" s="12">
        <v>9937</v>
      </c>
      <c r="F56" s="12" t="s">
        <v>13</v>
      </c>
      <c r="G56" s="6">
        <v>2401.41</v>
      </c>
      <c r="H56" s="1">
        <v>18.809999999999999</v>
      </c>
      <c r="J56" t="str">
        <f t="shared" si="0"/>
        <v>OK</v>
      </c>
      <c r="K56" t="str">
        <f t="shared" si="1"/>
        <v>OK</v>
      </c>
      <c r="L56">
        <f t="shared" si="10"/>
        <v>12</v>
      </c>
      <c r="M56">
        <f t="shared" si="2"/>
        <v>10</v>
      </c>
      <c r="N56" s="9" t="str">
        <f t="shared" si="11"/>
        <v>Valid</v>
      </c>
      <c r="O56" t="str">
        <f t="shared" si="3"/>
        <v>Include</v>
      </c>
      <c r="P56" s="9">
        <f t="shared" si="4"/>
        <v>2035068.5799999984</v>
      </c>
      <c r="Q56" s="15">
        <f t="shared" si="5"/>
        <v>7469725</v>
      </c>
      <c r="R56" s="9">
        <f t="shared" si="6"/>
        <v>9937</v>
      </c>
      <c r="S56" s="9">
        <f t="shared" si="7"/>
        <v>7469725</v>
      </c>
      <c r="T56" s="15">
        <f t="shared" si="8"/>
        <v>16.686436250344954</v>
      </c>
      <c r="U56" s="15">
        <f>IF(O56="Exclude",0,G56*Fuel_Price!$B$2)</f>
        <v>3528.1515719999998</v>
      </c>
      <c r="V56" s="15">
        <f t="shared" si="9"/>
        <v>2989922.7577359979</v>
      </c>
    </row>
    <row r="57" spans="1:22">
      <c r="A57" s="1" t="s">
        <v>147</v>
      </c>
      <c r="B57" s="1" t="s">
        <v>148</v>
      </c>
      <c r="C57" s="1" t="s">
        <v>140</v>
      </c>
      <c r="D57" s="1" t="s">
        <v>12</v>
      </c>
      <c r="E57" s="12">
        <v>18388</v>
      </c>
      <c r="F57" s="12" t="s">
        <v>13</v>
      </c>
      <c r="G57" s="6">
        <v>3883.68</v>
      </c>
      <c r="H57" s="1">
        <v>21.52</v>
      </c>
      <c r="J57" t="str">
        <f t="shared" si="0"/>
        <v>OK</v>
      </c>
      <c r="K57" t="str">
        <f t="shared" si="1"/>
        <v>OK</v>
      </c>
      <c r="L57">
        <f t="shared" si="10"/>
        <v>12</v>
      </c>
      <c r="M57">
        <f t="shared" si="2"/>
        <v>10</v>
      </c>
      <c r="N57" s="9" t="str">
        <f t="shared" si="11"/>
        <v>Valid</v>
      </c>
      <c r="O57" t="str">
        <f t="shared" si="3"/>
        <v>Include</v>
      </c>
      <c r="P57" s="9">
        <f t="shared" si="4"/>
        <v>2035068.5799999984</v>
      </c>
      <c r="Q57" s="15">
        <f t="shared" si="5"/>
        <v>7469725</v>
      </c>
      <c r="R57" s="9">
        <f t="shared" si="6"/>
        <v>18388</v>
      </c>
      <c r="S57" s="9">
        <f t="shared" si="7"/>
        <v>7469725</v>
      </c>
      <c r="T57" s="15">
        <f t="shared" si="8"/>
        <v>16.686436250344954</v>
      </c>
      <c r="U57" s="15">
        <f>IF(O57="Exclude",0,G57*Fuel_Price!$B$2)</f>
        <v>5705.9026560000002</v>
      </c>
      <c r="V57" s="15">
        <f t="shared" si="9"/>
        <v>2989922.7577359979</v>
      </c>
    </row>
    <row r="58" spans="1:22">
      <c r="A58" s="1" t="s">
        <v>149</v>
      </c>
      <c r="B58" s="1" t="s">
        <v>150</v>
      </c>
      <c r="C58" s="1" t="s">
        <v>140</v>
      </c>
      <c r="D58" s="1" t="s">
        <v>12</v>
      </c>
      <c r="E58" s="12">
        <v>9704</v>
      </c>
      <c r="F58" s="12" t="s">
        <v>13</v>
      </c>
      <c r="G58" s="6">
        <v>2019.06</v>
      </c>
      <c r="H58" s="1">
        <v>21.85</v>
      </c>
      <c r="J58" t="str">
        <f t="shared" si="0"/>
        <v>OK</v>
      </c>
      <c r="K58" t="str">
        <f t="shared" si="1"/>
        <v>OK</v>
      </c>
      <c r="L58">
        <f t="shared" si="10"/>
        <v>12</v>
      </c>
      <c r="M58">
        <f t="shared" si="2"/>
        <v>10</v>
      </c>
      <c r="N58" s="9" t="str">
        <f t="shared" si="11"/>
        <v>Valid</v>
      </c>
      <c r="O58" t="str">
        <f t="shared" si="3"/>
        <v>Include</v>
      </c>
      <c r="P58" s="9">
        <f t="shared" si="4"/>
        <v>2035068.5799999984</v>
      </c>
      <c r="Q58" s="15">
        <f t="shared" si="5"/>
        <v>7469725</v>
      </c>
      <c r="R58" s="9">
        <f t="shared" si="6"/>
        <v>9704</v>
      </c>
      <c r="S58" s="9">
        <f t="shared" si="7"/>
        <v>7469725</v>
      </c>
      <c r="T58" s="15">
        <f t="shared" si="8"/>
        <v>16.686436250344954</v>
      </c>
      <c r="U58" s="15">
        <f>IF(O58="Exclude",0,G58*Fuel_Price!$B$2)</f>
        <v>2966.4029519999999</v>
      </c>
      <c r="V58" s="15">
        <f t="shared" si="9"/>
        <v>2989922.7577359979</v>
      </c>
    </row>
    <row r="59" spans="1:22">
      <c r="A59" s="1" t="s">
        <v>151</v>
      </c>
      <c r="B59" s="1" t="s">
        <v>152</v>
      </c>
      <c r="C59" s="1" t="s">
        <v>140</v>
      </c>
      <c r="D59" s="1" t="s">
        <v>12</v>
      </c>
      <c r="E59" s="12">
        <v>11322</v>
      </c>
      <c r="F59" s="12" t="s">
        <v>13</v>
      </c>
      <c r="G59" s="6">
        <v>2515.7199999999998</v>
      </c>
      <c r="H59" s="1">
        <v>20.46</v>
      </c>
      <c r="J59" t="str">
        <f t="shared" si="0"/>
        <v>OK</v>
      </c>
      <c r="K59" t="str">
        <f t="shared" si="1"/>
        <v>OK</v>
      </c>
      <c r="L59">
        <f t="shared" si="10"/>
        <v>12</v>
      </c>
      <c r="M59">
        <f t="shared" si="2"/>
        <v>10</v>
      </c>
      <c r="N59" s="9" t="str">
        <f t="shared" si="11"/>
        <v>Valid</v>
      </c>
      <c r="O59" t="str">
        <f t="shared" si="3"/>
        <v>Include</v>
      </c>
      <c r="P59" s="9">
        <f t="shared" si="4"/>
        <v>2035068.5799999984</v>
      </c>
      <c r="Q59" s="15">
        <f t="shared" si="5"/>
        <v>7469725</v>
      </c>
      <c r="R59" s="9">
        <f t="shared" si="6"/>
        <v>11322</v>
      </c>
      <c r="S59" s="9">
        <f t="shared" si="7"/>
        <v>7469725</v>
      </c>
      <c r="T59" s="15">
        <f t="shared" si="8"/>
        <v>16.686436250344954</v>
      </c>
      <c r="U59" s="15">
        <f>IF(O59="Exclude",0,G59*Fuel_Price!$B$2)</f>
        <v>3696.095824</v>
      </c>
      <c r="V59" s="15">
        <f t="shared" si="9"/>
        <v>2989922.7577359979</v>
      </c>
    </row>
    <row r="60" spans="1:22">
      <c r="A60" s="1" t="s">
        <v>153</v>
      </c>
      <c r="B60" s="1" t="s">
        <v>154</v>
      </c>
      <c r="C60" s="1" t="s">
        <v>140</v>
      </c>
      <c r="D60" s="1" t="s">
        <v>12</v>
      </c>
      <c r="E60" s="12">
        <v>8744</v>
      </c>
      <c r="F60" s="12" t="s">
        <v>13</v>
      </c>
      <c r="G60" s="6">
        <v>2040.23</v>
      </c>
      <c r="H60" s="1">
        <v>19.48</v>
      </c>
      <c r="J60" t="str">
        <f t="shared" si="0"/>
        <v>OK</v>
      </c>
      <c r="K60" t="str">
        <f t="shared" si="1"/>
        <v>OK</v>
      </c>
      <c r="L60">
        <f t="shared" si="10"/>
        <v>12</v>
      </c>
      <c r="M60">
        <f t="shared" si="2"/>
        <v>10</v>
      </c>
      <c r="N60" s="9" t="str">
        <f t="shared" si="11"/>
        <v>Valid</v>
      </c>
      <c r="O60" t="str">
        <f t="shared" si="3"/>
        <v>Include</v>
      </c>
      <c r="P60" s="9">
        <f t="shared" si="4"/>
        <v>2035068.5799999984</v>
      </c>
      <c r="Q60" s="15">
        <f t="shared" si="5"/>
        <v>7469725</v>
      </c>
      <c r="R60" s="9">
        <f t="shared" si="6"/>
        <v>8744</v>
      </c>
      <c r="S60" s="9">
        <f t="shared" si="7"/>
        <v>7469725</v>
      </c>
      <c r="T60" s="15">
        <f t="shared" si="8"/>
        <v>16.686436250344954</v>
      </c>
      <c r="U60" s="15">
        <f>IF(O60="Exclude",0,G60*Fuel_Price!$B$2)</f>
        <v>2997.5059160000001</v>
      </c>
      <c r="V60" s="15">
        <f t="shared" si="9"/>
        <v>2989922.7577359979</v>
      </c>
    </row>
    <row r="61" spans="1:22">
      <c r="A61" s="1" t="s">
        <v>155</v>
      </c>
      <c r="B61" s="1" t="s">
        <v>156</v>
      </c>
      <c r="C61" s="1" t="s">
        <v>140</v>
      </c>
      <c r="D61" s="1" t="s">
        <v>12</v>
      </c>
      <c r="E61" s="12">
        <v>12150</v>
      </c>
      <c r="F61" s="12" t="s">
        <v>13</v>
      </c>
      <c r="G61" s="6">
        <v>2642.14</v>
      </c>
      <c r="H61" s="1">
        <v>20.91</v>
      </c>
      <c r="J61" t="str">
        <f t="shared" si="0"/>
        <v>OK</v>
      </c>
      <c r="K61" t="str">
        <f t="shared" si="1"/>
        <v>OK</v>
      </c>
      <c r="L61">
        <f t="shared" si="10"/>
        <v>12</v>
      </c>
      <c r="M61">
        <f t="shared" si="2"/>
        <v>10</v>
      </c>
      <c r="N61" s="9" t="str">
        <f t="shared" si="11"/>
        <v>Valid</v>
      </c>
      <c r="O61" t="str">
        <f t="shared" si="3"/>
        <v>Include</v>
      </c>
      <c r="P61" s="9">
        <f t="shared" si="4"/>
        <v>2035068.5799999984</v>
      </c>
      <c r="Q61" s="15">
        <f t="shared" si="5"/>
        <v>7469725</v>
      </c>
      <c r="R61" s="9">
        <f t="shared" si="6"/>
        <v>12150</v>
      </c>
      <c r="S61" s="9">
        <f t="shared" si="7"/>
        <v>7469725</v>
      </c>
      <c r="T61" s="15">
        <f t="shared" si="8"/>
        <v>16.686436250344954</v>
      </c>
      <c r="U61" s="15">
        <f>IF(O61="Exclude",0,G61*Fuel_Price!$B$2)</f>
        <v>3881.8320880000001</v>
      </c>
      <c r="V61" s="15">
        <f t="shared" si="9"/>
        <v>2989922.7577359979</v>
      </c>
    </row>
    <row r="62" spans="1:22">
      <c r="A62" s="1" t="s">
        <v>157</v>
      </c>
      <c r="B62" s="1" t="s">
        <v>158</v>
      </c>
      <c r="C62" s="1" t="s">
        <v>140</v>
      </c>
      <c r="D62" s="1" t="s">
        <v>12</v>
      </c>
      <c r="E62" s="12">
        <v>17410</v>
      </c>
      <c r="F62" s="12" t="s">
        <v>13</v>
      </c>
      <c r="G62" s="6">
        <v>3519.22</v>
      </c>
      <c r="H62" s="1">
        <v>22.49</v>
      </c>
      <c r="J62" t="str">
        <f t="shared" si="0"/>
        <v>OK</v>
      </c>
      <c r="K62" t="str">
        <f t="shared" si="1"/>
        <v>OK</v>
      </c>
      <c r="L62">
        <f t="shared" si="10"/>
        <v>12</v>
      </c>
      <c r="M62">
        <f t="shared" si="2"/>
        <v>10</v>
      </c>
      <c r="N62" s="9" t="str">
        <f t="shared" si="11"/>
        <v>Valid</v>
      </c>
      <c r="O62" t="str">
        <f t="shared" si="3"/>
        <v>Include</v>
      </c>
      <c r="P62" s="9">
        <f t="shared" si="4"/>
        <v>2035068.5799999984</v>
      </c>
      <c r="Q62" s="15">
        <f t="shared" si="5"/>
        <v>7469725</v>
      </c>
      <c r="R62" s="9">
        <f t="shared" si="6"/>
        <v>17410</v>
      </c>
      <c r="S62" s="9">
        <f t="shared" si="7"/>
        <v>7469725</v>
      </c>
      <c r="T62" s="15">
        <f t="shared" si="8"/>
        <v>16.686436250344954</v>
      </c>
      <c r="U62" s="15">
        <f>IF(O62="Exclude",0,G62*Fuel_Price!$B$2)</f>
        <v>5170.438024</v>
      </c>
      <c r="V62" s="15">
        <f t="shared" si="9"/>
        <v>2989922.7577359979</v>
      </c>
    </row>
    <row r="63" spans="1:22">
      <c r="A63" s="1" t="s">
        <v>159</v>
      </c>
      <c r="B63" s="1" t="s">
        <v>160</v>
      </c>
      <c r="C63" s="1" t="s">
        <v>140</v>
      </c>
      <c r="D63" s="1" t="s">
        <v>12</v>
      </c>
      <c r="E63" s="12">
        <v>11195</v>
      </c>
      <c r="F63" s="12" t="s">
        <v>13</v>
      </c>
      <c r="G63" s="6">
        <v>2688</v>
      </c>
      <c r="H63" s="1">
        <v>18.93</v>
      </c>
      <c r="J63" t="str">
        <f t="shared" si="0"/>
        <v>OK</v>
      </c>
      <c r="K63" t="str">
        <f t="shared" si="1"/>
        <v>OK</v>
      </c>
      <c r="L63">
        <f t="shared" si="10"/>
        <v>12</v>
      </c>
      <c r="M63">
        <f t="shared" si="2"/>
        <v>10</v>
      </c>
      <c r="N63" s="9" t="str">
        <f t="shared" si="11"/>
        <v>Valid</v>
      </c>
      <c r="O63" t="str">
        <f t="shared" si="3"/>
        <v>Include</v>
      </c>
      <c r="P63" s="9">
        <f t="shared" si="4"/>
        <v>2035068.5799999984</v>
      </c>
      <c r="Q63" s="15">
        <f t="shared" si="5"/>
        <v>7469725</v>
      </c>
      <c r="R63" s="9">
        <f t="shared" si="6"/>
        <v>11195</v>
      </c>
      <c r="S63" s="9">
        <f t="shared" si="7"/>
        <v>7469725</v>
      </c>
      <c r="T63" s="15">
        <f t="shared" si="8"/>
        <v>16.686436250344954</v>
      </c>
      <c r="U63" s="15">
        <f>IF(O63="Exclude",0,G63*Fuel_Price!$B$2)</f>
        <v>3949.2096000000001</v>
      </c>
      <c r="V63" s="15">
        <f t="shared" si="9"/>
        <v>2989922.7577359979</v>
      </c>
    </row>
    <row r="64" spans="1:22">
      <c r="A64" s="1" t="s">
        <v>161</v>
      </c>
      <c r="B64" s="1" t="s">
        <v>162</v>
      </c>
      <c r="C64" s="1" t="s">
        <v>140</v>
      </c>
      <c r="D64" s="1" t="s">
        <v>12</v>
      </c>
      <c r="E64" s="12">
        <v>24638</v>
      </c>
      <c r="F64" s="12" t="s">
        <v>13</v>
      </c>
      <c r="G64" s="6">
        <v>3659.51</v>
      </c>
      <c r="H64" s="1">
        <v>30.61</v>
      </c>
      <c r="J64" t="str">
        <f t="shared" si="0"/>
        <v>OK</v>
      </c>
      <c r="K64" t="str">
        <f t="shared" si="1"/>
        <v>OK</v>
      </c>
      <c r="L64">
        <f t="shared" si="10"/>
        <v>12</v>
      </c>
      <c r="M64">
        <f t="shared" si="2"/>
        <v>10</v>
      </c>
      <c r="N64" s="9" t="str">
        <f t="shared" si="11"/>
        <v>Valid</v>
      </c>
      <c r="O64" t="str">
        <f t="shared" si="3"/>
        <v>Include</v>
      </c>
      <c r="P64" s="9">
        <f t="shared" si="4"/>
        <v>2035068.5799999984</v>
      </c>
      <c r="Q64" s="15">
        <f t="shared" si="5"/>
        <v>7469725</v>
      </c>
      <c r="R64" s="9">
        <f t="shared" si="6"/>
        <v>24638</v>
      </c>
      <c r="S64" s="9">
        <f t="shared" si="7"/>
        <v>7469725</v>
      </c>
      <c r="T64" s="15">
        <f t="shared" si="8"/>
        <v>16.686436250344954</v>
      </c>
      <c r="U64" s="15">
        <f>IF(O64="Exclude",0,G64*Fuel_Price!$B$2)</f>
        <v>5376.5520920000008</v>
      </c>
      <c r="V64" s="15">
        <f t="shared" si="9"/>
        <v>2989922.7577359979</v>
      </c>
    </row>
    <row r="65" spans="1:22">
      <c r="A65" s="1" t="s">
        <v>163</v>
      </c>
      <c r="B65" s="1" t="s">
        <v>164</v>
      </c>
      <c r="C65" s="1" t="s">
        <v>140</v>
      </c>
      <c r="D65" s="1" t="s">
        <v>12</v>
      </c>
      <c r="E65" s="12">
        <v>10122</v>
      </c>
      <c r="F65" s="12" t="s">
        <v>13</v>
      </c>
      <c r="G65" s="6">
        <v>2424.86</v>
      </c>
      <c r="H65" s="1">
        <v>18.98</v>
      </c>
      <c r="J65" t="str">
        <f t="shared" si="0"/>
        <v>OK</v>
      </c>
      <c r="K65" t="str">
        <f t="shared" si="1"/>
        <v>OK</v>
      </c>
      <c r="L65">
        <f t="shared" si="10"/>
        <v>12</v>
      </c>
      <c r="M65">
        <f t="shared" si="2"/>
        <v>10</v>
      </c>
      <c r="N65" s="9" t="str">
        <f t="shared" si="11"/>
        <v>Valid</v>
      </c>
      <c r="O65" t="str">
        <f t="shared" si="3"/>
        <v>Include</v>
      </c>
      <c r="P65" s="9">
        <f t="shared" si="4"/>
        <v>2035068.5799999984</v>
      </c>
      <c r="Q65" s="15">
        <f t="shared" si="5"/>
        <v>7469725</v>
      </c>
      <c r="R65" s="9">
        <f t="shared" si="6"/>
        <v>10122</v>
      </c>
      <c r="S65" s="9">
        <f t="shared" si="7"/>
        <v>7469725</v>
      </c>
      <c r="T65" s="15">
        <f t="shared" si="8"/>
        <v>16.686436250344954</v>
      </c>
      <c r="U65" s="15">
        <f>IF(O65="Exclude",0,G65*Fuel_Price!$B$2)</f>
        <v>3562.6043120000004</v>
      </c>
      <c r="V65" s="15">
        <f t="shared" si="9"/>
        <v>2989922.7577359979</v>
      </c>
    </row>
    <row r="66" spans="1:22">
      <c r="A66" s="1" t="s">
        <v>165</v>
      </c>
      <c r="B66" s="1" t="s">
        <v>166</v>
      </c>
      <c r="C66" s="1" t="s">
        <v>140</v>
      </c>
      <c r="D66" s="1" t="s">
        <v>12</v>
      </c>
      <c r="E66" s="12">
        <v>7750</v>
      </c>
      <c r="F66" s="12" t="s">
        <v>13</v>
      </c>
      <c r="G66" s="6">
        <v>1927.92</v>
      </c>
      <c r="H66" s="1">
        <v>18.27</v>
      </c>
      <c r="J66" t="str">
        <f t="shared" ref="J66:J129" si="12">IF(OR(H66&lt;=0,H66&gt;100),"Check","OK")</f>
        <v>OK</v>
      </c>
      <c r="K66" t="str">
        <f t="shared" ref="K66:K129" si="13">IF(E66&lt;0,"Check","OK")</f>
        <v>OK</v>
      </c>
      <c r="L66">
        <f t="shared" si="10"/>
        <v>12</v>
      </c>
      <c r="M66">
        <f t="shared" ref="M66:M129" si="14">COUNTIF(K:K,"Check")</f>
        <v>10</v>
      </c>
      <c r="N66" s="9" t="str">
        <f t="shared" si="11"/>
        <v>Valid</v>
      </c>
      <c r="O66" t="str">
        <f t="shared" ref="O66:O129" si="15">IF(N66="Review","Exclude","Include")</f>
        <v>Include</v>
      </c>
      <c r="P66" s="9">
        <f t="shared" ref="P66:P129" si="16">SUMIF(O:O,"Include",G:G)</f>
        <v>2035068.5799999984</v>
      </c>
      <c r="Q66" s="15">
        <f t="shared" ref="Q66:Q129" si="17">SUMIF(O:O,"Include",E:E)</f>
        <v>7469725</v>
      </c>
      <c r="R66" s="9">
        <f t="shared" ref="R66:R129" si="18">IF(O66="Exclude",0,E66)</f>
        <v>7750</v>
      </c>
      <c r="S66" s="9">
        <f t="shared" ref="S66:S129" si="19">SUM(R:R)</f>
        <v>7469725</v>
      </c>
      <c r="T66" s="15">
        <f t="shared" ref="T66:T129" si="20">S66/(P66/4.54609)</f>
        <v>16.686436250344954</v>
      </c>
      <c r="U66" s="15">
        <f>IF(O66="Exclude",0,G66*Fuel_Price!$B$2)</f>
        <v>2832.5000640000003</v>
      </c>
      <c r="V66" s="15">
        <f t="shared" ref="V66:V129" si="21">SUM(U:U)</f>
        <v>2989922.7577359979</v>
      </c>
    </row>
    <row r="67" spans="1:22">
      <c r="A67" s="1" t="s">
        <v>167</v>
      </c>
      <c r="B67" s="1" t="s">
        <v>168</v>
      </c>
      <c r="C67" s="1" t="s">
        <v>140</v>
      </c>
      <c r="D67" s="1" t="s">
        <v>12</v>
      </c>
      <c r="E67" s="12">
        <v>11924</v>
      </c>
      <c r="F67" s="12" t="s">
        <v>13</v>
      </c>
      <c r="G67" s="6">
        <v>2947.11</v>
      </c>
      <c r="H67" s="1">
        <v>18.39</v>
      </c>
      <c r="J67" t="str">
        <f t="shared" si="12"/>
        <v>OK</v>
      </c>
      <c r="K67" t="str">
        <f t="shared" si="13"/>
        <v>OK</v>
      </c>
      <c r="L67">
        <f t="shared" ref="L67:L130" si="22">COUNTIF(J:J,"Check")</f>
        <v>12</v>
      </c>
      <c r="M67">
        <f t="shared" si="14"/>
        <v>10</v>
      </c>
      <c r="N67" s="9" t="str">
        <f t="shared" si="11"/>
        <v>Valid</v>
      </c>
      <c r="O67" t="str">
        <f t="shared" si="15"/>
        <v>Include</v>
      </c>
      <c r="P67" s="9">
        <f t="shared" si="16"/>
        <v>2035068.5799999984</v>
      </c>
      <c r="Q67" s="15">
        <f t="shared" si="17"/>
        <v>7469725</v>
      </c>
      <c r="R67" s="9">
        <f t="shared" si="18"/>
        <v>11924</v>
      </c>
      <c r="S67" s="9">
        <f t="shared" si="19"/>
        <v>7469725</v>
      </c>
      <c r="T67" s="15">
        <f t="shared" si="20"/>
        <v>16.686436250344954</v>
      </c>
      <c r="U67" s="15">
        <f>IF(O67="Exclude",0,G67*Fuel_Price!$B$2)</f>
        <v>4329.8940120000007</v>
      </c>
      <c r="V67" s="15">
        <f t="shared" si="21"/>
        <v>2989922.7577359979</v>
      </c>
    </row>
    <row r="68" spans="1:22">
      <c r="A68" s="1" t="s">
        <v>169</v>
      </c>
      <c r="B68" s="1" t="s">
        <v>170</v>
      </c>
      <c r="C68" s="1" t="s">
        <v>140</v>
      </c>
      <c r="D68" s="1" t="s">
        <v>12</v>
      </c>
      <c r="E68" s="12">
        <v>12278</v>
      </c>
      <c r="F68" s="12" t="s">
        <v>13</v>
      </c>
      <c r="G68" s="6">
        <v>2825.37</v>
      </c>
      <c r="H68" s="1">
        <v>19.760000000000002</v>
      </c>
      <c r="J68" t="str">
        <f t="shared" si="12"/>
        <v>OK</v>
      </c>
      <c r="K68" t="str">
        <f t="shared" si="13"/>
        <v>OK</v>
      </c>
      <c r="L68">
        <f t="shared" si="22"/>
        <v>12</v>
      </c>
      <c r="M68">
        <f t="shared" si="14"/>
        <v>10</v>
      </c>
      <c r="N68" s="9" t="str">
        <f t="shared" si="11"/>
        <v>Valid</v>
      </c>
      <c r="O68" t="str">
        <f t="shared" si="15"/>
        <v>Include</v>
      </c>
      <c r="P68" s="9">
        <f t="shared" si="16"/>
        <v>2035068.5799999984</v>
      </c>
      <c r="Q68" s="15">
        <f t="shared" si="17"/>
        <v>7469725</v>
      </c>
      <c r="R68" s="9">
        <f t="shared" si="18"/>
        <v>12278</v>
      </c>
      <c r="S68" s="9">
        <f t="shared" si="19"/>
        <v>7469725</v>
      </c>
      <c r="T68" s="15">
        <f t="shared" si="20"/>
        <v>16.686436250344954</v>
      </c>
      <c r="U68" s="15">
        <f>IF(O68="Exclude",0,G68*Fuel_Price!$B$2)</f>
        <v>4151.0336040000002</v>
      </c>
      <c r="V68" s="15">
        <f t="shared" si="21"/>
        <v>2989922.7577359979</v>
      </c>
    </row>
    <row r="69" spans="1:22">
      <c r="A69" s="1" t="s">
        <v>171</v>
      </c>
      <c r="B69" s="1" t="s">
        <v>172</v>
      </c>
      <c r="C69" s="1" t="s">
        <v>140</v>
      </c>
      <c r="D69" s="1" t="s">
        <v>12</v>
      </c>
      <c r="E69" s="12">
        <v>10114</v>
      </c>
      <c r="F69" s="12" t="s">
        <v>13</v>
      </c>
      <c r="G69" s="6">
        <v>2338.91</v>
      </c>
      <c r="H69" s="1">
        <v>19.66</v>
      </c>
      <c r="J69" t="str">
        <f t="shared" si="12"/>
        <v>OK</v>
      </c>
      <c r="K69" t="str">
        <f t="shared" si="13"/>
        <v>OK</v>
      </c>
      <c r="L69">
        <f t="shared" si="22"/>
        <v>12</v>
      </c>
      <c r="M69">
        <f t="shared" si="14"/>
        <v>10</v>
      </c>
      <c r="N69" s="9" t="str">
        <f t="shared" si="11"/>
        <v>Valid</v>
      </c>
      <c r="O69" t="str">
        <f t="shared" si="15"/>
        <v>Include</v>
      </c>
      <c r="P69" s="9">
        <f t="shared" si="16"/>
        <v>2035068.5799999984</v>
      </c>
      <c r="Q69" s="15">
        <f t="shared" si="17"/>
        <v>7469725</v>
      </c>
      <c r="R69" s="9">
        <f t="shared" si="18"/>
        <v>10114</v>
      </c>
      <c r="S69" s="9">
        <f t="shared" si="19"/>
        <v>7469725</v>
      </c>
      <c r="T69" s="15">
        <f t="shared" si="20"/>
        <v>16.686436250344954</v>
      </c>
      <c r="U69" s="15">
        <f>IF(O69="Exclude",0,G69*Fuel_Price!$B$2)</f>
        <v>3436.3265719999999</v>
      </c>
      <c r="V69" s="15">
        <f t="shared" si="21"/>
        <v>2989922.7577359979</v>
      </c>
    </row>
    <row r="70" spans="1:22">
      <c r="A70" s="1" t="s">
        <v>173</v>
      </c>
      <c r="B70" s="1" t="s">
        <v>174</v>
      </c>
      <c r="C70" s="1" t="s">
        <v>140</v>
      </c>
      <c r="D70" s="1" t="s">
        <v>12</v>
      </c>
      <c r="E70" s="12">
        <v>86470</v>
      </c>
      <c r="F70" s="12" t="s">
        <v>137</v>
      </c>
      <c r="G70" s="6">
        <v>2630.67</v>
      </c>
      <c r="H70" s="1">
        <v>92.92</v>
      </c>
      <c r="J70" t="str">
        <f t="shared" si="12"/>
        <v>OK</v>
      </c>
      <c r="K70" t="str">
        <f t="shared" si="13"/>
        <v>OK</v>
      </c>
      <c r="L70">
        <f t="shared" si="22"/>
        <v>12</v>
      </c>
      <c r="M70">
        <f t="shared" si="14"/>
        <v>10</v>
      </c>
      <c r="N70" s="9" t="str">
        <f t="shared" si="11"/>
        <v>Valid</v>
      </c>
      <c r="O70" t="str">
        <f t="shared" si="15"/>
        <v>Include</v>
      </c>
      <c r="P70" s="9">
        <f t="shared" si="16"/>
        <v>2035068.5799999984</v>
      </c>
      <c r="Q70" s="15">
        <f t="shared" si="17"/>
        <v>7469725</v>
      </c>
      <c r="R70" s="9">
        <f t="shared" si="18"/>
        <v>86470</v>
      </c>
      <c r="S70" s="9">
        <f t="shared" si="19"/>
        <v>7469725</v>
      </c>
      <c r="T70" s="15">
        <f t="shared" si="20"/>
        <v>16.686436250344954</v>
      </c>
      <c r="U70" s="15">
        <f>IF(O70="Exclude",0,G70*Fuel_Price!$B$2)</f>
        <v>3864.9803640000005</v>
      </c>
      <c r="V70" s="15">
        <f t="shared" si="21"/>
        <v>2989922.7577359979</v>
      </c>
    </row>
    <row r="71" spans="1:22">
      <c r="A71" s="1" t="s">
        <v>175</v>
      </c>
      <c r="B71" s="1" t="s">
        <v>176</v>
      </c>
      <c r="C71" s="1" t="s">
        <v>140</v>
      </c>
      <c r="D71" s="1" t="s">
        <v>12</v>
      </c>
      <c r="E71" s="12">
        <v>10155</v>
      </c>
      <c r="F71" s="12" t="s">
        <v>13</v>
      </c>
      <c r="G71" s="6">
        <v>2464.69</v>
      </c>
      <c r="H71" s="1">
        <v>18.73</v>
      </c>
      <c r="J71" t="str">
        <f t="shared" si="12"/>
        <v>OK</v>
      </c>
      <c r="K71" t="str">
        <f t="shared" si="13"/>
        <v>OK</v>
      </c>
      <c r="L71">
        <f t="shared" si="22"/>
        <v>12</v>
      </c>
      <c r="M71">
        <f t="shared" si="14"/>
        <v>10</v>
      </c>
      <c r="N71" s="9" t="str">
        <f t="shared" ref="N71:N134" si="23">IF(OR(H71&lt;=0,H71&gt;100,E71&lt;0),"Review","Valid")</f>
        <v>Valid</v>
      </c>
      <c r="O71" t="str">
        <f t="shared" si="15"/>
        <v>Include</v>
      </c>
      <c r="P71" s="9">
        <f t="shared" si="16"/>
        <v>2035068.5799999984</v>
      </c>
      <c r="Q71" s="15">
        <f t="shared" si="17"/>
        <v>7469725</v>
      </c>
      <c r="R71" s="9">
        <f t="shared" si="18"/>
        <v>10155</v>
      </c>
      <c r="S71" s="9">
        <f t="shared" si="19"/>
        <v>7469725</v>
      </c>
      <c r="T71" s="15">
        <f t="shared" si="20"/>
        <v>16.686436250344954</v>
      </c>
      <c r="U71" s="15">
        <f>IF(O71="Exclude",0,G71*Fuel_Price!$B$2)</f>
        <v>3621.1225480000003</v>
      </c>
      <c r="V71" s="15">
        <f t="shared" si="21"/>
        <v>2989922.7577359979</v>
      </c>
    </row>
    <row r="72" spans="1:22">
      <c r="A72" s="1" t="s">
        <v>177</v>
      </c>
      <c r="B72" s="1" t="s">
        <v>178</v>
      </c>
      <c r="C72" s="1" t="s">
        <v>140</v>
      </c>
      <c r="D72" s="1" t="s">
        <v>12</v>
      </c>
      <c r="E72" s="12">
        <v>3483</v>
      </c>
      <c r="F72" s="12" t="s">
        <v>13</v>
      </c>
      <c r="G72" s="6">
        <v>1904.62</v>
      </c>
      <c r="H72" s="1">
        <v>8.31</v>
      </c>
      <c r="J72" t="str">
        <f t="shared" si="12"/>
        <v>OK</v>
      </c>
      <c r="K72" t="str">
        <f t="shared" si="13"/>
        <v>OK</v>
      </c>
      <c r="L72">
        <f t="shared" si="22"/>
        <v>12</v>
      </c>
      <c r="M72">
        <f t="shared" si="14"/>
        <v>10</v>
      </c>
      <c r="N72" s="9" t="str">
        <f t="shared" si="23"/>
        <v>Valid</v>
      </c>
      <c r="O72" t="str">
        <f t="shared" si="15"/>
        <v>Include</v>
      </c>
      <c r="P72" s="9">
        <f t="shared" si="16"/>
        <v>2035068.5799999984</v>
      </c>
      <c r="Q72" s="15">
        <f t="shared" si="17"/>
        <v>7469725</v>
      </c>
      <c r="R72" s="9">
        <f t="shared" si="18"/>
        <v>3483</v>
      </c>
      <c r="S72" s="9">
        <f t="shared" si="19"/>
        <v>7469725</v>
      </c>
      <c r="T72" s="15">
        <f t="shared" si="20"/>
        <v>16.686436250344954</v>
      </c>
      <c r="U72" s="15">
        <f>IF(O72="Exclude",0,G72*Fuel_Price!$B$2)</f>
        <v>2798.2677039999999</v>
      </c>
      <c r="V72" s="15">
        <f t="shared" si="21"/>
        <v>2989922.7577359979</v>
      </c>
    </row>
    <row r="73" spans="1:22">
      <c r="A73" s="1" t="s">
        <v>179</v>
      </c>
      <c r="B73" s="1" t="s">
        <v>180</v>
      </c>
      <c r="C73" s="1" t="s">
        <v>140</v>
      </c>
      <c r="D73" s="1" t="s">
        <v>12</v>
      </c>
      <c r="E73" s="12">
        <v>22109</v>
      </c>
      <c r="F73" s="12" t="s">
        <v>13</v>
      </c>
      <c r="G73" s="6">
        <v>4636.16</v>
      </c>
      <c r="H73" s="1">
        <v>21.68</v>
      </c>
      <c r="J73" t="str">
        <f t="shared" si="12"/>
        <v>OK</v>
      </c>
      <c r="K73" t="str">
        <f t="shared" si="13"/>
        <v>OK</v>
      </c>
      <c r="L73">
        <f t="shared" si="22"/>
        <v>12</v>
      </c>
      <c r="M73">
        <f t="shared" si="14"/>
        <v>10</v>
      </c>
      <c r="N73" s="9" t="str">
        <f t="shared" si="23"/>
        <v>Valid</v>
      </c>
      <c r="O73" t="str">
        <f t="shared" si="15"/>
        <v>Include</v>
      </c>
      <c r="P73" s="9">
        <f t="shared" si="16"/>
        <v>2035068.5799999984</v>
      </c>
      <c r="Q73" s="15">
        <f t="shared" si="17"/>
        <v>7469725</v>
      </c>
      <c r="R73" s="9">
        <f t="shared" si="18"/>
        <v>22109</v>
      </c>
      <c r="S73" s="9">
        <f t="shared" si="19"/>
        <v>7469725</v>
      </c>
      <c r="T73" s="15">
        <f t="shared" si="20"/>
        <v>16.686436250344954</v>
      </c>
      <c r="U73" s="15">
        <f>IF(O73="Exclude",0,G73*Fuel_Price!$B$2)</f>
        <v>6811.4462720000001</v>
      </c>
      <c r="V73" s="15">
        <f t="shared" si="21"/>
        <v>2989922.7577359979</v>
      </c>
    </row>
    <row r="74" spans="1:22">
      <c r="A74" s="1" t="s">
        <v>181</v>
      </c>
      <c r="B74" s="1" t="s">
        <v>182</v>
      </c>
      <c r="C74" s="1" t="s">
        <v>140</v>
      </c>
      <c r="D74" s="1" t="s">
        <v>12</v>
      </c>
      <c r="E74" s="12">
        <v>10042</v>
      </c>
      <c r="F74" s="12" t="s">
        <v>13</v>
      </c>
      <c r="G74" s="6">
        <v>2345.33</v>
      </c>
      <c r="H74" s="1">
        <v>19.47</v>
      </c>
      <c r="J74" t="str">
        <f t="shared" si="12"/>
        <v>OK</v>
      </c>
      <c r="K74" t="str">
        <f t="shared" si="13"/>
        <v>OK</v>
      </c>
      <c r="L74">
        <f t="shared" si="22"/>
        <v>12</v>
      </c>
      <c r="M74">
        <f t="shared" si="14"/>
        <v>10</v>
      </c>
      <c r="N74" s="9" t="str">
        <f t="shared" si="23"/>
        <v>Valid</v>
      </c>
      <c r="O74" t="str">
        <f t="shared" si="15"/>
        <v>Include</v>
      </c>
      <c r="P74" s="9">
        <f t="shared" si="16"/>
        <v>2035068.5799999984</v>
      </c>
      <c r="Q74" s="15">
        <f t="shared" si="17"/>
        <v>7469725</v>
      </c>
      <c r="R74" s="9">
        <f t="shared" si="18"/>
        <v>10042</v>
      </c>
      <c r="S74" s="9">
        <f t="shared" si="19"/>
        <v>7469725</v>
      </c>
      <c r="T74" s="15">
        <f t="shared" si="20"/>
        <v>16.686436250344954</v>
      </c>
      <c r="U74" s="15">
        <f>IF(O74="Exclude",0,G74*Fuel_Price!$B$2)</f>
        <v>3445.758836</v>
      </c>
      <c r="V74" s="15">
        <f t="shared" si="21"/>
        <v>2989922.7577359979</v>
      </c>
    </row>
    <row r="75" spans="1:22">
      <c r="A75" s="1" t="s">
        <v>183</v>
      </c>
      <c r="B75" s="1" t="s">
        <v>184</v>
      </c>
      <c r="C75" s="1" t="s">
        <v>140</v>
      </c>
      <c r="D75" s="1" t="s">
        <v>12</v>
      </c>
      <c r="E75" s="12">
        <v>5200</v>
      </c>
      <c r="F75" s="12" t="s">
        <v>13</v>
      </c>
      <c r="G75" s="6">
        <v>721.57</v>
      </c>
      <c r="H75" s="1">
        <v>32.76</v>
      </c>
      <c r="J75" t="str">
        <f t="shared" si="12"/>
        <v>OK</v>
      </c>
      <c r="K75" t="str">
        <f t="shared" si="13"/>
        <v>OK</v>
      </c>
      <c r="L75">
        <f t="shared" si="22"/>
        <v>12</v>
      </c>
      <c r="M75">
        <f t="shared" si="14"/>
        <v>10</v>
      </c>
      <c r="N75" s="9" t="str">
        <f t="shared" si="23"/>
        <v>Valid</v>
      </c>
      <c r="O75" t="str">
        <f t="shared" si="15"/>
        <v>Include</v>
      </c>
      <c r="P75" s="9">
        <f t="shared" si="16"/>
        <v>2035068.5799999984</v>
      </c>
      <c r="Q75" s="15">
        <f t="shared" si="17"/>
        <v>7469725</v>
      </c>
      <c r="R75" s="9">
        <f t="shared" si="18"/>
        <v>5200</v>
      </c>
      <c r="S75" s="9">
        <f t="shared" si="19"/>
        <v>7469725</v>
      </c>
      <c r="T75" s="15">
        <f t="shared" si="20"/>
        <v>16.686436250344954</v>
      </c>
      <c r="U75" s="15">
        <f>IF(O75="Exclude",0,G75*Fuel_Price!$B$2)</f>
        <v>1060.1306440000001</v>
      </c>
      <c r="V75" s="15">
        <f t="shared" si="21"/>
        <v>2989922.7577359979</v>
      </c>
    </row>
    <row r="76" spans="1:22">
      <c r="A76" s="1" t="s">
        <v>185</v>
      </c>
      <c r="B76" s="1" t="s">
        <v>186</v>
      </c>
      <c r="C76" s="1" t="s">
        <v>140</v>
      </c>
      <c r="D76" s="1" t="s">
        <v>12</v>
      </c>
      <c r="E76" s="12">
        <v>12369</v>
      </c>
      <c r="F76" s="12" t="s">
        <v>13</v>
      </c>
      <c r="G76" s="6">
        <v>3116.99</v>
      </c>
      <c r="H76" s="1">
        <v>18.04</v>
      </c>
      <c r="J76" t="str">
        <f t="shared" si="12"/>
        <v>OK</v>
      </c>
      <c r="K76" t="str">
        <f t="shared" si="13"/>
        <v>OK</v>
      </c>
      <c r="L76">
        <f t="shared" si="22"/>
        <v>12</v>
      </c>
      <c r="M76">
        <f t="shared" si="14"/>
        <v>10</v>
      </c>
      <c r="N76" s="9" t="str">
        <f t="shared" si="23"/>
        <v>Valid</v>
      </c>
      <c r="O76" t="str">
        <f t="shared" si="15"/>
        <v>Include</v>
      </c>
      <c r="P76" s="9">
        <f t="shared" si="16"/>
        <v>2035068.5799999984</v>
      </c>
      <c r="Q76" s="15">
        <f t="shared" si="17"/>
        <v>7469725</v>
      </c>
      <c r="R76" s="9">
        <f t="shared" si="18"/>
        <v>12369</v>
      </c>
      <c r="S76" s="9">
        <f t="shared" si="19"/>
        <v>7469725</v>
      </c>
      <c r="T76" s="15">
        <f t="shared" si="20"/>
        <v>16.686436250344954</v>
      </c>
      <c r="U76" s="15">
        <f>IF(O76="Exclude",0,G76*Fuel_Price!$B$2)</f>
        <v>4579.4817080000003</v>
      </c>
      <c r="V76" s="15">
        <f t="shared" si="21"/>
        <v>2989922.7577359979</v>
      </c>
    </row>
    <row r="77" spans="1:22">
      <c r="A77" s="1" t="s">
        <v>187</v>
      </c>
      <c r="B77" s="1" t="s">
        <v>188</v>
      </c>
      <c r="C77" s="1" t="s">
        <v>140</v>
      </c>
      <c r="D77" s="1" t="s">
        <v>12</v>
      </c>
      <c r="E77" s="12">
        <v>11597</v>
      </c>
      <c r="F77" s="12" t="s">
        <v>13</v>
      </c>
      <c r="G77" s="6">
        <v>2791.24</v>
      </c>
      <c r="H77" s="1">
        <v>18.89</v>
      </c>
      <c r="J77" t="str">
        <f t="shared" si="12"/>
        <v>OK</v>
      </c>
      <c r="K77" t="str">
        <f t="shared" si="13"/>
        <v>OK</v>
      </c>
      <c r="L77">
        <f t="shared" si="22"/>
        <v>12</v>
      </c>
      <c r="M77">
        <f t="shared" si="14"/>
        <v>10</v>
      </c>
      <c r="N77" s="9" t="str">
        <f t="shared" si="23"/>
        <v>Valid</v>
      </c>
      <c r="O77" t="str">
        <f t="shared" si="15"/>
        <v>Include</v>
      </c>
      <c r="P77" s="9">
        <f t="shared" si="16"/>
        <v>2035068.5799999984</v>
      </c>
      <c r="Q77" s="15">
        <f t="shared" si="17"/>
        <v>7469725</v>
      </c>
      <c r="R77" s="9">
        <f t="shared" si="18"/>
        <v>11597</v>
      </c>
      <c r="S77" s="9">
        <f t="shared" si="19"/>
        <v>7469725</v>
      </c>
      <c r="T77" s="15">
        <f t="shared" si="20"/>
        <v>16.686436250344954</v>
      </c>
      <c r="U77" s="15">
        <f>IF(O77="Exclude",0,G77*Fuel_Price!$B$2)</f>
        <v>4100.8898079999999</v>
      </c>
      <c r="V77" s="15">
        <f t="shared" si="21"/>
        <v>2989922.7577359979</v>
      </c>
    </row>
    <row r="78" spans="1:22">
      <c r="A78" s="1" t="s">
        <v>189</v>
      </c>
      <c r="B78" s="1" t="s">
        <v>190</v>
      </c>
      <c r="C78" s="1" t="s">
        <v>140</v>
      </c>
      <c r="D78" s="1" t="s">
        <v>12</v>
      </c>
      <c r="E78" s="12">
        <v>13909</v>
      </c>
      <c r="F78" s="12" t="s">
        <v>13</v>
      </c>
      <c r="G78" s="6">
        <v>3183.81</v>
      </c>
      <c r="H78" s="1">
        <v>19.86</v>
      </c>
      <c r="J78" t="str">
        <f t="shared" si="12"/>
        <v>OK</v>
      </c>
      <c r="K78" t="str">
        <f t="shared" si="13"/>
        <v>OK</v>
      </c>
      <c r="L78">
        <f t="shared" si="22"/>
        <v>12</v>
      </c>
      <c r="M78">
        <f t="shared" si="14"/>
        <v>10</v>
      </c>
      <c r="N78" s="9" t="str">
        <f t="shared" si="23"/>
        <v>Valid</v>
      </c>
      <c r="O78" t="str">
        <f t="shared" si="15"/>
        <v>Include</v>
      </c>
      <c r="P78" s="9">
        <f t="shared" si="16"/>
        <v>2035068.5799999984</v>
      </c>
      <c r="Q78" s="15">
        <f t="shared" si="17"/>
        <v>7469725</v>
      </c>
      <c r="R78" s="9">
        <f t="shared" si="18"/>
        <v>13909</v>
      </c>
      <c r="S78" s="9">
        <f t="shared" si="19"/>
        <v>7469725</v>
      </c>
      <c r="T78" s="15">
        <f t="shared" si="20"/>
        <v>16.686436250344954</v>
      </c>
      <c r="U78" s="15">
        <f>IF(O78="Exclude",0,G78*Fuel_Price!$B$2)</f>
        <v>4677.653652</v>
      </c>
      <c r="V78" s="15">
        <f t="shared" si="21"/>
        <v>2989922.7577359979</v>
      </c>
    </row>
    <row r="79" spans="1:22">
      <c r="A79" s="1" t="s">
        <v>191</v>
      </c>
      <c r="B79" s="1" t="s">
        <v>192</v>
      </c>
      <c r="C79" s="1" t="s">
        <v>140</v>
      </c>
      <c r="D79" s="1" t="s">
        <v>12</v>
      </c>
      <c r="E79" s="12">
        <v>16376</v>
      </c>
      <c r="F79" s="12" t="s">
        <v>13</v>
      </c>
      <c r="G79" s="6">
        <v>3802.11</v>
      </c>
      <c r="H79" s="1">
        <v>19.579999999999998</v>
      </c>
      <c r="J79" t="str">
        <f t="shared" si="12"/>
        <v>OK</v>
      </c>
      <c r="K79" t="str">
        <f t="shared" si="13"/>
        <v>OK</v>
      </c>
      <c r="L79">
        <f t="shared" si="22"/>
        <v>12</v>
      </c>
      <c r="M79">
        <f t="shared" si="14"/>
        <v>10</v>
      </c>
      <c r="N79" s="9" t="str">
        <f t="shared" si="23"/>
        <v>Valid</v>
      </c>
      <c r="O79" t="str">
        <f t="shared" si="15"/>
        <v>Include</v>
      </c>
      <c r="P79" s="9">
        <f t="shared" si="16"/>
        <v>2035068.5799999984</v>
      </c>
      <c r="Q79" s="15">
        <f t="shared" si="17"/>
        <v>7469725</v>
      </c>
      <c r="R79" s="9">
        <f t="shared" si="18"/>
        <v>16376</v>
      </c>
      <c r="S79" s="9">
        <f t="shared" si="19"/>
        <v>7469725</v>
      </c>
      <c r="T79" s="15">
        <f t="shared" si="20"/>
        <v>16.686436250344954</v>
      </c>
      <c r="U79" s="15">
        <f>IF(O79="Exclude",0,G79*Fuel_Price!$B$2)</f>
        <v>5586.0600120000008</v>
      </c>
      <c r="V79" s="15">
        <f t="shared" si="21"/>
        <v>2989922.7577359979</v>
      </c>
    </row>
    <row r="80" spans="1:22">
      <c r="A80" s="1" t="s">
        <v>193</v>
      </c>
      <c r="B80" s="1" t="s">
        <v>194</v>
      </c>
      <c r="C80" s="1" t="s">
        <v>140</v>
      </c>
      <c r="D80" s="1" t="s">
        <v>12</v>
      </c>
      <c r="E80" s="12">
        <v>14123</v>
      </c>
      <c r="F80" s="12" t="s">
        <v>13</v>
      </c>
      <c r="G80" s="6">
        <v>3258.88</v>
      </c>
      <c r="H80" s="1">
        <v>19.7</v>
      </c>
      <c r="J80" t="str">
        <f t="shared" si="12"/>
        <v>OK</v>
      </c>
      <c r="K80" t="str">
        <f t="shared" si="13"/>
        <v>OK</v>
      </c>
      <c r="L80">
        <f t="shared" si="22"/>
        <v>12</v>
      </c>
      <c r="M80">
        <f t="shared" si="14"/>
        <v>10</v>
      </c>
      <c r="N80" s="9" t="str">
        <f t="shared" si="23"/>
        <v>Valid</v>
      </c>
      <c r="O80" t="str">
        <f t="shared" si="15"/>
        <v>Include</v>
      </c>
      <c r="P80" s="9">
        <f t="shared" si="16"/>
        <v>2035068.5799999984</v>
      </c>
      <c r="Q80" s="15">
        <f t="shared" si="17"/>
        <v>7469725</v>
      </c>
      <c r="R80" s="9">
        <f t="shared" si="18"/>
        <v>14123</v>
      </c>
      <c r="S80" s="9">
        <f t="shared" si="19"/>
        <v>7469725</v>
      </c>
      <c r="T80" s="15">
        <f t="shared" si="20"/>
        <v>16.686436250344954</v>
      </c>
      <c r="U80" s="15">
        <f>IF(O80="Exclude",0,G80*Fuel_Price!$B$2)</f>
        <v>4787.9464960000005</v>
      </c>
      <c r="V80" s="15">
        <f t="shared" si="21"/>
        <v>2989922.7577359979</v>
      </c>
    </row>
    <row r="81" spans="1:22">
      <c r="A81" s="1" t="s">
        <v>195</v>
      </c>
      <c r="B81" s="1" t="s">
        <v>196</v>
      </c>
      <c r="C81" s="1" t="s">
        <v>140</v>
      </c>
      <c r="D81" s="1" t="s">
        <v>12</v>
      </c>
      <c r="E81" s="12">
        <v>13980</v>
      </c>
      <c r="F81" s="12" t="s">
        <v>13</v>
      </c>
      <c r="G81" s="6">
        <v>3018.17</v>
      </c>
      <c r="H81" s="1">
        <v>21.06</v>
      </c>
      <c r="J81" t="str">
        <f t="shared" si="12"/>
        <v>OK</v>
      </c>
      <c r="K81" t="str">
        <f t="shared" si="13"/>
        <v>OK</v>
      </c>
      <c r="L81">
        <f t="shared" si="22"/>
        <v>12</v>
      </c>
      <c r="M81">
        <f t="shared" si="14"/>
        <v>10</v>
      </c>
      <c r="N81" s="9" t="str">
        <f t="shared" si="23"/>
        <v>Valid</v>
      </c>
      <c r="O81" t="str">
        <f t="shared" si="15"/>
        <v>Include</v>
      </c>
      <c r="P81" s="9">
        <f t="shared" si="16"/>
        <v>2035068.5799999984</v>
      </c>
      <c r="Q81" s="15">
        <f t="shared" si="17"/>
        <v>7469725</v>
      </c>
      <c r="R81" s="9">
        <f t="shared" si="18"/>
        <v>13980</v>
      </c>
      <c r="S81" s="9">
        <f t="shared" si="19"/>
        <v>7469725</v>
      </c>
      <c r="T81" s="15">
        <f t="shared" si="20"/>
        <v>16.686436250344954</v>
      </c>
      <c r="U81" s="15">
        <f>IF(O81="Exclude",0,G81*Fuel_Price!$B$2)</f>
        <v>4434.2953640000005</v>
      </c>
      <c r="V81" s="15">
        <f t="shared" si="21"/>
        <v>2989922.7577359979</v>
      </c>
    </row>
    <row r="82" spans="1:22">
      <c r="A82" s="1" t="s">
        <v>197</v>
      </c>
      <c r="B82" s="1" t="s">
        <v>198</v>
      </c>
      <c r="C82" s="1" t="s">
        <v>140</v>
      </c>
      <c r="D82" s="1" t="s">
        <v>12</v>
      </c>
      <c r="E82" s="12">
        <v>15900</v>
      </c>
      <c r="F82" s="12" t="s">
        <v>13</v>
      </c>
      <c r="G82" s="6">
        <v>3056.76</v>
      </c>
      <c r="H82" s="1">
        <v>23.65</v>
      </c>
      <c r="J82" t="str">
        <f t="shared" si="12"/>
        <v>OK</v>
      </c>
      <c r="K82" t="str">
        <f t="shared" si="13"/>
        <v>OK</v>
      </c>
      <c r="L82">
        <f t="shared" si="22"/>
        <v>12</v>
      </c>
      <c r="M82">
        <f t="shared" si="14"/>
        <v>10</v>
      </c>
      <c r="N82" s="9" t="str">
        <f t="shared" si="23"/>
        <v>Valid</v>
      </c>
      <c r="O82" t="str">
        <f t="shared" si="15"/>
        <v>Include</v>
      </c>
      <c r="P82" s="9">
        <f t="shared" si="16"/>
        <v>2035068.5799999984</v>
      </c>
      <c r="Q82" s="15">
        <f t="shared" si="17"/>
        <v>7469725</v>
      </c>
      <c r="R82" s="9">
        <f t="shared" si="18"/>
        <v>15900</v>
      </c>
      <c r="S82" s="9">
        <f t="shared" si="19"/>
        <v>7469725</v>
      </c>
      <c r="T82" s="15">
        <f t="shared" si="20"/>
        <v>16.686436250344954</v>
      </c>
      <c r="U82" s="15">
        <f>IF(O82="Exclude",0,G82*Fuel_Price!$B$2)</f>
        <v>4490.9917920000007</v>
      </c>
      <c r="V82" s="15">
        <f t="shared" si="21"/>
        <v>2989922.7577359979</v>
      </c>
    </row>
    <row r="83" spans="1:22">
      <c r="A83" s="1" t="s">
        <v>199</v>
      </c>
      <c r="B83" s="1" t="s">
        <v>200</v>
      </c>
      <c r="C83" s="1" t="s">
        <v>140</v>
      </c>
      <c r="D83" s="1" t="s">
        <v>12</v>
      </c>
      <c r="E83" s="12">
        <v>13715</v>
      </c>
      <c r="F83" s="12" t="s">
        <v>13</v>
      </c>
      <c r="G83" s="6">
        <v>3094.07</v>
      </c>
      <c r="H83" s="1">
        <v>20.149999999999999</v>
      </c>
      <c r="J83" t="str">
        <f t="shared" si="12"/>
        <v>OK</v>
      </c>
      <c r="K83" t="str">
        <f t="shared" si="13"/>
        <v>OK</v>
      </c>
      <c r="L83">
        <f t="shared" si="22"/>
        <v>12</v>
      </c>
      <c r="M83">
        <f t="shared" si="14"/>
        <v>10</v>
      </c>
      <c r="N83" s="9" t="str">
        <f t="shared" si="23"/>
        <v>Valid</v>
      </c>
      <c r="O83" t="str">
        <f t="shared" si="15"/>
        <v>Include</v>
      </c>
      <c r="P83" s="9">
        <f t="shared" si="16"/>
        <v>2035068.5799999984</v>
      </c>
      <c r="Q83" s="15">
        <f t="shared" si="17"/>
        <v>7469725</v>
      </c>
      <c r="R83" s="9">
        <f t="shared" si="18"/>
        <v>13715</v>
      </c>
      <c r="S83" s="9">
        <f t="shared" si="19"/>
        <v>7469725</v>
      </c>
      <c r="T83" s="15">
        <f t="shared" si="20"/>
        <v>16.686436250344954</v>
      </c>
      <c r="U83" s="15">
        <f>IF(O83="Exclude",0,G83*Fuel_Price!$B$2)</f>
        <v>4545.8076440000004</v>
      </c>
      <c r="V83" s="15">
        <f t="shared" si="21"/>
        <v>2989922.7577359979</v>
      </c>
    </row>
    <row r="84" spans="1:22">
      <c r="A84" s="1" t="s">
        <v>201</v>
      </c>
      <c r="B84" s="1" t="s">
        <v>202</v>
      </c>
      <c r="C84" s="1" t="s">
        <v>140</v>
      </c>
      <c r="D84" s="1" t="s">
        <v>12</v>
      </c>
      <c r="E84" s="12">
        <v>7887</v>
      </c>
      <c r="F84" s="12" t="s">
        <v>13</v>
      </c>
      <c r="G84" s="6">
        <v>1762.15</v>
      </c>
      <c r="H84" s="1">
        <v>20.350000000000001</v>
      </c>
      <c r="J84" t="str">
        <f t="shared" si="12"/>
        <v>OK</v>
      </c>
      <c r="K84" t="str">
        <f t="shared" si="13"/>
        <v>OK</v>
      </c>
      <c r="L84">
        <f t="shared" si="22"/>
        <v>12</v>
      </c>
      <c r="M84">
        <f t="shared" si="14"/>
        <v>10</v>
      </c>
      <c r="N84" s="9" t="str">
        <f t="shared" si="23"/>
        <v>Valid</v>
      </c>
      <c r="O84" t="str">
        <f t="shared" si="15"/>
        <v>Include</v>
      </c>
      <c r="P84" s="9">
        <f t="shared" si="16"/>
        <v>2035068.5799999984</v>
      </c>
      <c r="Q84" s="15">
        <f t="shared" si="17"/>
        <v>7469725</v>
      </c>
      <c r="R84" s="9">
        <f t="shared" si="18"/>
        <v>7887</v>
      </c>
      <c r="S84" s="9">
        <f t="shared" si="19"/>
        <v>7469725</v>
      </c>
      <c r="T84" s="15">
        <f t="shared" si="20"/>
        <v>16.686436250344954</v>
      </c>
      <c r="U84" s="15">
        <f>IF(O84="Exclude",0,G84*Fuel_Price!$B$2)</f>
        <v>2588.9507800000001</v>
      </c>
      <c r="V84" s="15">
        <f t="shared" si="21"/>
        <v>2989922.7577359979</v>
      </c>
    </row>
    <row r="85" spans="1:22">
      <c r="A85" s="1" t="s">
        <v>203</v>
      </c>
      <c r="B85" s="1" t="s">
        <v>204</v>
      </c>
      <c r="C85" s="1" t="s">
        <v>140</v>
      </c>
      <c r="D85" s="1" t="s">
        <v>12</v>
      </c>
      <c r="E85" s="12">
        <v>13157</v>
      </c>
      <c r="F85" s="12" t="s">
        <v>13</v>
      </c>
      <c r="G85" s="6">
        <v>3048.63</v>
      </c>
      <c r="H85" s="1">
        <v>19.62</v>
      </c>
      <c r="J85" t="str">
        <f t="shared" si="12"/>
        <v>OK</v>
      </c>
      <c r="K85" t="str">
        <f t="shared" si="13"/>
        <v>OK</v>
      </c>
      <c r="L85">
        <f t="shared" si="22"/>
        <v>12</v>
      </c>
      <c r="M85">
        <f t="shared" si="14"/>
        <v>10</v>
      </c>
      <c r="N85" s="9" t="str">
        <f t="shared" si="23"/>
        <v>Valid</v>
      </c>
      <c r="O85" t="str">
        <f t="shared" si="15"/>
        <v>Include</v>
      </c>
      <c r="P85" s="9">
        <f t="shared" si="16"/>
        <v>2035068.5799999984</v>
      </c>
      <c r="Q85" s="15">
        <f t="shared" si="17"/>
        <v>7469725</v>
      </c>
      <c r="R85" s="9">
        <f t="shared" si="18"/>
        <v>13157</v>
      </c>
      <c r="S85" s="9">
        <f t="shared" si="19"/>
        <v>7469725</v>
      </c>
      <c r="T85" s="15">
        <f t="shared" si="20"/>
        <v>16.686436250344954</v>
      </c>
      <c r="U85" s="15">
        <f>IF(O85="Exclude",0,G85*Fuel_Price!$B$2)</f>
        <v>4479.0471960000004</v>
      </c>
      <c r="V85" s="15">
        <f t="shared" si="21"/>
        <v>2989922.7577359979</v>
      </c>
    </row>
    <row r="86" spans="1:22">
      <c r="A86" s="1" t="s">
        <v>205</v>
      </c>
      <c r="B86" s="1" t="s">
        <v>206</v>
      </c>
      <c r="C86" s="1" t="s">
        <v>140</v>
      </c>
      <c r="D86" s="1" t="s">
        <v>12</v>
      </c>
      <c r="E86" s="12">
        <v>12778</v>
      </c>
      <c r="F86" s="12" t="s">
        <v>13</v>
      </c>
      <c r="G86" s="6">
        <v>2787.36</v>
      </c>
      <c r="H86" s="1">
        <v>20.84</v>
      </c>
      <c r="J86" t="str">
        <f t="shared" si="12"/>
        <v>OK</v>
      </c>
      <c r="K86" t="str">
        <f t="shared" si="13"/>
        <v>OK</v>
      </c>
      <c r="L86">
        <f t="shared" si="22"/>
        <v>12</v>
      </c>
      <c r="M86">
        <f t="shared" si="14"/>
        <v>10</v>
      </c>
      <c r="N86" s="9" t="str">
        <f t="shared" si="23"/>
        <v>Valid</v>
      </c>
      <c r="O86" t="str">
        <f t="shared" si="15"/>
        <v>Include</v>
      </c>
      <c r="P86" s="9">
        <f t="shared" si="16"/>
        <v>2035068.5799999984</v>
      </c>
      <c r="Q86" s="15">
        <f t="shared" si="17"/>
        <v>7469725</v>
      </c>
      <c r="R86" s="9">
        <f t="shared" si="18"/>
        <v>12778</v>
      </c>
      <c r="S86" s="9">
        <f t="shared" si="19"/>
        <v>7469725</v>
      </c>
      <c r="T86" s="15">
        <f t="shared" si="20"/>
        <v>16.686436250344954</v>
      </c>
      <c r="U86" s="15">
        <f>IF(O86="Exclude",0,G86*Fuel_Price!$B$2)</f>
        <v>4095.1893120000004</v>
      </c>
      <c r="V86" s="15">
        <f t="shared" si="21"/>
        <v>2989922.7577359979</v>
      </c>
    </row>
    <row r="87" spans="1:22">
      <c r="A87" s="1" t="s">
        <v>207</v>
      </c>
      <c r="B87" s="1" t="s">
        <v>208</v>
      </c>
      <c r="C87" s="1" t="s">
        <v>140</v>
      </c>
      <c r="D87" s="1" t="s">
        <v>12</v>
      </c>
      <c r="E87" s="12">
        <v>7147</v>
      </c>
      <c r="F87" s="12" t="s">
        <v>13</v>
      </c>
      <c r="G87" s="6">
        <v>1539.05</v>
      </c>
      <c r="H87" s="1">
        <v>21.11</v>
      </c>
      <c r="J87" t="str">
        <f t="shared" si="12"/>
        <v>OK</v>
      </c>
      <c r="K87" t="str">
        <f t="shared" si="13"/>
        <v>OK</v>
      </c>
      <c r="L87">
        <f t="shared" si="22"/>
        <v>12</v>
      </c>
      <c r="M87">
        <f t="shared" si="14"/>
        <v>10</v>
      </c>
      <c r="N87" s="9" t="str">
        <f t="shared" si="23"/>
        <v>Valid</v>
      </c>
      <c r="O87" t="str">
        <f t="shared" si="15"/>
        <v>Include</v>
      </c>
      <c r="P87" s="9">
        <f t="shared" si="16"/>
        <v>2035068.5799999984</v>
      </c>
      <c r="Q87" s="15">
        <f t="shared" si="17"/>
        <v>7469725</v>
      </c>
      <c r="R87" s="9">
        <f t="shared" si="18"/>
        <v>7147</v>
      </c>
      <c r="S87" s="9">
        <f t="shared" si="19"/>
        <v>7469725</v>
      </c>
      <c r="T87" s="15">
        <f t="shared" si="20"/>
        <v>16.686436250344954</v>
      </c>
      <c r="U87" s="15">
        <f>IF(O87="Exclude",0,G87*Fuel_Price!$B$2)</f>
        <v>2261.1722599999998</v>
      </c>
      <c r="V87" s="15">
        <f t="shared" si="21"/>
        <v>2989922.7577359979</v>
      </c>
    </row>
    <row r="88" spans="1:22">
      <c r="A88" s="1" t="s">
        <v>209</v>
      </c>
      <c r="B88" s="1" t="s">
        <v>210</v>
      </c>
      <c r="C88" s="1" t="s">
        <v>140</v>
      </c>
      <c r="D88" s="1" t="s">
        <v>12</v>
      </c>
      <c r="E88" s="12">
        <v>11111</v>
      </c>
      <c r="F88" s="12" t="s">
        <v>13</v>
      </c>
      <c r="G88" s="6">
        <v>2684.62</v>
      </c>
      <c r="H88" s="1">
        <v>18.82</v>
      </c>
      <c r="J88" t="str">
        <f t="shared" si="12"/>
        <v>OK</v>
      </c>
      <c r="K88" t="str">
        <f t="shared" si="13"/>
        <v>OK</v>
      </c>
      <c r="L88">
        <f t="shared" si="22"/>
        <v>12</v>
      </c>
      <c r="M88">
        <f t="shared" si="14"/>
        <v>10</v>
      </c>
      <c r="N88" s="9" t="str">
        <f t="shared" si="23"/>
        <v>Valid</v>
      </c>
      <c r="O88" t="str">
        <f t="shared" si="15"/>
        <v>Include</v>
      </c>
      <c r="P88" s="9">
        <f t="shared" si="16"/>
        <v>2035068.5799999984</v>
      </c>
      <c r="Q88" s="15">
        <f t="shared" si="17"/>
        <v>7469725</v>
      </c>
      <c r="R88" s="9">
        <f t="shared" si="18"/>
        <v>11111</v>
      </c>
      <c r="S88" s="9">
        <f t="shared" si="19"/>
        <v>7469725</v>
      </c>
      <c r="T88" s="15">
        <f t="shared" si="20"/>
        <v>16.686436250344954</v>
      </c>
      <c r="U88" s="15">
        <f>IF(O88="Exclude",0,G88*Fuel_Price!$B$2)</f>
        <v>3944.243704</v>
      </c>
      <c r="V88" s="15">
        <f t="shared" si="21"/>
        <v>2989922.7577359979</v>
      </c>
    </row>
    <row r="89" spans="1:22">
      <c r="A89" s="1" t="s">
        <v>211</v>
      </c>
      <c r="B89" s="1" t="s">
        <v>212</v>
      </c>
      <c r="C89" s="1" t="s">
        <v>140</v>
      </c>
      <c r="D89" s="1" t="s">
        <v>12</v>
      </c>
      <c r="E89" s="12">
        <v>8701</v>
      </c>
      <c r="F89" s="12" t="s">
        <v>13</v>
      </c>
      <c r="G89" s="6">
        <v>2095.6799999999998</v>
      </c>
      <c r="H89" s="1">
        <v>18.87</v>
      </c>
      <c r="J89" t="str">
        <f t="shared" si="12"/>
        <v>OK</v>
      </c>
      <c r="K89" t="str">
        <f t="shared" si="13"/>
        <v>OK</v>
      </c>
      <c r="L89">
        <f t="shared" si="22"/>
        <v>12</v>
      </c>
      <c r="M89">
        <f t="shared" si="14"/>
        <v>10</v>
      </c>
      <c r="N89" s="9" t="str">
        <f t="shared" si="23"/>
        <v>Valid</v>
      </c>
      <c r="O89" t="str">
        <f t="shared" si="15"/>
        <v>Include</v>
      </c>
      <c r="P89" s="9">
        <f t="shared" si="16"/>
        <v>2035068.5799999984</v>
      </c>
      <c r="Q89" s="15">
        <f t="shared" si="17"/>
        <v>7469725</v>
      </c>
      <c r="R89" s="9">
        <f t="shared" si="18"/>
        <v>8701</v>
      </c>
      <c r="S89" s="9">
        <f t="shared" si="19"/>
        <v>7469725</v>
      </c>
      <c r="T89" s="15">
        <f t="shared" si="20"/>
        <v>16.686436250344954</v>
      </c>
      <c r="U89" s="15">
        <f>IF(O89="Exclude",0,G89*Fuel_Price!$B$2)</f>
        <v>3078.9730559999998</v>
      </c>
      <c r="V89" s="15">
        <f t="shared" si="21"/>
        <v>2989922.7577359979</v>
      </c>
    </row>
    <row r="90" spans="1:22">
      <c r="A90" s="1" t="s">
        <v>213</v>
      </c>
      <c r="B90" s="1" t="s">
        <v>214</v>
      </c>
      <c r="C90" s="1" t="s">
        <v>140</v>
      </c>
      <c r="D90" s="1" t="s">
        <v>12</v>
      </c>
      <c r="E90" s="12">
        <v>18391</v>
      </c>
      <c r="F90" s="12" t="s">
        <v>13</v>
      </c>
      <c r="G90" s="6">
        <v>3710.88</v>
      </c>
      <c r="H90" s="1">
        <v>22.53</v>
      </c>
      <c r="J90" t="str">
        <f t="shared" si="12"/>
        <v>OK</v>
      </c>
      <c r="K90" t="str">
        <f t="shared" si="13"/>
        <v>OK</v>
      </c>
      <c r="L90">
        <f t="shared" si="22"/>
        <v>12</v>
      </c>
      <c r="M90">
        <f t="shared" si="14"/>
        <v>10</v>
      </c>
      <c r="N90" s="9" t="str">
        <f t="shared" si="23"/>
        <v>Valid</v>
      </c>
      <c r="O90" t="str">
        <f t="shared" si="15"/>
        <v>Include</v>
      </c>
      <c r="P90" s="9">
        <f t="shared" si="16"/>
        <v>2035068.5799999984</v>
      </c>
      <c r="Q90" s="15">
        <f t="shared" si="17"/>
        <v>7469725</v>
      </c>
      <c r="R90" s="9">
        <f t="shared" si="18"/>
        <v>18391</v>
      </c>
      <c r="S90" s="9">
        <f t="shared" si="19"/>
        <v>7469725</v>
      </c>
      <c r="T90" s="15">
        <f t="shared" si="20"/>
        <v>16.686436250344954</v>
      </c>
      <c r="U90" s="15">
        <f>IF(O90="Exclude",0,G90*Fuel_Price!$B$2)</f>
        <v>5452.0248960000008</v>
      </c>
      <c r="V90" s="15">
        <f t="shared" si="21"/>
        <v>2989922.7577359979</v>
      </c>
    </row>
    <row r="91" spans="1:22">
      <c r="A91" s="1" t="s">
        <v>215</v>
      </c>
      <c r="B91" s="1" t="s">
        <v>216</v>
      </c>
      <c r="C91" s="1" t="s">
        <v>140</v>
      </c>
      <c r="D91" s="1" t="s">
        <v>12</v>
      </c>
      <c r="E91" s="12">
        <v>9472</v>
      </c>
      <c r="F91" s="12" t="s">
        <v>13</v>
      </c>
      <c r="G91" s="6">
        <v>2387.67</v>
      </c>
      <c r="H91" s="1">
        <v>18.03</v>
      </c>
      <c r="J91" t="str">
        <f t="shared" si="12"/>
        <v>OK</v>
      </c>
      <c r="K91" t="str">
        <f t="shared" si="13"/>
        <v>OK</v>
      </c>
      <c r="L91">
        <f t="shared" si="22"/>
        <v>12</v>
      </c>
      <c r="M91">
        <f t="shared" si="14"/>
        <v>10</v>
      </c>
      <c r="N91" s="9" t="str">
        <f t="shared" si="23"/>
        <v>Valid</v>
      </c>
      <c r="O91" t="str">
        <f t="shared" si="15"/>
        <v>Include</v>
      </c>
      <c r="P91" s="9">
        <f t="shared" si="16"/>
        <v>2035068.5799999984</v>
      </c>
      <c r="Q91" s="15">
        <f t="shared" si="17"/>
        <v>7469725</v>
      </c>
      <c r="R91" s="9">
        <f t="shared" si="18"/>
        <v>9472</v>
      </c>
      <c r="S91" s="9">
        <f t="shared" si="19"/>
        <v>7469725</v>
      </c>
      <c r="T91" s="15">
        <f t="shared" si="20"/>
        <v>16.686436250344954</v>
      </c>
      <c r="U91" s="15">
        <f>IF(O91="Exclude",0,G91*Fuel_Price!$B$2)</f>
        <v>3507.9647640000003</v>
      </c>
      <c r="V91" s="15">
        <f t="shared" si="21"/>
        <v>2989922.7577359979</v>
      </c>
    </row>
    <row r="92" spans="1:22">
      <c r="A92" s="1" t="s">
        <v>217</v>
      </c>
      <c r="B92" s="1" t="s">
        <v>218</v>
      </c>
      <c r="C92" s="1" t="s">
        <v>140</v>
      </c>
      <c r="D92" s="1" t="s">
        <v>12</v>
      </c>
      <c r="E92" s="12">
        <v>8087</v>
      </c>
      <c r="F92" s="12" t="s">
        <v>13</v>
      </c>
      <c r="G92" s="6">
        <v>1743.97</v>
      </c>
      <c r="H92" s="1">
        <v>21.08</v>
      </c>
      <c r="J92" t="str">
        <f t="shared" si="12"/>
        <v>OK</v>
      </c>
      <c r="K92" t="str">
        <f t="shared" si="13"/>
        <v>OK</v>
      </c>
      <c r="L92">
        <f t="shared" si="22"/>
        <v>12</v>
      </c>
      <c r="M92">
        <f t="shared" si="14"/>
        <v>10</v>
      </c>
      <c r="N92" s="9" t="str">
        <f t="shared" si="23"/>
        <v>Valid</v>
      </c>
      <c r="O92" t="str">
        <f t="shared" si="15"/>
        <v>Include</v>
      </c>
      <c r="P92" s="9">
        <f t="shared" si="16"/>
        <v>2035068.5799999984</v>
      </c>
      <c r="Q92" s="15">
        <f t="shared" si="17"/>
        <v>7469725</v>
      </c>
      <c r="R92" s="9">
        <f t="shared" si="18"/>
        <v>8087</v>
      </c>
      <c r="S92" s="9">
        <f t="shared" si="19"/>
        <v>7469725</v>
      </c>
      <c r="T92" s="15">
        <f t="shared" si="20"/>
        <v>16.686436250344954</v>
      </c>
      <c r="U92" s="15">
        <f>IF(O92="Exclude",0,G92*Fuel_Price!$B$2)</f>
        <v>2562.2407240000002</v>
      </c>
      <c r="V92" s="15">
        <f t="shared" si="21"/>
        <v>2989922.7577359979</v>
      </c>
    </row>
    <row r="93" spans="1:22">
      <c r="A93" s="1" t="s">
        <v>219</v>
      </c>
      <c r="B93" s="1" t="s">
        <v>220</v>
      </c>
      <c r="C93" s="1" t="s">
        <v>221</v>
      </c>
      <c r="D93" s="1" t="s">
        <v>12</v>
      </c>
      <c r="E93" s="12">
        <v>9123</v>
      </c>
      <c r="F93" s="12" t="s">
        <v>13</v>
      </c>
      <c r="G93" s="6">
        <v>2208.94</v>
      </c>
      <c r="H93" s="1">
        <v>18.78</v>
      </c>
      <c r="J93" t="str">
        <f t="shared" si="12"/>
        <v>OK</v>
      </c>
      <c r="K93" t="str">
        <f t="shared" si="13"/>
        <v>OK</v>
      </c>
      <c r="L93">
        <f t="shared" si="22"/>
        <v>12</v>
      </c>
      <c r="M93">
        <f t="shared" si="14"/>
        <v>10</v>
      </c>
      <c r="N93" s="9" t="str">
        <f t="shared" si="23"/>
        <v>Valid</v>
      </c>
      <c r="O93" t="str">
        <f t="shared" si="15"/>
        <v>Include</v>
      </c>
      <c r="P93" s="9">
        <f t="shared" si="16"/>
        <v>2035068.5799999984</v>
      </c>
      <c r="Q93" s="15">
        <f t="shared" si="17"/>
        <v>7469725</v>
      </c>
      <c r="R93" s="9">
        <f t="shared" si="18"/>
        <v>9123</v>
      </c>
      <c r="S93" s="9">
        <f t="shared" si="19"/>
        <v>7469725</v>
      </c>
      <c r="T93" s="15">
        <f t="shared" si="20"/>
        <v>16.686436250344954</v>
      </c>
      <c r="U93" s="15">
        <f>IF(O93="Exclude",0,G93*Fuel_Price!$B$2)</f>
        <v>3245.3746480000004</v>
      </c>
      <c r="V93" s="15">
        <f t="shared" si="21"/>
        <v>2989922.7577359979</v>
      </c>
    </row>
    <row r="94" spans="1:22">
      <c r="A94" s="1" t="s">
        <v>222</v>
      </c>
      <c r="B94" s="1" t="s">
        <v>223</v>
      </c>
      <c r="C94" s="1" t="s">
        <v>221</v>
      </c>
      <c r="D94" s="1" t="s">
        <v>12</v>
      </c>
      <c r="E94" s="12">
        <v>11437</v>
      </c>
      <c r="F94" s="12" t="s">
        <v>13</v>
      </c>
      <c r="G94" s="6">
        <v>2889.82</v>
      </c>
      <c r="H94" s="1">
        <v>17.989999999999998</v>
      </c>
      <c r="J94" t="str">
        <f t="shared" si="12"/>
        <v>OK</v>
      </c>
      <c r="K94" t="str">
        <f t="shared" si="13"/>
        <v>OK</v>
      </c>
      <c r="L94">
        <f t="shared" si="22"/>
        <v>12</v>
      </c>
      <c r="M94">
        <f t="shared" si="14"/>
        <v>10</v>
      </c>
      <c r="N94" s="9" t="str">
        <f t="shared" si="23"/>
        <v>Valid</v>
      </c>
      <c r="O94" t="str">
        <f t="shared" si="15"/>
        <v>Include</v>
      </c>
      <c r="P94" s="9">
        <f t="shared" si="16"/>
        <v>2035068.5799999984</v>
      </c>
      <c r="Q94" s="15">
        <f t="shared" si="17"/>
        <v>7469725</v>
      </c>
      <c r="R94" s="9">
        <f t="shared" si="18"/>
        <v>11437</v>
      </c>
      <c r="S94" s="9">
        <f t="shared" si="19"/>
        <v>7469725</v>
      </c>
      <c r="T94" s="15">
        <f t="shared" si="20"/>
        <v>16.686436250344954</v>
      </c>
      <c r="U94" s="15">
        <f>IF(O94="Exclude",0,G94*Fuel_Price!$B$2)</f>
        <v>4245.7235440000004</v>
      </c>
      <c r="V94" s="15">
        <f t="shared" si="21"/>
        <v>2989922.7577359979</v>
      </c>
    </row>
    <row r="95" spans="1:22">
      <c r="A95" s="1" t="s">
        <v>224</v>
      </c>
      <c r="B95" s="1" t="s">
        <v>225</v>
      </c>
      <c r="C95" s="1" t="s">
        <v>221</v>
      </c>
      <c r="D95" s="1" t="s">
        <v>12</v>
      </c>
      <c r="E95" s="12">
        <v>11094</v>
      </c>
      <c r="F95" s="12" t="s">
        <v>13</v>
      </c>
      <c r="G95" s="6">
        <v>2296.4299999999998</v>
      </c>
      <c r="H95" s="1">
        <v>21.96</v>
      </c>
      <c r="J95" t="str">
        <f t="shared" si="12"/>
        <v>OK</v>
      </c>
      <c r="K95" t="str">
        <f t="shared" si="13"/>
        <v>OK</v>
      </c>
      <c r="L95">
        <f t="shared" si="22"/>
        <v>12</v>
      </c>
      <c r="M95">
        <f t="shared" si="14"/>
        <v>10</v>
      </c>
      <c r="N95" s="9" t="str">
        <f t="shared" si="23"/>
        <v>Valid</v>
      </c>
      <c r="O95" t="str">
        <f t="shared" si="15"/>
        <v>Include</v>
      </c>
      <c r="P95" s="9">
        <f t="shared" si="16"/>
        <v>2035068.5799999984</v>
      </c>
      <c r="Q95" s="15">
        <f t="shared" si="17"/>
        <v>7469725</v>
      </c>
      <c r="R95" s="9">
        <f t="shared" si="18"/>
        <v>11094</v>
      </c>
      <c r="S95" s="9">
        <f t="shared" si="19"/>
        <v>7469725</v>
      </c>
      <c r="T95" s="15">
        <f t="shared" si="20"/>
        <v>16.686436250344954</v>
      </c>
      <c r="U95" s="15">
        <f>IF(O95="Exclude",0,G95*Fuel_Price!$B$2)</f>
        <v>3373.9149560000001</v>
      </c>
      <c r="V95" s="15">
        <f t="shared" si="21"/>
        <v>2989922.7577359979</v>
      </c>
    </row>
    <row r="96" spans="1:22">
      <c r="A96" s="1" t="s">
        <v>226</v>
      </c>
      <c r="B96" s="1" t="s">
        <v>227</v>
      </c>
      <c r="C96" s="1" t="s">
        <v>228</v>
      </c>
      <c r="D96" s="1" t="s">
        <v>12</v>
      </c>
      <c r="E96" s="12">
        <v>23376</v>
      </c>
      <c r="F96" s="12" t="s">
        <v>13</v>
      </c>
      <c r="G96" s="6">
        <v>4883.01</v>
      </c>
      <c r="H96" s="1">
        <v>21.76</v>
      </c>
      <c r="J96" t="str">
        <f t="shared" si="12"/>
        <v>OK</v>
      </c>
      <c r="K96" t="str">
        <f t="shared" si="13"/>
        <v>OK</v>
      </c>
      <c r="L96">
        <f t="shared" si="22"/>
        <v>12</v>
      </c>
      <c r="M96">
        <f t="shared" si="14"/>
        <v>10</v>
      </c>
      <c r="N96" s="9" t="str">
        <f t="shared" si="23"/>
        <v>Valid</v>
      </c>
      <c r="O96" t="str">
        <f t="shared" si="15"/>
        <v>Include</v>
      </c>
      <c r="P96" s="9">
        <f t="shared" si="16"/>
        <v>2035068.5799999984</v>
      </c>
      <c r="Q96" s="15">
        <f t="shared" si="17"/>
        <v>7469725</v>
      </c>
      <c r="R96" s="9">
        <f t="shared" si="18"/>
        <v>23376</v>
      </c>
      <c r="S96" s="9">
        <f t="shared" si="19"/>
        <v>7469725</v>
      </c>
      <c r="T96" s="15">
        <f t="shared" si="20"/>
        <v>16.686436250344954</v>
      </c>
      <c r="U96" s="15">
        <f>IF(O96="Exclude",0,G96*Fuel_Price!$B$2)</f>
        <v>7174.118292000001</v>
      </c>
      <c r="V96" s="15">
        <f t="shared" si="21"/>
        <v>2989922.7577359979</v>
      </c>
    </row>
    <row r="97" spans="1:22">
      <c r="A97" s="1" t="s">
        <v>229</v>
      </c>
      <c r="B97" s="1" t="s">
        <v>230</v>
      </c>
      <c r="C97" s="1" t="s">
        <v>228</v>
      </c>
      <c r="D97" s="1" t="s">
        <v>12</v>
      </c>
      <c r="E97" s="12">
        <v>9089</v>
      </c>
      <c r="F97" s="12" t="s">
        <v>13</v>
      </c>
      <c r="G97" s="6">
        <v>2282.59</v>
      </c>
      <c r="H97" s="1">
        <v>18.100000000000001</v>
      </c>
      <c r="J97" t="str">
        <f t="shared" si="12"/>
        <v>OK</v>
      </c>
      <c r="K97" t="str">
        <f t="shared" si="13"/>
        <v>OK</v>
      </c>
      <c r="L97">
        <f t="shared" si="22"/>
        <v>12</v>
      </c>
      <c r="M97">
        <f t="shared" si="14"/>
        <v>10</v>
      </c>
      <c r="N97" s="9" t="str">
        <f t="shared" si="23"/>
        <v>Valid</v>
      </c>
      <c r="O97" t="str">
        <f t="shared" si="15"/>
        <v>Include</v>
      </c>
      <c r="P97" s="9">
        <f t="shared" si="16"/>
        <v>2035068.5799999984</v>
      </c>
      <c r="Q97" s="15">
        <f t="shared" si="17"/>
        <v>7469725</v>
      </c>
      <c r="R97" s="9">
        <f t="shared" si="18"/>
        <v>9089</v>
      </c>
      <c r="S97" s="9">
        <f t="shared" si="19"/>
        <v>7469725</v>
      </c>
      <c r="T97" s="15">
        <f t="shared" si="20"/>
        <v>16.686436250344954</v>
      </c>
      <c r="U97" s="15">
        <f>IF(O97="Exclude",0,G97*Fuel_Price!$B$2)</f>
        <v>3353.5812280000005</v>
      </c>
      <c r="V97" s="15">
        <f t="shared" si="21"/>
        <v>2989922.7577359979</v>
      </c>
    </row>
    <row r="98" spans="1:22">
      <c r="A98" s="1" t="s">
        <v>231</v>
      </c>
      <c r="B98" s="1" t="s">
        <v>232</v>
      </c>
      <c r="C98" s="1" t="s">
        <v>228</v>
      </c>
      <c r="D98" s="1" t="s">
        <v>12</v>
      </c>
      <c r="E98" s="12">
        <v>7442</v>
      </c>
      <c r="F98" s="12" t="s">
        <v>13</v>
      </c>
      <c r="G98" s="6">
        <v>1587.89</v>
      </c>
      <c r="H98" s="1">
        <v>21.31</v>
      </c>
      <c r="J98" t="str">
        <f t="shared" si="12"/>
        <v>OK</v>
      </c>
      <c r="K98" t="str">
        <f t="shared" si="13"/>
        <v>OK</v>
      </c>
      <c r="L98">
        <f t="shared" si="22"/>
        <v>12</v>
      </c>
      <c r="M98">
        <f t="shared" si="14"/>
        <v>10</v>
      </c>
      <c r="N98" s="9" t="str">
        <f t="shared" si="23"/>
        <v>Valid</v>
      </c>
      <c r="O98" t="str">
        <f t="shared" si="15"/>
        <v>Include</v>
      </c>
      <c r="P98" s="9">
        <f t="shared" si="16"/>
        <v>2035068.5799999984</v>
      </c>
      <c r="Q98" s="15">
        <f t="shared" si="17"/>
        <v>7469725</v>
      </c>
      <c r="R98" s="9">
        <f t="shared" si="18"/>
        <v>7442</v>
      </c>
      <c r="S98" s="9">
        <f t="shared" si="19"/>
        <v>7469725</v>
      </c>
      <c r="T98" s="15">
        <f t="shared" si="20"/>
        <v>16.686436250344954</v>
      </c>
      <c r="U98" s="15">
        <f>IF(O98="Exclude",0,G98*Fuel_Price!$B$2)</f>
        <v>2332.9279880000004</v>
      </c>
      <c r="V98" s="15">
        <f t="shared" si="21"/>
        <v>2989922.7577359979</v>
      </c>
    </row>
    <row r="99" spans="1:22">
      <c r="A99" s="1" t="s">
        <v>233</v>
      </c>
      <c r="B99" s="1" t="s">
        <v>234</v>
      </c>
      <c r="C99" s="1" t="s">
        <v>235</v>
      </c>
      <c r="D99" s="1" t="s">
        <v>12</v>
      </c>
      <c r="E99" s="12">
        <v>8828</v>
      </c>
      <c r="F99" s="12" t="s">
        <v>13</v>
      </c>
      <c r="G99" s="6">
        <v>2197.5100000000002</v>
      </c>
      <c r="H99" s="1">
        <v>18.260000000000002</v>
      </c>
      <c r="J99" t="str">
        <f t="shared" si="12"/>
        <v>OK</v>
      </c>
      <c r="K99" t="str">
        <f t="shared" si="13"/>
        <v>OK</v>
      </c>
      <c r="L99">
        <f t="shared" si="22"/>
        <v>12</v>
      </c>
      <c r="M99">
        <f t="shared" si="14"/>
        <v>10</v>
      </c>
      <c r="N99" s="9" t="str">
        <f t="shared" si="23"/>
        <v>Valid</v>
      </c>
      <c r="O99" t="str">
        <f t="shared" si="15"/>
        <v>Include</v>
      </c>
      <c r="P99" s="9">
        <f t="shared" si="16"/>
        <v>2035068.5799999984</v>
      </c>
      <c r="Q99" s="15">
        <f t="shared" si="17"/>
        <v>7469725</v>
      </c>
      <c r="R99" s="9">
        <f t="shared" si="18"/>
        <v>8828</v>
      </c>
      <c r="S99" s="9">
        <f t="shared" si="19"/>
        <v>7469725</v>
      </c>
      <c r="T99" s="15">
        <f t="shared" si="20"/>
        <v>16.686436250344954</v>
      </c>
      <c r="U99" s="15">
        <f>IF(O99="Exclude",0,G99*Fuel_Price!$B$2)</f>
        <v>3228.5816920000007</v>
      </c>
      <c r="V99" s="15">
        <f t="shared" si="21"/>
        <v>2989922.7577359979</v>
      </c>
    </row>
    <row r="100" spans="1:22">
      <c r="A100" s="1" t="s">
        <v>236</v>
      </c>
      <c r="B100" s="1" t="s">
        <v>237</v>
      </c>
      <c r="C100" s="1" t="s">
        <v>235</v>
      </c>
      <c r="D100" s="1" t="s">
        <v>12</v>
      </c>
      <c r="E100" s="12">
        <v>9148</v>
      </c>
      <c r="F100" s="12" t="s">
        <v>13</v>
      </c>
      <c r="G100" s="6">
        <v>2474.12</v>
      </c>
      <c r="H100" s="1">
        <v>16.809999999999999</v>
      </c>
      <c r="J100" t="str">
        <f t="shared" si="12"/>
        <v>OK</v>
      </c>
      <c r="K100" t="str">
        <f t="shared" si="13"/>
        <v>OK</v>
      </c>
      <c r="L100">
        <f t="shared" si="22"/>
        <v>12</v>
      </c>
      <c r="M100">
        <f t="shared" si="14"/>
        <v>10</v>
      </c>
      <c r="N100" s="9" t="str">
        <f t="shared" si="23"/>
        <v>Valid</v>
      </c>
      <c r="O100" t="str">
        <f t="shared" si="15"/>
        <v>Include</v>
      </c>
      <c r="P100" s="9">
        <f t="shared" si="16"/>
        <v>2035068.5799999984</v>
      </c>
      <c r="Q100" s="15">
        <f t="shared" si="17"/>
        <v>7469725</v>
      </c>
      <c r="R100" s="9">
        <f t="shared" si="18"/>
        <v>9148</v>
      </c>
      <c r="S100" s="9">
        <f t="shared" si="19"/>
        <v>7469725</v>
      </c>
      <c r="T100" s="15">
        <f t="shared" si="20"/>
        <v>16.686436250344954</v>
      </c>
      <c r="U100" s="15">
        <f>IF(O100="Exclude",0,G100*Fuel_Price!$B$2)</f>
        <v>3634.9771040000001</v>
      </c>
      <c r="V100" s="15">
        <f t="shared" si="21"/>
        <v>2989922.7577359979</v>
      </c>
    </row>
    <row r="101" spans="1:22">
      <c r="A101" s="1" t="s">
        <v>238</v>
      </c>
      <c r="B101" s="1" t="s">
        <v>239</v>
      </c>
      <c r="C101" s="1" t="s">
        <v>235</v>
      </c>
      <c r="D101" s="1" t="s">
        <v>12</v>
      </c>
      <c r="E101" s="12">
        <v>11359</v>
      </c>
      <c r="F101" s="12" t="s">
        <v>13</v>
      </c>
      <c r="G101" s="6">
        <v>2282.08</v>
      </c>
      <c r="H101" s="1">
        <v>22.63</v>
      </c>
      <c r="J101" t="str">
        <f t="shared" si="12"/>
        <v>OK</v>
      </c>
      <c r="K101" t="str">
        <f t="shared" si="13"/>
        <v>OK</v>
      </c>
      <c r="L101">
        <f t="shared" si="22"/>
        <v>12</v>
      </c>
      <c r="M101">
        <f t="shared" si="14"/>
        <v>10</v>
      </c>
      <c r="N101" s="9" t="str">
        <f t="shared" si="23"/>
        <v>Valid</v>
      </c>
      <c r="O101" t="str">
        <f t="shared" si="15"/>
        <v>Include</v>
      </c>
      <c r="P101" s="9">
        <f t="shared" si="16"/>
        <v>2035068.5799999984</v>
      </c>
      <c r="Q101" s="15">
        <f t="shared" si="17"/>
        <v>7469725</v>
      </c>
      <c r="R101" s="9">
        <f t="shared" si="18"/>
        <v>11359</v>
      </c>
      <c r="S101" s="9">
        <f t="shared" si="19"/>
        <v>7469725</v>
      </c>
      <c r="T101" s="15">
        <f t="shared" si="20"/>
        <v>16.686436250344954</v>
      </c>
      <c r="U101" s="15">
        <f>IF(O101="Exclude",0,G101*Fuel_Price!$B$2)</f>
        <v>3352.831936</v>
      </c>
      <c r="V101" s="15">
        <f t="shared" si="21"/>
        <v>2989922.7577359979</v>
      </c>
    </row>
    <row r="102" spans="1:22">
      <c r="A102" s="1" t="s">
        <v>240</v>
      </c>
      <c r="B102" s="1" t="s">
        <v>241</v>
      </c>
      <c r="C102" s="1" t="s">
        <v>221</v>
      </c>
      <c r="D102" s="1" t="s">
        <v>12</v>
      </c>
      <c r="E102" s="12">
        <v>11585</v>
      </c>
      <c r="F102" s="12" t="s">
        <v>13</v>
      </c>
      <c r="G102" s="6">
        <v>2957.87</v>
      </c>
      <c r="H102" s="1">
        <v>17.809999999999999</v>
      </c>
      <c r="J102" t="str">
        <f t="shared" si="12"/>
        <v>OK</v>
      </c>
      <c r="K102" t="str">
        <f t="shared" si="13"/>
        <v>OK</v>
      </c>
      <c r="L102">
        <f t="shared" si="22"/>
        <v>12</v>
      </c>
      <c r="M102">
        <f t="shared" si="14"/>
        <v>10</v>
      </c>
      <c r="N102" s="9" t="str">
        <f t="shared" si="23"/>
        <v>Valid</v>
      </c>
      <c r="O102" t="str">
        <f t="shared" si="15"/>
        <v>Include</v>
      </c>
      <c r="P102" s="9">
        <f t="shared" si="16"/>
        <v>2035068.5799999984</v>
      </c>
      <c r="Q102" s="15">
        <f t="shared" si="17"/>
        <v>7469725</v>
      </c>
      <c r="R102" s="9">
        <f t="shared" si="18"/>
        <v>11585</v>
      </c>
      <c r="S102" s="9">
        <f t="shared" si="19"/>
        <v>7469725</v>
      </c>
      <c r="T102" s="15">
        <f t="shared" si="20"/>
        <v>16.686436250344954</v>
      </c>
      <c r="U102" s="15">
        <f>IF(O102="Exclude",0,G102*Fuel_Price!$B$2)</f>
        <v>4345.7026040000001</v>
      </c>
      <c r="V102" s="15">
        <f t="shared" si="21"/>
        <v>2989922.7577359979</v>
      </c>
    </row>
    <row r="103" spans="1:22">
      <c r="A103" s="1" t="s">
        <v>242</v>
      </c>
      <c r="B103" s="1" t="s">
        <v>243</v>
      </c>
      <c r="C103" s="1" t="s">
        <v>244</v>
      </c>
      <c r="D103" s="1" t="s">
        <v>12</v>
      </c>
      <c r="E103" s="12">
        <v>13041</v>
      </c>
      <c r="F103" s="12" t="s">
        <v>13</v>
      </c>
      <c r="G103" s="6">
        <v>3156.39</v>
      </c>
      <c r="H103" s="1">
        <v>18.78</v>
      </c>
      <c r="J103" t="str">
        <f t="shared" si="12"/>
        <v>OK</v>
      </c>
      <c r="K103" t="str">
        <f t="shared" si="13"/>
        <v>OK</v>
      </c>
      <c r="L103">
        <f t="shared" si="22"/>
        <v>12</v>
      </c>
      <c r="M103">
        <f t="shared" si="14"/>
        <v>10</v>
      </c>
      <c r="N103" s="9" t="str">
        <f t="shared" si="23"/>
        <v>Valid</v>
      </c>
      <c r="O103" t="str">
        <f t="shared" si="15"/>
        <v>Include</v>
      </c>
      <c r="P103" s="9">
        <f t="shared" si="16"/>
        <v>2035068.5799999984</v>
      </c>
      <c r="Q103" s="15">
        <f t="shared" si="17"/>
        <v>7469725</v>
      </c>
      <c r="R103" s="9">
        <f t="shared" si="18"/>
        <v>13041</v>
      </c>
      <c r="S103" s="9">
        <f t="shared" si="19"/>
        <v>7469725</v>
      </c>
      <c r="T103" s="15">
        <f t="shared" si="20"/>
        <v>16.686436250344954</v>
      </c>
      <c r="U103" s="15">
        <f>IF(O103="Exclude",0,G103*Fuel_Price!$B$2)</f>
        <v>4637.3681880000004</v>
      </c>
      <c r="V103" s="15">
        <f t="shared" si="21"/>
        <v>2989922.7577359979</v>
      </c>
    </row>
    <row r="104" spans="1:22">
      <c r="A104" s="1" t="s">
        <v>245</v>
      </c>
      <c r="B104" s="1" t="s">
        <v>246</v>
      </c>
      <c r="C104" s="1" t="s">
        <v>244</v>
      </c>
      <c r="D104" s="1" t="s">
        <v>12</v>
      </c>
      <c r="E104" s="12">
        <v>18113</v>
      </c>
      <c r="F104" s="12" t="s">
        <v>13</v>
      </c>
      <c r="G104" s="6">
        <v>3636.95</v>
      </c>
      <c r="H104" s="1">
        <v>22.64</v>
      </c>
      <c r="J104" t="str">
        <f t="shared" si="12"/>
        <v>OK</v>
      </c>
      <c r="K104" t="str">
        <f t="shared" si="13"/>
        <v>OK</v>
      </c>
      <c r="L104">
        <f t="shared" si="22"/>
        <v>12</v>
      </c>
      <c r="M104">
        <f t="shared" si="14"/>
        <v>10</v>
      </c>
      <c r="N104" s="9" t="str">
        <f t="shared" si="23"/>
        <v>Valid</v>
      </c>
      <c r="O104" t="str">
        <f t="shared" si="15"/>
        <v>Include</v>
      </c>
      <c r="P104" s="9">
        <f t="shared" si="16"/>
        <v>2035068.5799999984</v>
      </c>
      <c r="Q104" s="15">
        <f t="shared" si="17"/>
        <v>7469725</v>
      </c>
      <c r="R104" s="9">
        <f t="shared" si="18"/>
        <v>18113</v>
      </c>
      <c r="S104" s="9">
        <f t="shared" si="19"/>
        <v>7469725</v>
      </c>
      <c r="T104" s="15">
        <f t="shared" si="20"/>
        <v>16.686436250344954</v>
      </c>
      <c r="U104" s="15">
        <f>IF(O104="Exclude",0,G104*Fuel_Price!$B$2)</f>
        <v>5343.4069399999998</v>
      </c>
      <c r="V104" s="15">
        <f t="shared" si="21"/>
        <v>2989922.7577359979</v>
      </c>
    </row>
    <row r="105" spans="1:22">
      <c r="A105" s="1" t="s">
        <v>247</v>
      </c>
      <c r="B105" s="1" t="s">
        <v>248</v>
      </c>
      <c r="C105" s="1" t="s">
        <v>249</v>
      </c>
      <c r="D105" s="1" t="s">
        <v>12</v>
      </c>
      <c r="E105" s="12">
        <v>13010</v>
      </c>
      <c r="F105" s="12" t="s">
        <v>13</v>
      </c>
      <c r="G105" s="6">
        <v>2901.6</v>
      </c>
      <c r="H105" s="1">
        <v>20.38</v>
      </c>
      <c r="J105" t="str">
        <f t="shared" si="12"/>
        <v>OK</v>
      </c>
      <c r="K105" t="str">
        <f t="shared" si="13"/>
        <v>OK</v>
      </c>
      <c r="L105">
        <f t="shared" si="22"/>
        <v>12</v>
      </c>
      <c r="M105">
        <f t="shared" si="14"/>
        <v>10</v>
      </c>
      <c r="N105" s="9" t="str">
        <f t="shared" si="23"/>
        <v>Valid</v>
      </c>
      <c r="O105" t="str">
        <f t="shared" si="15"/>
        <v>Include</v>
      </c>
      <c r="P105" s="9">
        <f t="shared" si="16"/>
        <v>2035068.5799999984</v>
      </c>
      <c r="Q105" s="15">
        <f t="shared" si="17"/>
        <v>7469725</v>
      </c>
      <c r="R105" s="9">
        <f t="shared" si="18"/>
        <v>13010</v>
      </c>
      <c r="S105" s="9">
        <f t="shared" si="19"/>
        <v>7469725</v>
      </c>
      <c r="T105" s="15">
        <f t="shared" si="20"/>
        <v>16.686436250344954</v>
      </c>
      <c r="U105" s="15">
        <f>IF(O105="Exclude",0,G105*Fuel_Price!$B$2)</f>
        <v>4263.0307199999997</v>
      </c>
      <c r="V105" s="15">
        <f t="shared" si="21"/>
        <v>2989922.7577359979</v>
      </c>
    </row>
    <row r="106" spans="1:22">
      <c r="A106" s="1" t="s">
        <v>250</v>
      </c>
      <c r="B106" s="1" t="s">
        <v>251</v>
      </c>
      <c r="C106" s="1" t="s">
        <v>221</v>
      </c>
      <c r="D106" s="1" t="s">
        <v>12</v>
      </c>
      <c r="E106" s="12">
        <v>11798</v>
      </c>
      <c r="F106" s="12" t="s">
        <v>13</v>
      </c>
      <c r="G106" s="6">
        <v>2806.83</v>
      </c>
      <c r="H106" s="1">
        <v>19.11</v>
      </c>
      <c r="J106" t="str">
        <f t="shared" si="12"/>
        <v>OK</v>
      </c>
      <c r="K106" t="str">
        <f t="shared" si="13"/>
        <v>OK</v>
      </c>
      <c r="L106">
        <f t="shared" si="22"/>
        <v>12</v>
      </c>
      <c r="M106">
        <f t="shared" si="14"/>
        <v>10</v>
      </c>
      <c r="N106" s="9" t="str">
        <f t="shared" si="23"/>
        <v>Valid</v>
      </c>
      <c r="O106" t="str">
        <f t="shared" si="15"/>
        <v>Include</v>
      </c>
      <c r="P106" s="9">
        <f t="shared" si="16"/>
        <v>2035068.5799999984</v>
      </c>
      <c r="Q106" s="15">
        <f t="shared" si="17"/>
        <v>7469725</v>
      </c>
      <c r="R106" s="9">
        <f t="shared" si="18"/>
        <v>11798</v>
      </c>
      <c r="S106" s="9">
        <f t="shared" si="19"/>
        <v>7469725</v>
      </c>
      <c r="T106" s="15">
        <f t="shared" si="20"/>
        <v>16.686436250344954</v>
      </c>
      <c r="U106" s="15">
        <f>IF(O106="Exclude",0,G106*Fuel_Price!$B$2)</f>
        <v>4123.7946359999996</v>
      </c>
      <c r="V106" s="15">
        <f t="shared" si="21"/>
        <v>2989922.7577359979</v>
      </c>
    </row>
    <row r="107" spans="1:22">
      <c r="A107" s="1" t="s">
        <v>252</v>
      </c>
      <c r="B107" s="1" t="s">
        <v>253</v>
      </c>
      <c r="C107" s="1" t="s">
        <v>249</v>
      </c>
      <c r="D107" s="1" t="s">
        <v>12</v>
      </c>
      <c r="E107" s="12">
        <v>14472</v>
      </c>
      <c r="F107" s="12" t="s">
        <v>13</v>
      </c>
      <c r="G107" s="6">
        <v>3387.34</v>
      </c>
      <c r="H107" s="1">
        <v>19.420000000000002</v>
      </c>
      <c r="J107" t="str">
        <f t="shared" si="12"/>
        <v>OK</v>
      </c>
      <c r="K107" t="str">
        <f t="shared" si="13"/>
        <v>OK</v>
      </c>
      <c r="L107">
        <f t="shared" si="22"/>
        <v>12</v>
      </c>
      <c r="M107">
        <f t="shared" si="14"/>
        <v>10</v>
      </c>
      <c r="N107" s="9" t="str">
        <f t="shared" si="23"/>
        <v>Valid</v>
      </c>
      <c r="O107" t="str">
        <f t="shared" si="15"/>
        <v>Include</v>
      </c>
      <c r="P107" s="9">
        <f t="shared" si="16"/>
        <v>2035068.5799999984</v>
      </c>
      <c r="Q107" s="15">
        <f t="shared" si="17"/>
        <v>7469725</v>
      </c>
      <c r="R107" s="9">
        <f t="shared" si="18"/>
        <v>14472</v>
      </c>
      <c r="S107" s="9">
        <f t="shared" si="19"/>
        <v>7469725</v>
      </c>
      <c r="T107" s="15">
        <f t="shared" si="20"/>
        <v>16.686436250344954</v>
      </c>
      <c r="U107" s="15">
        <f>IF(O107="Exclude",0,G107*Fuel_Price!$B$2)</f>
        <v>4976.6799280000005</v>
      </c>
      <c r="V107" s="15">
        <f t="shared" si="21"/>
        <v>2989922.7577359979</v>
      </c>
    </row>
    <row r="108" spans="1:22">
      <c r="A108" s="1" t="s">
        <v>254</v>
      </c>
      <c r="B108" s="1" t="s">
        <v>255</v>
      </c>
      <c r="C108" s="1" t="s">
        <v>221</v>
      </c>
      <c r="D108" s="1" t="s">
        <v>12</v>
      </c>
      <c r="E108" s="12">
        <v>8001</v>
      </c>
      <c r="F108" s="12" t="s">
        <v>13</v>
      </c>
      <c r="G108" s="6">
        <v>1894.59</v>
      </c>
      <c r="H108" s="1">
        <v>19.2</v>
      </c>
      <c r="J108" t="str">
        <f t="shared" si="12"/>
        <v>OK</v>
      </c>
      <c r="K108" t="str">
        <f t="shared" si="13"/>
        <v>OK</v>
      </c>
      <c r="L108">
        <f t="shared" si="22"/>
        <v>12</v>
      </c>
      <c r="M108">
        <f t="shared" si="14"/>
        <v>10</v>
      </c>
      <c r="N108" s="9" t="str">
        <f t="shared" si="23"/>
        <v>Valid</v>
      </c>
      <c r="O108" t="str">
        <f t="shared" si="15"/>
        <v>Include</v>
      </c>
      <c r="P108" s="9">
        <f t="shared" si="16"/>
        <v>2035068.5799999984</v>
      </c>
      <c r="Q108" s="15">
        <f t="shared" si="17"/>
        <v>7469725</v>
      </c>
      <c r="R108" s="9">
        <f t="shared" si="18"/>
        <v>8001</v>
      </c>
      <c r="S108" s="9">
        <f t="shared" si="19"/>
        <v>7469725</v>
      </c>
      <c r="T108" s="15">
        <f t="shared" si="20"/>
        <v>16.686436250344954</v>
      </c>
      <c r="U108" s="15">
        <f>IF(O108="Exclude",0,G108*Fuel_Price!$B$2)</f>
        <v>2783.5316280000002</v>
      </c>
      <c r="V108" s="15">
        <f t="shared" si="21"/>
        <v>2989922.7577359979</v>
      </c>
    </row>
    <row r="109" spans="1:22">
      <c r="A109" s="1" t="s">
        <v>256</v>
      </c>
      <c r="B109" s="1" t="s">
        <v>257</v>
      </c>
      <c r="C109" s="1" t="s">
        <v>249</v>
      </c>
      <c r="D109" s="1" t="s">
        <v>12</v>
      </c>
      <c r="E109" s="12">
        <v>21126</v>
      </c>
      <c r="F109" s="12" t="s">
        <v>13</v>
      </c>
      <c r="G109" s="6">
        <v>4224.38</v>
      </c>
      <c r="H109" s="1">
        <v>22.73</v>
      </c>
      <c r="J109" t="str">
        <f t="shared" si="12"/>
        <v>OK</v>
      </c>
      <c r="K109" t="str">
        <f t="shared" si="13"/>
        <v>OK</v>
      </c>
      <c r="L109">
        <f t="shared" si="22"/>
        <v>12</v>
      </c>
      <c r="M109">
        <f t="shared" si="14"/>
        <v>10</v>
      </c>
      <c r="N109" s="9" t="str">
        <f t="shared" si="23"/>
        <v>Valid</v>
      </c>
      <c r="O109" t="str">
        <f t="shared" si="15"/>
        <v>Include</v>
      </c>
      <c r="P109" s="9">
        <f t="shared" si="16"/>
        <v>2035068.5799999984</v>
      </c>
      <c r="Q109" s="15">
        <f t="shared" si="17"/>
        <v>7469725</v>
      </c>
      <c r="R109" s="9">
        <f t="shared" si="18"/>
        <v>21126</v>
      </c>
      <c r="S109" s="9">
        <f t="shared" si="19"/>
        <v>7469725</v>
      </c>
      <c r="T109" s="15">
        <f t="shared" si="20"/>
        <v>16.686436250344954</v>
      </c>
      <c r="U109" s="15">
        <f>IF(O109="Exclude",0,G109*Fuel_Price!$B$2)</f>
        <v>6206.4590960000005</v>
      </c>
      <c r="V109" s="15">
        <f t="shared" si="21"/>
        <v>2989922.7577359979</v>
      </c>
    </row>
    <row r="110" spans="1:22">
      <c r="A110" s="1" t="s">
        <v>258</v>
      </c>
      <c r="B110" s="1" t="s">
        <v>259</v>
      </c>
      <c r="C110" s="1" t="s">
        <v>249</v>
      </c>
      <c r="D110" s="1" t="s">
        <v>12</v>
      </c>
      <c r="E110" s="12">
        <v>12607</v>
      </c>
      <c r="F110" s="12" t="s">
        <v>13</v>
      </c>
      <c r="G110" s="6">
        <v>2954.26</v>
      </c>
      <c r="H110" s="1">
        <v>19.399999999999999</v>
      </c>
      <c r="J110" t="str">
        <f t="shared" si="12"/>
        <v>OK</v>
      </c>
      <c r="K110" t="str">
        <f t="shared" si="13"/>
        <v>OK</v>
      </c>
      <c r="L110">
        <f t="shared" si="22"/>
        <v>12</v>
      </c>
      <c r="M110">
        <f t="shared" si="14"/>
        <v>10</v>
      </c>
      <c r="N110" s="9" t="str">
        <f t="shared" si="23"/>
        <v>Valid</v>
      </c>
      <c r="O110" t="str">
        <f t="shared" si="15"/>
        <v>Include</v>
      </c>
      <c r="P110" s="9">
        <f t="shared" si="16"/>
        <v>2035068.5799999984</v>
      </c>
      <c r="Q110" s="15">
        <f t="shared" si="17"/>
        <v>7469725</v>
      </c>
      <c r="R110" s="9">
        <f t="shared" si="18"/>
        <v>12607</v>
      </c>
      <c r="S110" s="9">
        <f t="shared" si="19"/>
        <v>7469725</v>
      </c>
      <c r="T110" s="15">
        <f t="shared" si="20"/>
        <v>16.686436250344954</v>
      </c>
      <c r="U110" s="15">
        <f>IF(O110="Exclude",0,G110*Fuel_Price!$B$2)</f>
        <v>4340.3987920000009</v>
      </c>
      <c r="V110" s="15">
        <f t="shared" si="21"/>
        <v>2989922.7577359979</v>
      </c>
    </row>
    <row r="111" spans="1:22">
      <c r="A111" s="1" t="s">
        <v>260</v>
      </c>
      <c r="B111" s="1" t="s">
        <v>261</v>
      </c>
      <c r="C111" s="1" t="s">
        <v>221</v>
      </c>
      <c r="D111" s="1" t="s">
        <v>12</v>
      </c>
      <c r="E111" s="12">
        <v>8054</v>
      </c>
      <c r="F111" s="12" t="s">
        <v>13</v>
      </c>
      <c r="G111" s="6">
        <v>2069.75</v>
      </c>
      <c r="H111" s="1">
        <v>17.690000000000001</v>
      </c>
      <c r="J111" t="str">
        <f t="shared" si="12"/>
        <v>OK</v>
      </c>
      <c r="K111" t="str">
        <f t="shared" si="13"/>
        <v>OK</v>
      </c>
      <c r="L111">
        <f t="shared" si="22"/>
        <v>12</v>
      </c>
      <c r="M111">
        <f t="shared" si="14"/>
        <v>10</v>
      </c>
      <c r="N111" s="9" t="str">
        <f t="shared" si="23"/>
        <v>Valid</v>
      </c>
      <c r="O111" t="str">
        <f t="shared" si="15"/>
        <v>Include</v>
      </c>
      <c r="P111" s="9">
        <f t="shared" si="16"/>
        <v>2035068.5799999984</v>
      </c>
      <c r="Q111" s="15">
        <f t="shared" si="17"/>
        <v>7469725</v>
      </c>
      <c r="R111" s="9">
        <f t="shared" si="18"/>
        <v>8054</v>
      </c>
      <c r="S111" s="9">
        <f t="shared" si="19"/>
        <v>7469725</v>
      </c>
      <c r="T111" s="15">
        <f t="shared" si="20"/>
        <v>16.686436250344954</v>
      </c>
      <c r="U111" s="15">
        <f>IF(O111="Exclude",0,G111*Fuel_Price!$B$2)</f>
        <v>3040.8767000000003</v>
      </c>
      <c r="V111" s="15">
        <f t="shared" si="21"/>
        <v>2989922.7577359979</v>
      </c>
    </row>
    <row r="112" spans="1:22">
      <c r="A112" s="1" t="s">
        <v>262</v>
      </c>
      <c r="B112" s="1" t="s">
        <v>263</v>
      </c>
      <c r="C112" s="1" t="s">
        <v>221</v>
      </c>
      <c r="D112" s="1" t="s">
        <v>12</v>
      </c>
      <c r="E112" s="12">
        <v>10936</v>
      </c>
      <c r="F112" s="12" t="s">
        <v>13</v>
      </c>
      <c r="G112" s="6">
        <v>3031.34</v>
      </c>
      <c r="H112" s="1">
        <v>16.399999999999999</v>
      </c>
      <c r="J112" t="str">
        <f t="shared" si="12"/>
        <v>OK</v>
      </c>
      <c r="K112" t="str">
        <f t="shared" si="13"/>
        <v>OK</v>
      </c>
      <c r="L112">
        <f t="shared" si="22"/>
        <v>12</v>
      </c>
      <c r="M112">
        <f t="shared" si="14"/>
        <v>10</v>
      </c>
      <c r="N112" s="9" t="str">
        <f t="shared" si="23"/>
        <v>Valid</v>
      </c>
      <c r="O112" t="str">
        <f t="shared" si="15"/>
        <v>Include</v>
      </c>
      <c r="P112" s="9">
        <f t="shared" si="16"/>
        <v>2035068.5799999984</v>
      </c>
      <c r="Q112" s="15">
        <f t="shared" si="17"/>
        <v>7469725</v>
      </c>
      <c r="R112" s="9">
        <f t="shared" si="18"/>
        <v>10936</v>
      </c>
      <c r="S112" s="9">
        <f t="shared" si="19"/>
        <v>7469725</v>
      </c>
      <c r="T112" s="15">
        <f t="shared" si="20"/>
        <v>16.686436250344954</v>
      </c>
      <c r="U112" s="15">
        <f>IF(O112="Exclude",0,G112*Fuel_Price!$B$2)</f>
        <v>4453.6447280000002</v>
      </c>
      <c r="V112" s="15">
        <f t="shared" si="21"/>
        <v>2989922.7577359979</v>
      </c>
    </row>
    <row r="113" spans="1:22">
      <c r="A113" s="1" t="s">
        <v>264</v>
      </c>
      <c r="B113" s="1" t="s">
        <v>265</v>
      </c>
      <c r="C113" s="1" t="s">
        <v>249</v>
      </c>
      <c r="D113" s="1" t="s">
        <v>12</v>
      </c>
      <c r="E113" s="12">
        <v>16179</v>
      </c>
      <c r="F113" s="12" t="s">
        <v>13</v>
      </c>
      <c r="G113" s="6">
        <v>3465.78</v>
      </c>
      <c r="H113" s="1">
        <v>21.22</v>
      </c>
      <c r="J113" t="str">
        <f t="shared" si="12"/>
        <v>OK</v>
      </c>
      <c r="K113" t="str">
        <f t="shared" si="13"/>
        <v>OK</v>
      </c>
      <c r="L113">
        <f t="shared" si="22"/>
        <v>12</v>
      </c>
      <c r="M113">
        <f t="shared" si="14"/>
        <v>10</v>
      </c>
      <c r="N113" s="9" t="str">
        <f t="shared" si="23"/>
        <v>Valid</v>
      </c>
      <c r="O113" t="str">
        <f t="shared" si="15"/>
        <v>Include</v>
      </c>
      <c r="P113" s="9">
        <f t="shared" si="16"/>
        <v>2035068.5799999984</v>
      </c>
      <c r="Q113" s="15">
        <f t="shared" si="17"/>
        <v>7469725</v>
      </c>
      <c r="R113" s="9">
        <f t="shared" si="18"/>
        <v>16179</v>
      </c>
      <c r="S113" s="9">
        <f t="shared" si="19"/>
        <v>7469725</v>
      </c>
      <c r="T113" s="15">
        <f t="shared" si="20"/>
        <v>16.686436250344954</v>
      </c>
      <c r="U113" s="15">
        <f>IF(O113="Exclude",0,G113*Fuel_Price!$B$2)</f>
        <v>5091.9239760000009</v>
      </c>
      <c r="V113" s="15">
        <f t="shared" si="21"/>
        <v>2989922.7577359979</v>
      </c>
    </row>
    <row r="114" spans="1:22">
      <c r="A114" s="1" t="s">
        <v>266</v>
      </c>
      <c r="B114" s="1" t="s">
        <v>267</v>
      </c>
      <c r="C114" s="1" t="s">
        <v>249</v>
      </c>
      <c r="D114" s="1" t="s">
        <v>12</v>
      </c>
      <c r="E114" s="12">
        <v>17891</v>
      </c>
      <c r="F114" s="12" t="s">
        <v>13</v>
      </c>
      <c r="G114" s="6">
        <v>3774.55</v>
      </c>
      <c r="H114" s="1">
        <v>21.55</v>
      </c>
      <c r="J114" t="str">
        <f t="shared" si="12"/>
        <v>OK</v>
      </c>
      <c r="K114" t="str">
        <f t="shared" si="13"/>
        <v>OK</v>
      </c>
      <c r="L114">
        <f t="shared" si="22"/>
        <v>12</v>
      </c>
      <c r="M114">
        <f t="shared" si="14"/>
        <v>10</v>
      </c>
      <c r="N114" s="9" t="str">
        <f t="shared" si="23"/>
        <v>Valid</v>
      </c>
      <c r="O114" t="str">
        <f t="shared" si="15"/>
        <v>Include</v>
      </c>
      <c r="P114" s="9">
        <f t="shared" si="16"/>
        <v>2035068.5799999984</v>
      </c>
      <c r="Q114" s="15">
        <f t="shared" si="17"/>
        <v>7469725</v>
      </c>
      <c r="R114" s="9">
        <f t="shared" si="18"/>
        <v>17891</v>
      </c>
      <c r="S114" s="9">
        <f t="shared" si="19"/>
        <v>7469725</v>
      </c>
      <c r="T114" s="15">
        <f t="shared" si="20"/>
        <v>16.686436250344954</v>
      </c>
      <c r="U114" s="15">
        <f>IF(O114="Exclude",0,G114*Fuel_Price!$B$2)</f>
        <v>5545.5688600000003</v>
      </c>
      <c r="V114" s="15">
        <f t="shared" si="21"/>
        <v>2989922.7577359979</v>
      </c>
    </row>
    <row r="115" spans="1:22">
      <c r="A115" s="1" t="s">
        <v>268</v>
      </c>
      <c r="B115" s="1" t="s">
        <v>269</v>
      </c>
      <c r="C115" s="1" t="s">
        <v>221</v>
      </c>
      <c r="D115" s="1" t="s">
        <v>12</v>
      </c>
      <c r="E115" s="12">
        <v>14506</v>
      </c>
      <c r="F115" s="12" t="s">
        <v>13</v>
      </c>
      <c r="G115" s="6">
        <v>2999.12</v>
      </c>
      <c r="H115" s="1">
        <v>21.99</v>
      </c>
      <c r="J115" t="str">
        <f t="shared" si="12"/>
        <v>OK</v>
      </c>
      <c r="K115" t="str">
        <f t="shared" si="13"/>
        <v>OK</v>
      </c>
      <c r="L115">
        <f t="shared" si="22"/>
        <v>12</v>
      </c>
      <c r="M115">
        <f t="shared" si="14"/>
        <v>10</v>
      </c>
      <c r="N115" s="9" t="str">
        <f t="shared" si="23"/>
        <v>Valid</v>
      </c>
      <c r="O115" t="str">
        <f t="shared" si="15"/>
        <v>Include</v>
      </c>
      <c r="P115" s="9">
        <f t="shared" si="16"/>
        <v>2035068.5799999984</v>
      </c>
      <c r="Q115" s="15">
        <f t="shared" si="17"/>
        <v>7469725</v>
      </c>
      <c r="R115" s="9">
        <f t="shared" si="18"/>
        <v>14506</v>
      </c>
      <c r="S115" s="9">
        <f t="shared" si="19"/>
        <v>7469725</v>
      </c>
      <c r="T115" s="15">
        <f t="shared" si="20"/>
        <v>16.686436250344954</v>
      </c>
      <c r="U115" s="15">
        <f>IF(O115="Exclude",0,G115*Fuel_Price!$B$2)</f>
        <v>4406.3071040000004</v>
      </c>
      <c r="V115" s="15">
        <f t="shared" si="21"/>
        <v>2989922.7577359979</v>
      </c>
    </row>
    <row r="116" spans="1:22">
      <c r="A116" s="1" t="s">
        <v>270</v>
      </c>
      <c r="B116" s="1" t="s">
        <v>271</v>
      </c>
      <c r="C116" s="1" t="s">
        <v>249</v>
      </c>
      <c r="D116" s="1" t="s">
        <v>12</v>
      </c>
      <c r="E116" s="12">
        <v>8589</v>
      </c>
      <c r="F116" s="12" t="s">
        <v>13</v>
      </c>
      <c r="G116" s="6">
        <v>2101.5700000000002</v>
      </c>
      <c r="H116" s="1">
        <v>18.579999999999998</v>
      </c>
      <c r="J116" t="str">
        <f t="shared" si="12"/>
        <v>OK</v>
      </c>
      <c r="K116" t="str">
        <f t="shared" si="13"/>
        <v>OK</v>
      </c>
      <c r="L116">
        <f t="shared" si="22"/>
        <v>12</v>
      </c>
      <c r="M116">
        <f t="shared" si="14"/>
        <v>10</v>
      </c>
      <c r="N116" s="9" t="str">
        <f t="shared" si="23"/>
        <v>Valid</v>
      </c>
      <c r="O116" t="str">
        <f t="shared" si="15"/>
        <v>Include</v>
      </c>
      <c r="P116" s="9">
        <f t="shared" si="16"/>
        <v>2035068.5799999984</v>
      </c>
      <c r="Q116" s="15">
        <f t="shared" si="17"/>
        <v>7469725</v>
      </c>
      <c r="R116" s="9">
        <f t="shared" si="18"/>
        <v>8589</v>
      </c>
      <c r="S116" s="9">
        <f t="shared" si="19"/>
        <v>7469725</v>
      </c>
      <c r="T116" s="15">
        <f t="shared" si="20"/>
        <v>16.686436250344954</v>
      </c>
      <c r="U116" s="15">
        <f>IF(O116="Exclude",0,G116*Fuel_Price!$B$2)</f>
        <v>3087.6266440000004</v>
      </c>
      <c r="V116" s="15">
        <f t="shared" si="21"/>
        <v>2989922.7577359979</v>
      </c>
    </row>
    <row r="117" spans="1:22">
      <c r="A117" s="1" t="s">
        <v>272</v>
      </c>
      <c r="B117" s="1" t="s">
        <v>273</v>
      </c>
      <c r="C117" s="1" t="s">
        <v>249</v>
      </c>
      <c r="D117" s="1" t="s">
        <v>12</v>
      </c>
      <c r="E117" s="12">
        <v>9214</v>
      </c>
      <c r="F117" s="12" t="s">
        <v>13</v>
      </c>
      <c r="G117" s="6">
        <v>2301.52</v>
      </c>
      <c r="H117" s="1">
        <v>18.2</v>
      </c>
      <c r="J117" t="str">
        <f t="shared" si="12"/>
        <v>OK</v>
      </c>
      <c r="K117" t="str">
        <f t="shared" si="13"/>
        <v>OK</v>
      </c>
      <c r="L117">
        <f t="shared" si="22"/>
        <v>12</v>
      </c>
      <c r="M117">
        <f t="shared" si="14"/>
        <v>10</v>
      </c>
      <c r="N117" s="9" t="str">
        <f t="shared" si="23"/>
        <v>Valid</v>
      </c>
      <c r="O117" t="str">
        <f t="shared" si="15"/>
        <v>Include</v>
      </c>
      <c r="P117" s="9">
        <f t="shared" si="16"/>
        <v>2035068.5799999984</v>
      </c>
      <c r="Q117" s="15">
        <f t="shared" si="17"/>
        <v>7469725</v>
      </c>
      <c r="R117" s="9">
        <f t="shared" si="18"/>
        <v>9214</v>
      </c>
      <c r="S117" s="9">
        <f t="shared" si="19"/>
        <v>7469725</v>
      </c>
      <c r="T117" s="15">
        <f t="shared" si="20"/>
        <v>16.686436250344954</v>
      </c>
      <c r="U117" s="15">
        <f>IF(O117="Exclude",0,G117*Fuel_Price!$B$2)</f>
        <v>3381.393184</v>
      </c>
      <c r="V117" s="15">
        <f t="shared" si="21"/>
        <v>2989922.7577359979</v>
      </c>
    </row>
    <row r="118" spans="1:22">
      <c r="A118" s="1" t="s">
        <v>274</v>
      </c>
      <c r="B118" s="1" t="s">
        <v>275</v>
      </c>
      <c r="C118" s="1" t="s">
        <v>249</v>
      </c>
      <c r="D118" s="1" t="s">
        <v>12</v>
      </c>
      <c r="E118" s="12">
        <v>10546</v>
      </c>
      <c r="F118" s="12" t="s">
        <v>13</v>
      </c>
      <c r="G118" s="6">
        <v>2550.14</v>
      </c>
      <c r="H118" s="1">
        <v>18.8</v>
      </c>
      <c r="J118" t="str">
        <f t="shared" si="12"/>
        <v>OK</v>
      </c>
      <c r="K118" t="str">
        <f t="shared" si="13"/>
        <v>OK</v>
      </c>
      <c r="L118">
        <f t="shared" si="22"/>
        <v>12</v>
      </c>
      <c r="M118">
        <f t="shared" si="14"/>
        <v>10</v>
      </c>
      <c r="N118" s="9" t="str">
        <f t="shared" si="23"/>
        <v>Valid</v>
      </c>
      <c r="O118" t="str">
        <f t="shared" si="15"/>
        <v>Include</v>
      </c>
      <c r="P118" s="9">
        <f t="shared" si="16"/>
        <v>2035068.5799999984</v>
      </c>
      <c r="Q118" s="15">
        <f t="shared" si="17"/>
        <v>7469725</v>
      </c>
      <c r="R118" s="9">
        <f t="shared" si="18"/>
        <v>10546</v>
      </c>
      <c r="S118" s="9">
        <f t="shared" si="19"/>
        <v>7469725</v>
      </c>
      <c r="T118" s="15">
        <f t="shared" si="20"/>
        <v>16.686436250344954</v>
      </c>
      <c r="U118" s="15">
        <f>IF(O118="Exclude",0,G118*Fuel_Price!$B$2)</f>
        <v>3746.665688</v>
      </c>
      <c r="V118" s="15">
        <f t="shared" si="21"/>
        <v>2989922.7577359979</v>
      </c>
    </row>
    <row r="119" spans="1:22">
      <c r="A119" s="1" t="s">
        <v>276</v>
      </c>
      <c r="B119" s="1" t="s">
        <v>277</v>
      </c>
      <c r="C119" s="1" t="s">
        <v>221</v>
      </c>
      <c r="D119" s="1" t="s">
        <v>12</v>
      </c>
      <c r="E119" s="12">
        <v>11363</v>
      </c>
      <c r="F119" s="12" t="s">
        <v>13</v>
      </c>
      <c r="G119" s="6">
        <v>2804.9</v>
      </c>
      <c r="H119" s="1">
        <v>18.420000000000002</v>
      </c>
      <c r="J119" t="str">
        <f t="shared" si="12"/>
        <v>OK</v>
      </c>
      <c r="K119" t="str">
        <f t="shared" si="13"/>
        <v>OK</v>
      </c>
      <c r="L119">
        <f t="shared" si="22"/>
        <v>12</v>
      </c>
      <c r="M119">
        <f t="shared" si="14"/>
        <v>10</v>
      </c>
      <c r="N119" s="9" t="str">
        <f t="shared" si="23"/>
        <v>Valid</v>
      </c>
      <c r="O119" t="str">
        <f t="shared" si="15"/>
        <v>Include</v>
      </c>
      <c r="P119" s="9">
        <f t="shared" si="16"/>
        <v>2035068.5799999984</v>
      </c>
      <c r="Q119" s="15">
        <f t="shared" si="17"/>
        <v>7469725</v>
      </c>
      <c r="R119" s="9">
        <f t="shared" si="18"/>
        <v>11363</v>
      </c>
      <c r="S119" s="9">
        <f t="shared" si="19"/>
        <v>7469725</v>
      </c>
      <c r="T119" s="15">
        <f t="shared" si="20"/>
        <v>16.686436250344954</v>
      </c>
      <c r="U119" s="15">
        <f>IF(O119="Exclude",0,G119*Fuel_Price!$B$2)</f>
        <v>4120.9590800000005</v>
      </c>
      <c r="V119" s="15">
        <f t="shared" si="21"/>
        <v>2989922.7577359979</v>
      </c>
    </row>
    <row r="120" spans="1:22">
      <c r="A120" s="1" t="s">
        <v>278</v>
      </c>
      <c r="B120" s="1" t="s">
        <v>279</v>
      </c>
      <c r="C120" s="1" t="s">
        <v>221</v>
      </c>
      <c r="D120" s="1" t="s">
        <v>12</v>
      </c>
      <c r="E120" s="12">
        <v>12881</v>
      </c>
      <c r="F120" s="12" t="s">
        <v>13</v>
      </c>
      <c r="G120" s="6">
        <v>2954.8</v>
      </c>
      <c r="H120" s="1">
        <v>19.82</v>
      </c>
      <c r="J120" t="str">
        <f t="shared" si="12"/>
        <v>OK</v>
      </c>
      <c r="K120" t="str">
        <f t="shared" si="13"/>
        <v>OK</v>
      </c>
      <c r="L120">
        <f t="shared" si="22"/>
        <v>12</v>
      </c>
      <c r="M120">
        <f t="shared" si="14"/>
        <v>10</v>
      </c>
      <c r="N120" s="9" t="str">
        <f t="shared" si="23"/>
        <v>Valid</v>
      </c>
      <c r="O120" t="str">
        <f t="shared" si="15"/>
        <v>Include</v>
      </c>
      <c r="P120" s="9">
        <f t="shared" si="16"/>
        <v>2035068.5799999984</v>
      </c>
      <c r="Q120" s="15">
        <f t="shared" si="17"/>
        <v>7469725</v>
      </c>
      <c r="R120" s="9">
        <f t="shared" si="18"/>
        <v>12881</v>
      </c>
      <c r="S120" s="9">
        <f t="shared" si="19"/>
        <v>7469725</v>
      </c>
      <c r="T120" s="15">
        <f t="shared" si="20"/>
        <v>16.686436250344954</v>
      </c>
      <c r="U120" s="15">
        <f>IF(O120="Exclude",0,G120*Fuel_Price!$B$2)</f>
        <v>4341.1921600000005</v>
      </c>
      <c r="V120" s="15">
        <f t="shared" si="21"/>
        <v>2989922.7577359979</v>
      </c>
    </row>
    <row r="121" spans="1:22">
      <c r="A121" s="1" t="s">
        <v>280</v>
      </c>
      <c r="B121" s="1" t="s">
        <v>281</v>
      </c>
      <c r="C121" s="1" t="s">
        <v>249</v>
      </c>
      <c r="D121" s="1" t="s">
        <v>12</v>
      </c>
      <c r="E121" s="12">
        <v>5995</v>
      </c>
      <c r="F121" s="12" t="s">
        <v>13</v>
      </c>
      <c r="G121" s="6">
        <v>1641.23</v>
      </c>
      <c r="H121" s="1">
        <v>16.61</v>
      </c>
      <c r="J121" t="str">
        <f t="shared" si="12"/>
        <v>OK</v>
      </c>
      <c r="K121" t="str">
        <f t="shared" si="13"/>
        <v>OK</v>
      </c>
      <c r="L121">
        <f t="shared" si="22"/>
        <v>12</v>
      </c>
      <c r="M121">
        <f t="shared" si="14"/>
        <v>10</v>
      </c>
      <c r="N121" s="9" t="str">
        <f t="shared" si="23"/>
        <v>Valid</v>
      </c>
      <c r="O121" t="str">
        <f t="shared" si="15"/>
        <v>Include</v>
      </c>
      <c r="P121" s="9">
        <f t="shared" si="16"/>
        <v>2035068.5799999984</v>
      </c>
      <c r="Q121" s="15">
        <f t="shared" si="17"/>
        <v>7469725</v>
      </c>
      <c r="R121" s="9">
        <f t="shared" si="18"/>
        <v>5995</v>
      </c>
      <c r="S121" s="9">
        <f t="shared" si="19"/>
        <v>7469725</v>
      </c>
      <c r="T121" s="15">
        <f t="shared" si="20"/>
        <v>16.686436250344954</v>
      </c>
      <c r="U121" s="15">
        <f>IF(O121="Exclude",0,G121*Fuel_Price!$B$2)</f>
        <v>2411.2951160000002</v>
      </c>
      <c r="V121" s="15">
        <f t="shared" si="21"/>
        <v>2989922.7577359979</v>
      </c>
    </row>
    <row r="122" spans="1:22">
      <c r="A122" s="1" t="s">
        <v>282</v>
      </c>
      <c r="B122" s="1" t="s">
        <v>283</v>
      </c>
      <c r="C122" s="1" t="s">
        <v>249</v>
      </c>
      <c r="D122" s="1" t="s">
        <v>12</v>
      </c>
      <c r="E122" s="12">
        <v>11232</v>
      </c>
      <c r="F122" s="12" t="s">
        <v>13</v>
      </c>
      <c r="G122" s="6">
        <v>2564.12</v>
      </c>
      <c r="H122" s="1">
        <v>19.91</v>
      </c>
      <c r="J122" t="str">
        <f t="shared" si="12"/>
        <v>OK</v>
      </c>
      <c r="K122" t="str">
        <f t="shared" si="13"/>
        <v>OK</v>
      </c>
      <c r="L122">
        <f t="shared" si="22"/>
        <v>12</v>
      </c>
      <c r="M122">
        <f t="shared" si="14"/>
        <v>10</v>
      </c>
      <c r="N122" s="9" t="str">
        <f t="shared" si="23"/>
        <v>Valid</v>
      </c>
      <c r="O122" t="str">
        <f t="shared" si="15"/>
        <v>Include</v>
      </c>
      <c r="P122" s="9">
        <f t="shared" si="16"/>
        <v>2035068.5799999984</v>
      </c>
      <c r="Q122" s="15">
        <f t="shared" si="17"/>
        <v>7469725</v>
      </c>
      <c r="R122" s="9">
        <f t="shared" si="18"/>
        <v>11232</v>
      </c>
      <c r="S122" s="9">
        <f t="shared" si="19"/>
        <v>7469725</v>
      </c>
      <c r="T122" s="15">
        <f t="shared" si="20"/>
        <v>16.686436250344954</v>
      </c>
      <c r="U122" s="15">
        <f>IF(O122="Exclude",0,G122*Fuel_Price!$B$2)</f>
        <v>3767.2051040000001</v>
      </c>
      <c r="V122" s="15">
        <f t="shared" si="21"/>
        <v>2989922.7577359979</v>
      </c>
    </row>
    <row r="123" spans="1:22">
      <c r="A123" s="1" t="s">
        <v>284</v>
      </c>
      <c r="B123" s="1" t="s">
        <v>285</v>
      </c>
      <c r="C123" s="1" t="s">
        <v>249</v>
      </c>
      <c r="D123" s="1" t="s">
        <v>12</v>
      </c>
      <c r="E123" s="12">
        <v>9149</v>
      </c>
      <c r="F123" s="12" t="s">
        <v>13</v>
      </c>
      <c r="G123" s="6">
        <v>2121.34</v>
      </c>
      <c r="H123" s="1">
        <v>19.61</v>
      </c>
      <c r="J123" t="str">
        <f t="shared" si="12"/>
        <v>OK</v>
      </c>
      <c r="K123" t="str">
        <f t="shared" si="13"/>
        <v>OK</v>
      </c>
      <c r="L123">
        <f t="shared" si="22"/>
        <v>12</v>
      </c>
      <c r="M123">
        <f t="shared" si="14"/>
        <v>10</v>
      </c>
      <c r="N123" s="9" t="str">
        <f t="shared" si="23"/>
        <v>Valid</v>
      </c>
      <c r="O123" t="str">
        <f t="shared" si="15"/>
        <v>Include</v>
      </c>
      <c r="P123" s="9">
        <f t="shared" si="16"/>
        <v>2035068.5799999984</v>
      </c>
      <c r="Q123" s="15">
        <f t="shared" si="17"/>
        <v>7469725</v>
      </c>
      <c r="R123" s="9">
        <f t="shared" si="18"/>
        <v>9149</v>
      </c>
      <c r="S123" s="9">
        <f t="shared" si="19"/>
        <v>7469725</v>
      </c>
      <c r="T123" s="15">
        <f t="shared" si="20"/>
        <v>16.686436250344954</v>
      </c>
      <c r="U123" s="15">
        <f>IF(O123="Exclude",0,G123*Fuel_Price!$B$2)</f>
        <v>3116.6727280000005</v>
      </c>
      <c r="V123" s="15">
        <f t="shared" si="21"/>
        <v>2989922.7577359979</v>
      </c>
    </row>
    <row r="124" spans="1:22">
      <c r="A124" s="1" t="s">
        <v>286</v>
      </c>
      <c r="B124" s="1" t="s">
        <v>287</v>
      </c>
      <c r="C124" s="1" t="s">
        <v>221</v>
      </c>
      <c r="D124" s="1" t="s">
        <v>12</v>
      </c>
      <c r="E124" s="12">
        <v>13486</v>
      </c>
      <c r="F124" s="12" t="s">
        <v>13</v>
      </c>
      <c r="G124" s="6">
        <v>3139.8</v>
      </c>
      <c r="H124" s="1">
        <v>19.53</v>
      </c>
      <c r="J124" t="str">
        <f t="shared" si="12"/>
        <v>OK</v>
      </c>
      <c r="K124" t="str">
        <f t="shared" si="13"/>
        <v>OK</v>
      </c>
      <c r="L124">
        <f t="shared" si="22"/>
        <v>12</v>
      </c>
      <c r="M124">
        <f t="shared" si="14"/>
        <v>10</v>
      </c>
      <c r="N124" s="9" t="str">
        <f t="shared" si="23"/>
        <v>Valid</v>
      </c>
      <c r="O124" t="str">
        <f t="shared" si="15"/>
        <v>Include</v>
      </c>
      <c r="P124" s="9">
        <f t="shared" si="16"/>
        <v>2035068.5799999984</v>
      </c>
      <c r="Q124" s="15">
        <f t="shared" si="17"/>
        <v>7469725</v>
      </c>
      <c r="R124" s="9">
        <f t="shared" si="18"/>
        <v>13486</v>
      </c>
      <c r="S124" s="9">
        <f t="shared" si="19"/>
        <v>7469725</v>
      </c>
      <c r="T124" s="15">
        <f t="shared" si="20"/>
        <v>16.686436250344954</v>
      </c>
      <c r="U124" s="15">
        <f>IF(O124="Exclude",0,G124*Fuel_Price!$B$2)</f>
        <v>4612.9941600000002</v>
      </c>
      <c r="V124" s="15">
        <f t="shared" si="21"/>
        <v>2989922.7577359979</v>
      </c>
    </row>
    <row r="125" spans="1:22">
      <c r="A125" s="1" t="s">
        <v>288</v>
      </c>
      <c r="B125" s="1" t="s">
        <v>289</v>
      </c>
      <c r="C125" s="1" t="s">
        <v>249</v>
      </c>
      <c r="D125" s="1" t="s">
        <v>12</v>
      </c>
      <c r="E125" s="12">
        <v>16234</v>
      </c>
      <c r="F125" s="12" t="s">
        <v>13</v>
      </c>
      <c r="G125" s="6">
        <v>3898</v>
      </c>
      <c r="H125" s="1">
        <v>18.93</v>
      </c>
      <c r="J125" t="str">
        <f t="shared" si="12"/>
        <v>OK</v>
      </c>
      <c r="K125" t="str">
        <f t="shared" si="13"/>
        <v>OK</v>
      </c>
      <c r="L125">
        <f t="shared" si="22"/>
        <v>12</v>
      </c>
      <c r="M125">
        <f t="shared" si="14"/>
        <v>10</v>
      </c>
      <c r="N125" s="9" t="str">
        <f t="shared" si="23"/>
        <v>Valid</v>
      </c>
      <c r="O125" t="str">
        <f t="shared" si="15"/>
        <v>Include</v>
      </c>
      <c r="P125" s="9">
        <f t="shared" si="16"/>
        <v>2035068.5799999984</v>
      </c>
      <c r="Q125" s="15">
        <f t="shared" si="17"/>
        <v>7469725</v>
      </c>
      <c r="R125" s="9">
        <f t="shared" si="18"/>
        <v>16234</v>
      </c>
      <c r="S125" s="9">
        <f t="shared" si="19"/>
        <v>7469725</v>
      </c>
      <c r="T125" s="15">
        <f t="shared" si="20"/>
        <v>16.686436250344954</v>
      </c>
      <c r="U125" s="15">
        <f>IF(O125="Exclude",0,G125*Fuel_Price!$B$2)</f>
        <v>5726.9416000000001</v>
      </c>
      <c r="V125" s="15">
        <f t="shared" si="21"/>
        <v>2989922.7577359979</v>
      </c>
    </row>
    <row r="126" spans="1:22">
      <c r="A126" s="1" t="s">
        <v>290</v>
      </c>
      <c r="B126" s="1" t="s">
        <v>291</v>
      </c>
      <c r="C126" s="1" t="s">
        <v>221</v>
      </c>
      <c r="D126" s="1" t="s">
        <v>12</v>
      </c>
      <c r="E126" s="12">
        <v>14361</v>
      </c>
      <c r="F126" s="12" t="s">
        <v>13</v>
      </c>
      <c r="G126" s="6">
        <v>3063.41</v>
      </c>
      <c r="H126" s="1">
        <v>21.31</v>
      </c>
      <c r="J126" t="str">
        <f t="shared" si="12"/>
        <v>OK</v>
      </c>
      <c r="K126" t="str">
        <f t="shared" si="13"/>
        <v>OK</v>
      </c>
      <c r="L126">
        <f t="shared" si="22"/>
        <v>12</v>
      </c>
      <c r="M126">
        <f t="shared" si="14"/>
        <v>10</v>
      </c>
      <c r="N126" s="9" t="str">
        <f t="shared" si="23"/>
        <v>Valid</v>
      </c>
      <c r="O126" t="str">
        <f t="shared" si="15"/>
        <v>Include</v>
      </c>
      <c r="P126" s="9">
        <f t="shared" si="16"/>
        <v>2035068.5799999984</v>
      </c>
      <c r="Q126" s="15">
        <f t="shared" si="17"/>
        <v>7469725</v>
      </c>
      <c r="R126" s="9">
        <f t="shared" si="18"/>
        <v>14361</v>
      </c>
      <c r="S126" s="9">
        <f t="shared" si="19"/>
        <v>7469725</v>
      </c>
      <c r="T126" s="15">
        <f t="shared" si="20"/>
        <v>16.686436250344954</v>
      </c>
      <c r="U126" s="15">
        <f>IF(O126="Exclude",0,G126*Fuel_Price!$B$2)</f>
        <v>4500.7619720000002</v>
      </c>
      <c r="V126" s="15">
        <f t="shared" si="21"/>
        <v>2989922.7577359979</v>
      </c>
    </row>
    <row r="127" spans="1:22">
      <c r="A127" s="1" t="s">
        <v>292</v>
      </c>
      <c r="B127" s="1" t="s">
        <v>293</v>
      </c>
      <c r="C127" s="1" t="s">
        <v>221</v>
      </c>
      <c r="D127" s="1" t="s">
        <v>12</v>
      </c>
      <c r="E127" s="12">
        <v>12672</v>
      </c>
      <c r="F127" s="12" t="s">
        <v>13</v>
      </c>
      <c r="G127" s="6">
        <v>3083.79</v>
      </c>
      <c r="H127" s="1">
        <v>18.68</v>
      </c>
      <c r="J127" t="str">
        <f t="shared" si="12"/>
        <v>OK</v>
      </c>
      <c r="K127" t="str">
        <f t="shared" si="13"/>
        <v>OK</v>
      </c>
      <c r="L127">
        <f t="shared" si="22"/>
        <v>12</v>
      </c>
      <c r="M127">
        <f t="shared" si="14"/>
        <v>10</v>
      </c>
      <c r="N127" s="9" t="str">
        <f t="shared" si="23"/>
        <v>Valid</v>
      </c>
      <c r="O127" t="str">
        <f t="shared" si="15"/>
        <v>Include</v>
      </c>
      <c r="P127" s="9">
        <f t="shared" si="16"/>
        <v>2035068.5799999984</v>
      </c>
      <c r="Q127" s="15">
        <f t="shared" si="17"/>
        <v>7469725</v>
      </c>
      <c r="R127" s="9">
        <f t="shared" si="18"/>
        <v>12672</v>
      </c>
      <c r="S127" s="9">
        <f t="shared" si="19"/>
        <v>7469725</v>
      </c>
      <c r="T127" s="15">
        <f t="shared" si="20"/>
        <v>16.686436250344954</v>
      </c>
      <c r="U127" s="15">
        <f>IF(O127="Exclude",0,G127*Fuel_Price!$B$2)</f>
        <v>4530.7042680000004</v>
      </c>
      <c r="V127" s="15">
        <f t="shared" si="21"/>
        <v>2989922.7577359979</v>
      </c>
    </row>
    <row r="128" spans="1:22">
      <c r="A128" s="1" t="s">
        <v>294</v>
      </c>
      <c r="B128" s="1" t="s">
        <v>295</v>
      </c>
      <c r="C128" s="1" t="s">
        <v>221</v>
      </c>
      <c r="D128" s="1" t="s">
        <v>12</v>
      </c>
      <c r="E128" s="12">
        <v>5232</v>
      </c>
      <c r="F128" s="12" t="s">
        <v>13</v>
      </c>
      <c r="G128" s="6">
        <v>1364.31</v>
      </c>
      <c r="H128" s="1">
        <v>17.43</v>
      </c>
      <c r="J128" t="str">
        <f t="shared" si="12"/>
        <v>OK</v>
      </c>
      <c r="K128" t="str">
        <f t="shared" si="13"/>
        <v>OK</v>
      </c>
      <c r="L128">
        <f t="shared" si="22"/>
        <v>12</v>
      </c>
      <c r="M128">
        <f t="shared" si="14"/>
        <v>10</v>
      </c>
      <c r="N128" s="9" t="str">
        <f t="shared" si="23"/>
        <v>Valid</v>
      </c>
      <c r="O128" t="str">
        <f t="shared" si="15"/>
        <v>Include</v>
      </c>
      <c r="P128" s="9">
        <f t="shared" si="16"/>
        <v>2035068.5799999984</v>
      </c>
      <c r="Q128" s="15">
        <f t="shared" si="17"/>
        <v>7469725</v>
      </c>
      <c r="R128" s="9">
        <f t="shared" si="18"/>
        <v>5232</v>
      </c>
      <c r="S128" s="9">
        <f t="shared" si="19"/>
        <v>7469725</v>
      </c>
      <c r="T128" s="15">
        <f t="shared" si="20"/>
        <v>16.686436250344954</v>
      </c>
      <c r="U128" s="15">
        <f>IF(O128="Exclude",0,G128*Fuel_Price!$B$2)</f>
        <v>2004.444252</v>
      </c>
      <c r="V128" s="15">
        <f t="shared" si="21"/>
        <v>2989922.7577359979</v>
      </c>
    </row>
    <row r="129" spans="1:22">
      <c r="A129" s="1" t="s">
        <v>296</v>
      </c>
      <c r="B129" s="1" t="s">
        <v>297</v>
      </c>
      <c r="C129" s="1" t="s">
        <v>221</v>
      </c>
      <c r="D129" s="1" t="s">
        <v>12</v>
      </c>
      <c r="E129" s="12">
        <v>22338</v>
      </c>
      <c r="F129" s="12" t="s">
        <v>13</v>
      </c>
      <c r="G129" s="6">
        <v>4519.3500000000004</v>
      </c>
      <c r="H129" s="1">
        <v>22.47</v>
      </c>
      <c r="J129" t="str">
        <f t="shared" si="12"/>
        <v>OK</v>
      </c>
      <c r="K129" t="str">
        <f t="shared" si="13"/>
        <v>OK</v>
      </c>
      <c r="L129">
        <f t="shared" si="22"/>
        <v>12</v>
      </c>
      <c r="M129">
        <f t="shared" si="14"/>
        <v>10</v>
      </c>
      <c r="N129" s="9" t="str">
        <f t="shared" si="23"/>
        <v>Valid</v>
      </c>
      <c r="O129" t="str">
        <f t="shared" si="15"/>
        <v>Include</v>
      </c>
      <c r="P129" s="9">
        <f t="shared" si="16"/>
        <v>2035068.5799999984</v>
      </c>
      <c r="Q129" s="15">
        <f t="shared" si="17"/>
        <v>7469725</v>
      </c>
      <c r="R129" s="9">
        <f t="shared" si="18"/>
        <v>22338</v>
      </c>
      <c r="S129" s="9">
        <f t="shared" si="19"/>
        <v>7469725</v>
      </c>
      <c r="T129" s="15">
        <f t="shared" si="20"/>
        <v>16.686436250344954</v>
      </c>
      <c r="U129" s="15">
        <f>IF(O129="Exclude",0,G129*Fuel_Price!$B$2)</f>
        <v>6639.829020000001</v>
      </c>
      <c r="V129" s="15">
        <f t="shared" si="21"/>
        <v>2989922.7577359979</v>
      </c>
    </row>
    <row r="130" spans="1:22">
      <c r="A130" s="1" t="s">
        <v>298</v>
      </c>
      <c r="B130" s="1" t="s">
        <v>299</v>
      </c>
      <c r="C130" s="1" t="s">
        <v>221</v>
      </c>
      <c r="D130" s="1" t="s">
        <v>12</v>
      </c>
      <c r="E130" s="12">
        <v>10208</v>
      </c>
      <c r="F130" s="12" t="s">
        <v>13</v>
      </c>
      <c r="G130" s="6">
        <v>2678.58</v>
      </c>
      <c r="H130" s="1">
        <v>17.329999999999998</v>
      </c>
      <c r="J130" t="str">
        <f t="shared" ref="J130:J193" si="24">IF(OR(H130&lt;=0,H130&gt;100),"Check","OK")</f>
        <v>OK</v>
      </c>
      <c r="K130" t="str">
        <f t="shared" ref="K130:K193" si="25">IF(E130&lt;0,"Check","OK")</f>
        <v>OK</v>
      </c>
      <c r="L130">
        <f t="shared" si="22"/>
        <v>12</v>
      </c>
      <c r="M130">
        <f t="shared" ref="M130:M193" si="26">COUNTIF(K:K,"Check")</f>
        <v>10</v>
      </c>
      <c r="N130" s="9" t="str">
        <f t="shared" si="23"/>
        <v>Valid</v>
      </c>
      <c r="O130" t="str">
        <f t="shared" ref="O130:O193" si="27">IF(N130="Review","Exclude","Include")</f>
        <v>Include</v>
      </c>
      <c r="P130" s="9">
        <f t="shared" ref="P130:P193" si="28">SUMIF(O:O,"Include",G:G)</f>
        <v>2035068.5799999984</v>
      </c>
      <c r="Q130" s="15">
        <f t="shared" ref="Q130:Q193" si="29">SUMIF(O:O,"Include",E:E)</f>
        <v>7469725</v>
      </c>
      <c r="R130" s="9">
        <f t="shared" ref="R130:R193" si="30">IF(O130="Exclude",0,E130)</f>
        <v>10208</v>
      </c>
      <c r="S130" s="9">
        <f t="shared" ref="S130:S193" si="31">SUM(R:R)</f>
        <v>7469725</v>
      </c>
      <c r="T130" s="15">
        <f t="shared" ref="T130:T193" si="32">S130/(P130/4.54609)</f>
        <v>16.686436250344954</v>
      </c>
      <c r="U130" s="15">
        <f>IF(O130="Exclude",0,G130*Fuel_Price!$B$2)</f>
        <v>3935.3697360000001</v>
      </c>
      <c r="V130" s="15">
        <f t="shared" ref="V130:V193" si="33">SUM(U:U)</f>
        <v>2989922.7577359979</v>
      </c>
    </row>
    <row r="131" spans="1:22">
      <c r="A131" s="1" t="s">
        <v>300</v>
      </c>
      <c r="B131" s="1" t="s">
        <v>301</v>
      </c>
      <c r="C131" s="1" t="s">
        <v>221</v>
      </c>
      <c r="D131" s="1" t="s">
        <v>12</v>
      </c>
      <c r="E131" s="12">
        <v>12681</v>
      </c>
      <c r="F131" s="12" t="s">
        <v>13</v>
      </c>
      <c r="G131" s="6">
        <v>3041.41</v>
      </c>
      <c r="H131" s="1">
        <v>18.95</v>
      </c>
      <c r="J131" t="str">
        <f t="shared" si="24"/>
        <v>OK</v>
      </c>
      <c r="K131" t="str">
        <f t="shared" si="25"/>
        <v>OK</v>
      </c>
      <c r="L131">
        <f t="shared" ref="L131:L194" si="34">COUNTIF(J:J,"Check")</f>
        <v>12</v>
      </c>
      <c r="M131">
        <f t="shared" si="26"/>
        <v>10</v>
      </c>
      <c r="N131" s="9" t="str">
        <f t="shared" si="23"/>
        <v>Valid</v>
      </c>
      <c r="O131" t="str">
        <f t="shared" si="27"/>
        <v>Include</v>
      </c>
      <c r="P131" s="9">
        <f t="shared" si="28"/>
        <v>2035068.5799999984</v>
      </c>
      <c r="Q131" s="15">
        <f t="shared" si="29"/>
        <v>7469725</v>
      </c>
      <c r="R131" s="9">
        <f t="shared" si="30"/>
        <v>12681</v>
      </c>
      <c r="S131" s="9">
        <f t="shared" si="31"/>
        <v>7469725</v>
      </c>
      <c r="T131" s="15">
        <f t="shared" si="32"/>
        <v>16.686436250344954</v>
      </c>
      <c r="U131" s="15">
        <f>IF(O131="Exclude",0,G131*Fuel_Price!$B$2)</f>
        <v>4468.4395720000002</v>
      </c>
      <c r="V131" s="15">
        <f t="shared" si="33"/>
        <v>2989922.7577359979</v>
      </c>
    </row>
    <row r="132" spans="1:22">
      <c r="A132" s="1" t="s">
        <v>302</v>
      </c>
      <c r="B132" s="1" t="s">
        <v>303</v>
      </c>
      <c r="C132" s="1" t="s">
        <v>221</v>
      </c>
      <c r="D132" s="1" t="s">
        <v>12</v>
      </c>
      <c r="E132" s="12">
        <v>6215</v>
      </c>
      <c r="F132" s="12" t="s">
        <v>13</v>
      </c>
      <c r="G132" s="6">
        <v>1626.49</v>
      </c>
      <c r="H132" s="1">
        <v>17.37</v>
      </c>
      <c r="J132" t="str">
        <f t="shared" si="24"/>
        <v>OK</v>
      </c>
      <c r="K132" t="str">
        <f t="shared" si="25"/>
        <v>OK</v>
      </c>
      <c r="L132">
        <f t="shared" si="34"/>
        <v>12</v>
      </c>
      <c r="M132">
        <f t="shared" si="26"/>
        <v>10</v>
      </c>
      <c r="N132" s="9" t="str">
        <f t="shared" si="23"/>
        <v>Valid</v>
      </c>
      <c r="O132" t="str">
        <f t="shared" si="27"/>
        <v>Include</v>
      </c>
      <c r="P132" s="9">
        <f t="shared" si="28"/>
        <v>2035068.5799999984</v>
      </c>
      <c r="Q132" s="15">
        <f t="shared" si="29"/>
        <v>7469725</v>
      </c>
      <c r="R132" s="9">
        <f t="shared" si="30"/>
        <v>6215</v>
      </c>
      <c r="S132" s="9">
        <f t="shared" si="31"/>
        <v>7469725</v>
      </c>
      <c r="T132" s="15">
        <f t="shared" si="32"/>
        <v>16.686436250344954</v>
      </c>
      <c r="U132" s="15">
        <f>IF(O132="Exclude",0,G132*Fuel_Price!$B$2)</f>
        <v>2389.6391080000003</v>
      </c>
      <c r="V132" s="15">
        <f t="shared" si="33"/>
        <v>2989922.7577359979</v>
      </c>
    </row>
    <row r="133" spans="1:22">
      <c r="A133" s="1" t="s">
        <v>304</v>
      </c>
      <c r="B133" s="1" t="s">
        <v>305</v>
      </c>
      <c r="C133" s="1" t="s">
        <v>221</v>
      </c>
      <c r="D133" s="1" t="s">
        <v>12</v>
      </c>
      <c r="E133" s="12">
        <v>14387</v>
      </c>
      <c r="F133" s="12" t="s">
        <v>13</v>
      </c>
      <c r="G133" s="6">
        <v>2979.03</v>
      </c>
      <c r="H133" s="1">
        <v>21.96</v>
      </c>
      <c r="J133" t="str">
        <f t="shared" si="24"/>
        <v>OK</v>
      </c>
      <c r="K133" t="str">
        <f t="shared" si="25"/>
        <v>OK</v>
      </c>
      <c r="L133">
        <f t="shared" si="34"/>
        <v>12</v>
      </c>
      <c r="M133">
        <f t="shared" si="26"/>
        <v>10</v>
      </c>
      <c r="N133" s="9" t="str">
        <f t="shared" si="23"/>
        <v>Valid</v>
      </c>
      <c r="O133" t="str">
        <f t="shared" si="27"/>
        <v>Include</v>
      </c>
      <c r="P133" s="9">
        <f t="shared" si="28"/>
        <v>2035068.5799999984</v>
      </c>
      <c r="Q133" s="15">
        <f t="shared" si="29"/>
        <v>7469725</v>
      </c>
      <c r="R133" s="9">
        <f t="shared" si="30"/>
        <v>14387</v>
      </c>
      <c r="S133" s="9">
        <f t="shared" si="31"/>
        <v>7469725</v>
      </c>
      <c r="T133" s="15">
        <f t="shared" si="32"/>
        <v>16.686436250344954</v>
      </c>
      <c r="U133" s="15">
        <f>IF(O133="Exclude",0,G133*Fuel_Price!$B$2)</f>
        <v>4376.790876</v>
      </c>
      <c r="V133" s="15">
        <f t="shared" si="33"/>
        <v>2989922.7577359979</v>
      </c>
    </row>
    <row r="134" spans="1:22">
      <c r="A134" s="1" t="s">
        <v>306</v>
      </c>
      <c r="B134" s="1" t="s">
        <v>307</v>
      </c>
      <c r="C134" s="1" t="s">
        <v>221</v>
      </c>
      <c r="D134" s="1" t="s">
        <v>12</v>
      </c>
      <c r="E134" s="12">
        <v>7175</v>
      </c>
      <c r="F134" s="12" t="s">
        <v>13</v>
      </c>
      <c r="G134" s="6">
        <v>1722.76</v>
      </c>
      <c r="H134" s="1">
        <v>18.93</v>
      </c>
      <c r="J134" t="str">
        <f t="shared" si="24"/>
        <v>OK</v>
      </c>
      <c r="K134" t="str">
        <f t="shared" si="25"/>
        <v>OK</v>
      </c>
      <c r="L134">
        <f t="shared" si="34"/>
        <v>12</v>
      </c>
      <c r="M134">
        <f t="shared" si="26"/>
        <v>10</v>
      </c>
      <c r="N134" s="9" t="str">
        <f t="shared" si="23"/>
        <v>Valid</v>
      </c>
      <c r="O134" t="str">
        <f t="shared" si="27"/>
        <v>Include</v>
      </c>
      <c r="P134" s="9">
        <f t="shared" si="28"/>
        <v>2035068.5799999984</v>
      </c>
      <c r="Q134" s="15">
        <f t="shared" si="29"/>
        <v>7469725</v>
      </c>
      <c r="R134" s="9">
        <f t="shared" si="30"/>
        <v>7175</v>
      </c>
      <c r="S134" s="9">
        <f t="shared" si="31"/>
        <v>7469725</v>
      </c>
      <c r="T134" s="15">
        <f t="shared" si="32"/>
        <v>16.686436250344954</v>
      </c>
      <c r="U134" s="15">
        <f>IF(O134="Exclude",0,G134*Fuel_Price!$B$2)</f>
        <v>2531.0789920000002</v>
      </c>
      <c r="V134" s="15">
        <f t="shared" si="33"/>
        <v>2989922.7577359979</v>
      </c>
    </row>
    <row r="135" spans="1:22">
      <c r="A135" s="1" t="s">
        <v>308</v>
      </c>
      <c r="B135" s="1" t="s">
        <v>309</v>
      </c>
      <c r="C135" s="1" t="s">
        <v>221</v>
      </c>
      <c r="D135" s="1" t="s">
        <v>12</v>
      </c>
      <c r="E135" s="12">
        <v>11762</v>
      </c>
      <c r="F135" s="12" t="s">
        <v>13</v>
      </c>
      <c r="G135" s="6">
        <v>2840</v>
      </c>
      <c r="H135" s="1">
        <v>18.829999999999998</v>
      </c>
      <c r="J135" t="str">
        <f t="shared" si="24"/>
        <v>OK</v>
      </c>
      <c r="K135" t="str">
        <f t="shared" si="25"/>
        <v>OK</v>
      </c>
      <c r="L135">
        <f t="shared" si="34"/>
        <v>12</v>
      </c>
      <c r="M135">
        <f t="shared" si="26"/>
        <v>10</v>
      </c>
      <c r="N135" s="9" t="str">
        <f t="shared" ref="N135:N198" si="35">IF(OR(H135&lt;=0,H135&gt;100,E135&lt;0),"Review","Valid")</f>
        <v>Valid</v>
      </c>
      <c r="O135" t="str">
        <f t="shared" si="27"/>
        <v>Include</v>
      </c>
      <c r="P135" s="9">
        <f t="shared" si="28"/>
        <v>2035068.5799999984</v>
      </c>
      <c r="Q135" s="15">
        <f t="shared" si="29"/>
        <v>7469725</v>
      </c>
      <c r="R135" s="9">
        <f t="shared" si="30"/>
        <v>11762</v>
      </c>
      <c r="S135" s="9">
        <f t="shared" si="31"/>
        <v>7469725</v>
      </c>
      <c r="T135" s="15">
        <f t="shared" si="32"/>
        <v>16.686436250344954</v>
      </c>
      <c r="U135" s="15">
        <f>IF(O135="Exclude",0,G135*Fuel_Price!$B$2)</f>
        <v>4172.5280000000002</v>
      </c>
      <c r="V135" s="15">
        <f t="shared" si="33"/>
        <v>2989922.7577359979</v>
      </c>
    </row>
    <row r="136" spans="1:22">
      <c r="A136" s="1" t="s">
        <v>310</v>
      </c>
      <c r="B136" s="1" t="s">
        <v>311</v>
      </c>
      <c r="C136" s="1" t="s">
        <v>221</v>
      </c>
      <c r="D136" s="1" t="s">
        <v>12</v>
      </c>
      <c r="E136" s="12">
        <v>16263</v>
      </c>
      <c r="F136" s="12" t="s">
        <v>13</v>
      </c>
      <c r="G136" s="6">
        <v>3566.24</v>
      </c>
      <c r="H136" s="1">
        <v>20.73</v>
      </c>
      <c r="J136" t="str">
        <f t="shared" si="24"/>
        <v>OK</v>
      </c>
      <c r="K136" t="str">
        <f t="shared" si="25"/>
        <v>OK</v>
      </c>
      <c r="L136">
        <f t="shared" si="34"/>
        <v>12</v>
      </c>
      <c r="M136">
        <f t="shared" si="26"/>
        <v>10</v>
      </c>
      <c r="N136" s="9" t="str">
        <f t="shared" si="35"/>
        <v>Valid</v>
      </c>
      <c r="O136" t="str">
        <f t="shared" si="27"/>
        <v>Include</v>
      </c>
      <c r="P136" s="9">
        <f t="shared" si="28"/>
        <v>2035068.5799999984</v>
      </c>
      <c r="Q136" s="15">
        <f t="shared" si="29"/>
        <v>7469725</v>
      </c>
      <c r="R136" s="9">
        <f t="shared" si="30"/>
        <v>16263</v>
      </c>
      <c r="S136" s="9">
        <f t="shared" si="31"/>
        <v>7469725</v>
      </c>
      <c r="T136" s="15">
        <f t="shared" si="32"/>
        <v>16.686436250344954</v>
      </c>
      <c r="U136" s="15">
        <f>IF(O136="Exclude",0,G136*Fuel_Price!$B$2)</f>
        <v>5239.519808</v>
      </c>
      <c r="V136" s="15">
        <f t="shared" si="33"/>
        <v>2989922.7577359979</v>
      </c>
    </row>
    <row r="137" spans="1:22">
      <c r="A137" s="1" t="s">
        <v>312</v>
      </c>
      <c r="B137" s="1" t="s">
        <v>313</v>
      </c>
      <c r="C137" s="1" t="s">
        <v>221</v>
      </c>
      <c r="D137" s="1" t="s">
        <v>12</v>
      </c>
      <c r="E137" s="12">
        <v>7284</v>
      </c>
      <c r="F137" s="12" t="s">
        <v>13</v>
      </c>
      <c r="G137" s="6">
        <v>1827.59</v>
      </c>
      <c r="H137" s="1">
        <v>18.12</v>
      </c>
      <c r="J137" t="str">
        <f t="shared" si="24"/>
        <v>OK</v>
      </c>
      <c r="K137" t="str">
        <f t="shared" si="25"/>
        <v>OK</v>
      </c>
      <c r="L137">
        <f t="shared" si="34"/>
        <v>12</v>
      </c>
      <c r="M137">
        <f t="shared" si="26"/>
        <v>10</v>
      </c>
      <c r="N137" s="9" t="str">
        <f t="shared" si="35"/>
        <v>Valid</v>
      </c>
      <c r="O137" t="str">
        <f t="shared" si="27"/>
        <v>Include</v>
      </c>
      <c r="P137" s="9">
        <f t="shared" si="28"/>
        <v>2035068.5799999984</v>
      </c>
      <c r="Q137" s="15">
        <f t="shared" si="29"/>
        <v>7469725</v>
      </c>
      <c r="R137" s="9">
        <f t="shared" si="30"/>
        <v>7284</v>
      </c>
      <c r="S137" s="9">
        <f t="shared" si="31"/>
        <v>7469725</v>
      </c>
      <c r="T137" s="15">
        <f t="shared" si="32"/>
        <v>16.686436250344954</v>
      </c>
      <c r="U137" s="15">
        <f>IF(O137="Exclude",0,G137*Fuel_Price!$B$2)</f>
        <v>2685.0952280000001</v>
      </c>
      <c r="V137" s="15">
        <f t="shared" si="33"/>
        <v>2989922.7577359979</v>
      </c>
    </row>
    <row r="138" spans="1:22">
      <c r="A138" s="1" t="s">
        <v>314</v>
      </c>
      <c r="B138" s="1" t="s">
        <v>315</v>
      </c>
      <c r="C138" s="1" t="s">
        <v>316</v>
      </c>
      <c r="D138" s="1" t="s">
        <v>12</v>
      </c>
      <c r="E138" s="12">
        <v>7786</v>
      </c>
      <c r="F138" s="12" t="s">
        <v>13</v>
      </c>
      <c r="G138" s="6">
        <v>1712.66</v>
      </c>
      <c r="H138" s="1">
        <v>20.67</v>
      </c>
      <c r="J138" t="str">
        <f t="shared" si="24"/>
        <v>OK</v>
      </c>
      <c r="K138" t="str">
        <f t="shared" si="25"/>
        <v>OK</v>
      </c>
      <c r="L138">
        <f t="shared" si="34"/>
        <v>12</v>
      </c>
      <c r="M138">
        <f t="shared" si="26"/>
        <v>10</v>
      </c>
      <c r="N138" s="9" t="str">
        <f t="shared" si="35"/>
        <v>Valid</v>
      </c>
      <c r="O138" t="str">
        <f t="shared" si="27"/>
        <v>Include</v>
      </c>
      <c r="P138" s="9">
        <f t="shared" si="28"/>
        <v>2035068.5799999984</v>
      </c>
      <c r="Q138" s="15">
        <f t="shared" si="29"/>
        <v>7469725</v>
      </c>
      <c r="R138" s="9">
        <f t="shared" si="30"/>
        <v>7786</v>
      </c>
      <c r="S138" s="9">
        <f t="shared" si="31"/>
        <v>7469725</v>
      </c>
      <c r="T138" s="15">
        <f t="shared" si="32"/>
        <v>16.686436250344954</v>
      </c>
      <c r="U138" s="15">
        <f>IF(O138="Exclude",0,G138*Fuel_Price!$B$2)</f>
        <v>2516.2400720000001</v>
      </c>
      <c r="V138" s="15">
        <f t="shared" si="33"/>
        <v>2989922.7577359979</v>
      </c>
    </row>
    <row r="139" spans="1:22">
      <c r="A139" s="1" t="s">
        <v>317</v>
      </c>
      <c r="B139" s="1" t="s">
        <v>318</v>
      </c>
      <c r="C139" s="1" t="s">
        <v>316</v>
      </c>
      <c r="D139" s="1" t="s">
        <v>12</v>
      </c>
      <c r="E139" s="12">
        <v>9742</v>
      </c>
      <c r="F139" s="12" t="s">
        <v>13</v>
      </c>
      <c r="G139" s="6">
        <v>2375.56</v>
      </c>
      <c r="H139" s="1">
        <v>18.64</v>
      </c>
      <c r="J139" t="str">
        <f t="shared" si="24"/>
        <v>OK</v>
      </c>
      <c r="K139" t="str">
        <f t="shared" si="25"/>
        <v>OK</v>
      </c>
      <c r="L139">
        <f t="shared" si="34"/>
        <v>12</v>
      </c>
      <c r="M139">
        <f t="shared" si="26"/>
        <v>10</v>
      </c>
      <c r="N139" s="9" t="str">
        <f t="shared" si="35"/>
        <v>Valid</v>
      </c>
      <c r="O139" t="str">
        <f t="shared" si="27"/>
        <v>Include</v>
      </c>
      <c r="P139" s="9">
        <f t="shared" si="28"/>
        <v>2035068.5799999984</v>
      </c>
      <c r="Q139" s="15">
        <f t="shared" si="29"/>
        <v>7469725</v>
      </c>
      <c r="R139" s="9">
        <f t="shared" si="30"/>
        <v>9742</v>
      </c>
      <c r="S139" s="9">
        <f t="shared" si="31"/>
        <v>7469725</v>
      </c>
      <c r="T139" s="15">
        <f t="shared" si="32"/>
        <v>16.686436250344954</v>
      </c>
      <c r="U139" s="15">
        <f>IF(O139="Exclude",0,G139*Fuel_Price!$B$2)</f>
        <v>3490.1727519999999</v>
      </c>
      <c r="V139" s="15">
        <f t="shared" si="33"/>
        <v>2989922.7577359979</v>
      </c>
    </row>
    <row r="140" spans="1:22">
      <c r="A140" s="1" t="s">
        <v>319</v>
      </c>
      <c r="B140" s="1" t="s">
        <v>320</v>
      </c>
      <c r="C140" s="1" t="s">
        <v>316</v>
      </c>
      <c r="D140" s="1" t="s">
        <v>12</v>
      </c>
      <c r="E140" s="12">
        <v>20226</v>
      </c>
      <c r="F140" s="12" t="s">
        <v>13</v>
      </c>
      <c r="G140" s="6">
        <v>4402.6400000000003</v>
      </c>
      <c r="H140" s="1">
        <v>20.89</v>
      </c>
      <c r="J140" t="str">
        <f t="shared" si="24"/>
        <v>OK</v>
      </c>
      <c r="K140" t="str">
        <f t="shared" si="25"/>
        <v>OK</v>
      </c>
      <c r="L140">
        <f t="shared" si="34"/>
        <v>12</v>
      </c>
      <c r="M140">
        <f t="shared" si="26"/>
        <v>10</v>
      </c>
      <c r="N140" s="9" t="str">
        <f t="shared" si="35"/>
        <v>Valid</v>
      </c>
      <c r="O140" t="str">
        <f t="shared" si="27"/>
        <v>Include</v>
      </c>
      <c r="P140" s="9">
        <f t="shared" si="28"/>
        <v>2035068.5799999984</v>
      </c>
      <c r="Q140" s="15">
        <f t="shared" si="29"/>
        <v>7469725</v>
      </c>
      <c r="R140" s="9">
        <f t="shared" si="30"/>
        <v>20226</v>
      </c>
      <c r="S140" s="9">
        <f t="shared" si="31"/>
        <v>7469725</v>
      </c>
      <c r="T140" s="15">
        <f t="shared" si="32"/>
        <v>16.686436250344954</v>
      </c>
      <c r="U140" s="15">
        <f>IF(O140="Exclude",0,G140*Fuel_Price!$B$2)</f>
        <v>6468.3586880000012</v>
      </c>
      <c r="V140" s="15">
        <f t="shared" si="33"/>
        <v>2989922.7577359979</v>
      </c>
    </row>
    <row r="141" spans="1:22">
      <c r="A141" s="1" t="s">
        <v>321</v>
      </c>
      <c r="B141" s="1" t="s">
        <v>322</v>
      </c>
      <c r="C141" s="1" t="s">
        <v>316</v>
      </c>
      <c r="D141" s="1" t="s">
        <v>12</v>
      </c>
      <c r="E141" s="12">
        <v>21068</v>
      </c>
      <c r="F141" s="12" t="s">
        <v>13</v>
      </c>
      <c r="G141" s="6">
        <v>4116.21</v>
      </c>
      <c r="H141" s="1">
        <v>23.27</v>
      </c>
      <c r="J141" t="str">
        <f t="shared" si="24"/>
        <v>OK</v>
      </c>
      <c r="K141" t="str">
        <f t="shared" si="25"/>
        <v>OK</v>
      </c>
      <c r="L141">
        <f t="shared" si="34"/>
        <v>12</v>
      </c>
      <c r="M141">
        <f t="shared" si="26"/>
        <v>10</v>
      </c>
      <c r="N141" s="9" t="str">
        <f t="shared" si="35"/>
        <v>Valid</v>
      </c>
      <c r="O141" t="str">
        <f t="shared" si="27"/>
        <v>Include</v>
      </c>
      <c r="P141" s="9">
        <f t="shared" si="28"/>
        <v>2035068.5799999984</v>
      </c>
      <c r="Q141" s="15">
        <f t="shared" si="29"/>
        <v>7469725</v>
      </c>
      <c r="R141" s="9">
        <f t="shared" si="30"/>
        <v>21068</v>
      </c>
      <c r="S141" s="9">
        <f t="shared" si="31"/>
        <v>7469725</v>
      </c>
      <c r="T141" s="15">
        <f t="shared" si="32"/>
        <v>16.686436250344954</v>
      </c>
      <c r="U141" s="15">
        <f>IF(O141="Exclude",0,G141*Fuel_Price!$B$2)</f>
        <v>6047.5357320000003</v>
      </c>
      <c r="V141" s="15">
        <f t="shared" si="33"/>
        <v>2989922.7577359979</v>
      </c>
    </row>
    <row r="142" spans="1:22">
      <c r="A142" s="1" t="s">
        <v>323</v>
      </c>
      <c r="B142" s="1" t="s">
        <v>324</v>
      </c>
      <c r="C142" s="1" t="s">
        <v>316</v>
      </c>
      <c r="D142" s="1" t="s">
        <v>12</v>
      </c>
      <c r="E142" s="12">
        <v>12965</v>
      </c>
      <c r="F142" s="12" t="s">
        <v>13</v>
      </c>
      <c r="G142" s="6">
        <v>2977.9</v>
      </c>
      <c r="H142" s="1">
        <v>19.79</v>
      </c>
      <c r="J142" t="str">
        <f t="shared" si="24"/>
        <v>OK</v>
      </c>
      <c r="K142" t="str">
        <f t="shared" si="25"/>
        <v>OK</v>
      </c>
      <c r="L142">
        <f t="shared" si="34"/>
        <v>12</v>
      </c>
      <c r="M142">
        <f t="shared" si="26"/>
        <v>10</v>
      </c>
      <c r="N142" s="9" t="str">
        <f t="shared" si="35"/>
        <v>Valid</v>
      </c>
      <c r="O142" t="str">
        <f t="shared" si="27"/>
        <v>Include</v>
      </c>
      <c r="P142" s="9">
        <f t="shared" si="28"/>
        <v>2035068.5799999984</v>
      </c>
      <c r="Q142" s="15">
        <f t="shared" si="29"/>
        <v>7469725</v>
      </c>
      <c r="R142" s="9">
        <f t="shared" si="30"/>
        <v>12965</v>
      </c>
      <c r="S142" s="9">
        <f t="shared" si="31"/>
        <v>7469725</v>
      </c>
      <c r="T142" s="15">
        <f t="shared" si="32"/>
        <v>16.686436250344954</v>
      </c>
      <c r="U142" s="15">
        <f>IF(O142="Exclude",0,G142*Fuel_Price!$B$2)</f>
        <v>4375.1306800000002</v>
      </c>
      <c r="V142" s="15">
        <f t="shared" si="33"/>
        <v>2989922.7577359979</v>
      </c>
    </row>
    <row r="143" spans="1:22">
      <c r="A143" s="1" t="s">
        <v>325</v>
      </c>
      <c r="B143" s="1" t="s">
        <v>326</v>
      </c>
      <c r="C143" s="1" t="s">
        <v>249</v>
      </c>
      <c r="D143" s="1" t="s">
        <v>12</v>
      </c>
      <c r="E143" s="12">
        <v>5710</v>
      </c>
      <c r="F143" s="12" t="s">
        <v>13</v>
      </c>
      <c r="G143" s="6">
        <v>1240.3399999999999</v>
      </c>
      <c r="H143" s="1">
        <v>20.93</v>
      </c>
      <c r="J143" t="str">
        <f t="shared" si="24"/>
        <v>OK</v>
      </c>
      <c r="K143" t="str">
        <f t="shared" si="25"/>
        <v>OK</v>
      </c>
      <c r="L143">
        <f t="shared" si="34"/>
        <v>12</v>
      </c>
      <c r="M143">
        <f t="shared" si="26"/>
        <v>10</v>
      </c>
      <c r="N143" s="9" t="str">
        <f t="shared" si="35"/>
        <v>Valid</v>
      </c>
      <c r="O143" t="str">
        <f t="shared" si="27"/>
        <v>Include</v>
      </c>
      <c r="P143" s="9">
        <f t="shared" si="28"/>
        <v>2035068.5799999984</v>
      </c>
      <c r="Q143" s="15">
        <f t="shared" si="29"/>
        <v>7469725</v>
      </c>
      <c r="R143" s="9">
        <f t="shared" si="30"/>
        <v>5710</v>
      </c>
      <c r="S143" s="9">
        <f t="shared" si="31"/>
        <v>7469725</v>
      </c>
      <c r="T143" s="15">
        <f t="shared" si="32"/>
        <v>16.686436250344954</v>
      </c>
      <c r="U143" s="15">
        <f>IF(O143="Exclude",0,G143*Fuel_Price!$B$2)</f>
        <v>1822.307528</v>
      </c>
      <c r="V143" s="15">
        <f t="shared" si="33"/>
        <v>2989922.7577359979</v>
      </c>
    </row>
    <row r="144" spans="1:22">
      <c r="A144" s="1" t="s">
        <v>327</v>
      </c>
      <c r="B144" s="1" t="s">
        <v>328</v>
      </c>
      <c r="C144" s="1" t="s">
        <v>249</v>
      </c>
      <c r="D144" s="1" t="s">
        <v>12</v>
      </c>
      <c r="E144" s="12">
        <v>5090</v>
      </c>
      <c r="F144" s="12" t="s">
        <v>13</v>
      </c>
      <c r="G144" s="6">
        <v>1144.3900000000001</v>
      </c>
      <c r="H144" s="1">
        <v>20.22</v>
      </c>
      <c r="J144" t="str">
        <f t="shared" si="24"/>
        <v>OK</v>
      </c>
      <c r="K144" t="str">
        <f t="shared" si="25"/>
        <v>OK</v>
      </c>
      <c r="L144">
        <f t="shared" si="34"/>
        <v>12</v>
      </c>
      <c r="M144">
        <f t="shared" si="26"/>
        <v>10</v>
      </c>
      <c r="N144" s="9" t="str">
        <f t="shared" si="35"/>
        <v>Valid</v>
      </c>
      <c r="O144" t="str">
        <f t="shared" si="27"/>
        <v>Include</v>
      </c>
      <c r="P144" s="9">
        <f t="shared" si="28"/>
        <v>2035068.5799999984</v>
      </c>
      <c r="Q144" s="15">
        <f t="shared" si="29"/>
        <v>7469725</v>
      </c>
      <c r="R144" s="9">
        <f t="shared" si="30"/>
        <v>5090</v>
      </c>
      <c r="S144" s="9">
        <f t="shared" si="31"/>
        <v>7469725</v>
      </c>
      <c r="T144" s="15">
        <f t="shared" si="32"/>
        <v>16.686436250344954</v>
      </c>
      <c r="U144" s="15">
        <f>IF(O144="Exclude",0,G144*Fuel_Price!$B$2)</f>
        <v>1681.3377880000003</v>
      </c>
      <c r="V144" s="15">
        <f t="shared" si="33"/>
        <v>2989922.7577359979</v>
      </c>
    </row>
    <row r="145" spans="1:22">
      <c r="A145" s="1" t="s">
        <v>329</v>
      </c>
      <c r="B145" s="1" t="s">
        <v>330</v>
      </c>
      <c r="C145" s="1" t="s">
        <v>249</v>
      </c>
      <c r="D145" s="1" t="s">
        <v>12</v>
      </c>
      <c r="E145" s="12">
        <v>191</v>
      </c>
      <c r="F145" s="12" t="s">
        <v>13</v>
      </c>
      <c r="G145" s="6">
        <v>94.05</v>
      </c>
      <c r="H145" s="1">
        <v>9.23</v>
      </c>
      <c r="J145" t="str">
        <f t="shared" si="24"/>
        <v>OK</v>
      </c>
      <c r="K145" t="str">
        <f t="shared" si="25"/>
        <v>OK</v>
      </c>
      <c r="L145">
        <f t="shared" si="34"/>
        <v>12</v>
      </c>
      <c r="M145">
        <f t="shared" si="26"/>
        <v>10</v>
      </c>
      <c r="N145" s="9" t="str">
        <f t="shared" si="35"/>
        <v>Valid</v>
      </c>
      <c r="O145" t="str">
        <f t="shared" si="27"/>
        <v>Include</v>
      </c>
      <c r="P145" s="9">
        <f t="shared" si="28"/>
        <v>2035068.5799999984</v>
      </c>
      <c r="Q145" s="15">
        <f t="shared" si="29"/>
        <v>7469725</v>
      </c>
      <c r="R145" s="9">
        <f t="shared" si="30"/>
        <v>191</v>
      </c>
      <c r="S145" s="9">
        <f t="shared" si="31"/>
        <v>7469725</v>
      </c>
      <c r="T145" s="15">
        <f t="shared" si="32"/>
        <v>16.686436250344954</v>
      </c>
      <c r="U145" s="15">
        <f>IF(O145="Exclude",0,G145*Fuel_Price!$B$2)</f>
        <v>138.17825999999999</v>
      </c>
      <c r="V145" s="15">
        <f t="shared" si="33"/>
        <v>2989922.7577359979</v>
      </c>
    </row>
    <row r="146" spans="1:22">
      <c r="A146" s="1" t="s">
        <v>331</v>
      </c>
      <c r="B146" s="1" t="s">
        <v>332</v>
      </c>
      <c r="C146" s="1" t="s">
        <v>249</v>
      </c>
      <c r="D146" s="1" t="s">
        <v>12</v>
      </c>
      <c r="E146" s="12">
        <v>604</v>
      </c>
      <c r="F146" s="12" t="s">
        <v>13</v>
      </c>
      <c r="G146" s="6">
        <v>183.37</v>
      </c>
      <c r="H146" s="1">
        <v>14.97</v>
      </c>
      <c r="J146" t="str">
        <f t="shared" si="24"/>
        <v>OK</v>
      </c>
      <c r="K146" t="str">
        <f t="shared" si="25"/>
        <v>OK</v>
      </c>
      <c r="L146">
        <f t="shared" si="34"/>
        <v>12</v>
      </c>
      <c r="M146">
        <f t="shared" si="26"/>
        <v>10</v>
      </c>
      <c r="N146" s="9" t="str">
        <f t="shared" si="35"/>
        <v>Valid</v>
      </c>
      <c r="O146" t="str">
        <f t="shared" si="27"/>
        <v>Include</v>
      </c>
      <c r="P146" s="9">
        <f t="shared" si="28"/>
        <v>2035068.5799999984</v>
      </c>
      <c r="Q146" s="15">
        <f t="shared" si="29"/>
        <v>7469725</v>
      </c>
      <c r="R146" s="9">
        <f t="shared" si="30"/>
        <v>604</v>
      </c>
      <c r="S146" s="9">
        <f t="shared" si="31"/>
        <v>7469725</v>
      </c>
      <c r="T146" s="15">
        <f t="shared" si="32"/>
        <v>16.686436250344954</v>
      </c>
      <c r="U146" s="15">
        <f>IF(O146="Exclude",0,G146*Fuel_Price!$B$2)</f>
        <v>269.40720400000004</v>
      </c>
      <c r="V146" s="15">
        <f t="shared" si="33"/>
        <v>2989922.7577359979</v>
      </c>
    </row>
    <row r="147" spans="1:22">
      <c r="A147" s="1" t="s">
        <v>333</v>
      </c>
      <c r="B147" s="1" t="s">
        <v>334</v>
      </c>
      <c r="C147" s="1" t="s">
        <v>249</v>
      </c>
      <c r="D147" s="1" t="s">
        <v>12</v>
      </c>
      <c r="E147" s="12">
        <v>198</v>
      </c>
      <c r="F147" s="12" t="s">
        <v>13</v>
      </c>
      <c r="G147" s="6">
        <v>81.290000000000006</v>
      </c>
      <c r="H147" s="1">
        <v>11.07</v>
      </c>
      <c r="J147" t="str">
        <f t="shared" si="24"/>
        <v>OK</v>
      </c>
      <c r="K147" t="str">
        <f t="shared" si="25"/>
        <v>OK</v>
      </c>
      <c r="L147">
        <f t="shared" si="34"/>
        <v>12</v>
      </c>
      <c r="M147">
        <f t="shared" si="26"/>
        <v>10</v>
      </c>
      <c r="N147" s="9" t="str">
        <f t="shared" si="35"/>
        <v>Valid</v>
      </c>
      <c r="O147" t="str">
        <f t="shared" si="27"/>
        <v>Include</v>
      </c>
      <c r="P147" s="9">
        <f t="shared" si="28"/>
        <v>2035068.5799999984</v>
      </c>
      <c r="Q147" s="15">
        <f t="shared" si="29"/>
        <v>7469725</v>
      </c>
      <c r="R147" s="9">
        <f t="shared" si="30"/>
        <v>198</v>
      </c>
      <c r="S147" s="9">
        <f t="shared" si="31"/>
        <v>7469725</v>
      </c>
      <c r="T147" s="15">
        <f t="shared" si="32"/>
        <v>16.686436250344954</v>
      </c>
      <c r="U147" s="15">
        <f>IF(O147="Exclude",0,G147*Fuel_Price!$B$2)</f>
        <v>119.43126800000002</v>
      </c>
      <c r="V147" s="15">
        <f t="shared" si="33"/>
        <v>2989922.7577359979</v>
      </c>
    </row>
    <row r="148" spans="1:22">
      <c r="A148" s="1" t="s">
        <v>335</v>
      </c>
      <c r="B148" s="1" t="s">
        <v>336</v>
      </c>
      <c r="C148" s="1" t="s">
        <v>249</v>
      </c>
      <c r="D148" s="1" t="s">
        <v>12</v>
      </c>
      <c r="E148" s="12">
        <v>912</v>
      </c>
      <c r="F148" s="12" t="s">
        <v>13</v>
      </c>
      <c r="G148" s="6">
        <v>286.81</v>
      </c>
      <c r="H148" s="1">
        <v>14.46</v>
      </c>
      <c r="J148" t="str">
        <f t="shared" si="24"/>
        <v>OK</v>
      </c>
      <c r="K148" t="str">
        <f t="shared" si="25"/>
        <v>OK</v>
      </c>
      <c r="L148">
        <f t="shared" si="34"/>
        <v>12</v>
      </c>
      <c r="M148">
        <f t="shared" si="26"/>
        <v>10</v>
      </c>
      <c r="N148" s="9" t="str">
        <f t="shared" si="35"/>
        <v>Valid</v>
      </c>
      <c r="O148" t="str">
        <f t="shared" si="27"/>
        <v>Include</v>
      </c>
      <c r="P148" s="9">
        <f t="shared" si="28"/>
        <v>2035068.5799999984</v>
      </c>
      <c r="Q148" s="15">
        <f t="shared" si="29"/>
        <v>7469725</v>
      </c>
      <c r="R148" s="9">
        <f t="shared" si="30"/>
        <v>912</v>
      </c>
      <c r="S148" s="9">
        <f t="shared" si="31"/>
        <v>7469725</v>
      </c>
      <c r="T148" s="15">
        <f t="shared" si="32"/>
        <v>16.686436250344954</v>
      </c>
      <c r="U148" s="15">
        <f>IF(O148="Exclude",0,G148*Fuel_Price!$B$2)</f>
        <v>421.38125200000002</v>
      </c>
      <c r="V148" s="15">
        <f t="shared" si="33"/>
        <v>2989922.7577359979</v>
      </c>
    </row>
    <row r="149" spans="1:22">
      <c r="A149" s="1" t="s">
        <v>337</v>
      </c>
      <c r="B149" s="1" t="s">
        <v>338</v>
      </c>
      <c r="C149" s="1" t="s">
        <v>339</v>
      </c>
      <c r="D149" s="1" t="s">
        <v>12</v>
      </c>
      <c r="E149" s="12">
        <v>4038</v>
      </c>
      <c r="F149" s="12" t="s">
        <v>13</v>
      </c>
      <c r="G149" s="6">
        <v>572.62</v>
      </c>
      <c r="H149" s="1">
        <v>32.06</v>
      </c>
      <c r="J149" t="str">
        <f t="shared" si="24"/>
        <v>OK</v>
      </c>
      <c r="K149" t="str">
        <f t="shared" si="25"/>
        <v>OK</v>
      </c>
      <c r="L149">
        <f t="shared" si="34"/>
        <v>12</v>
      </c>
      <c r="M149">
        <f t="shared" si="26"/>
        <v>10</v>
      </c>
      <c r="N149" s="9" t="str">
        <f t="shared" si="35"/>
        <v>Valid</v>
      </c>
      <c r="O149" t="str">
        <f t="shared" si="27"/>
        <v>Include</v>
      </c>
      <c r="P149" s="9">
        <f t="shared" si="28"/>
        <v>2035068.5799999984</v>
      </c>
      <c r="Q149" s="15">
        <f t="shared" si="29"/>
        <v>7469725</v>
      </c>
      <c r="R149" s="9">
        <f t="shared" si="30"/>
        <v>4038</v>
      </c>
      <c r="S149" s="9">
        <f t="shared" si="31"/>
        <v>7469725</v>
      </c>
      <c r="T149" s="15">
        <f t="shared" si="32"/>
        <v>16.686436250344954</v>
      </c>
      <c r="U149" s="15">
        <f>IF(O149="Exclude",0,G149*Fuel_Price!$B$2)</f>
        <v>841.29330400000003</v>
      </c>
      <c r="V149" s="15">
        <f t="shared" si="33"/>
        <v>2989922.7577359979</v>
      </c>
    </row>
    <row r="150" spans="1:22">
      <c r="A150" s="1" t="s">
        <v>340</v>
      </c>
      <c r="B150" s="1" t="s">
        <v>341</v>
      </c>
      <c r="C150" s="1" t="s">
        <v>339</v>
      </c>
      <c r="D150" s="1" t="s">
        <v>12</v>
      </c>
      <c r="E150" s="12">
        <v>2673</v>
      </c>
      <c r="F150" s="12" t="s">
        <v>13</v>
      </c>
      <c r="G150" s="6">
        <v>307.99</v>
      </c>
      <c r="H150" s="1">
        <v>39.450000000000003</v>
      </c>
      <c r="J150" t="str">
        <f t="shared" si="24"/>
        <v>OK</v>
      </c>
      <c r="K150" t="str">
        <f t="shared" si="25"/>
        <v>OK</v>
      </c>
      <c r="L150">
        <f t="shared" si="34"/>
        <v>12</v>
      </c>
      <c r="M150">
        <f t="shared" si="26"/>
        <v>10</v>
      </c>
      <c r="N150" s="9" t="str">
        <f t="shared" si="35"/>
        <v>Valid</v>
      </c>
      <c r="O150" t="str">
        <f t="shared" si="27"/>
        <v>Include</v>
      </c>
      <c r="P150" s="9">
        <f t="shared" si="28"/>
        <v>2035068.5799999984</v>
      </c>
      <c r="Q150" s="15">
        <f t="shared" si="29"/>
        <v>7469725</v>
      </c>
      <c r="R150" s="9">
        <f t="shared" si="30"/>
        <v>2673</v>
      </c>
      <c r="S150" s="9">
        <f t="shared" si="31"/>
        <v>7469725</v>
      </c>
      <c r="T150" s="15">
        <f t="shared" si="32"/>
        <v>16.686436250344954</v>
      </c>
      <c r="U150" s="15">
        <f>IF(O150="Exclude",0,G150*Fuel_Price!$B$2)</f>
        <v>452.49890800000003</v>
      </c>
      <c r="V150" s="15">
        <f t="shared" si="33"/>
        <v>2989922.7577359979</v>
      </c>
    </row>
    <row r="151" spans="1:22">
      <c r="A151" s="1" t="s">
        <v>342</v>
      </c>
      <c r="B151" s="1" t="s">
        <v>343</v>
      </c>
      <c r="C151" s="1" t="s">
        <v>344</v>
      </c>
      <c r="D151" s="1" t="s">
        <v>12</v>
      </c>
      <c r="E151" s="12">
        <v>11532</v>
      </c>
      <c r="F151" s="12" t="s">
        <v>137</v>
      </c>
      <c r="G151" s="6">
        <v>1262.57</v>
      </c>
      <c r="H151" s="1">
        <v>25.8</v>
      </c>
      <c r="J151" t="str">
        <f t="shared" si="24"/>
        <v>OK</v>
      </c>
      <c r="K151" t="str">
        <f t="shared" si="25"/>
        <v>OK</v>
      </c>
      <c r="L151">
        <f t="shared" si="34"/>
        <v>12</v>
      </c>
      <c r="M151">
        <f t="shared" si="26"/>
        <v>10</v>
      </c>
      <c r="N151" s="9" t="str">
        <f t="shared" si="35"/>
        <v>Valid</v>
      </c>
      <c r="O151" t="str">
        <f t="shared" si="27"/>
        <v>Include</v>
      </c>
      <c r="P151" s="9">
        <f t="shared" si="28"/>
        <v>2035068.5799999984</v>
      </c>
      <c r="Q151" s="15">
        <f t="shared" si="29"/>
        <v>7469725</v>
      </c>
      <c r="R151" s="9">
        <f t="shared" si="30"/>
        <v>11532</v>
      </c>
      <c r="S151" s="9">
        <f t="shared" si="31"/>
        <v>7469725</v>
      </c>
      <c r="T151" s="15">
        <f t="shared" si="32"/>
        <v>16.686436250344954</v>
      </c>
      <c r="U151" s="15">
        <f>IF(O151="Exclude",0,G151*Fuel_Price!$B$2)</f>
        <v>1854.967844</v>
      </c>
      <c r="V151" s="15">
        <f t="shared" si="33"/>
        <v>2989922.7577359979</v>
      </c>
    </row>
    <row r="152" spans="1:22">
      <c r="A152" s="1" t="s">
        <v>345</v>
      </c>
      <c r="B152" s="1" t="s">
        <v>346</v>
      </c>
      <c r="C152" s="1" t="s">
        <v>249</v>
      </c>
      <c r="D152" s="1" t="s">
        <v>12</v>
      </c>
      <c r="E152" s="12">
        <v>12193</v>
      </c>
      <c r="F152" s="12" t="s">
        <v>13</v>
      </c>
      <c r="G152" s="6">
        <v>2215.44</v>
      </c>
      <c r="H152" s="1">
        <v>25.02</v>
      </c>
      <c r="J152" t="str">
        <f t="shared" si="24"/>
        <v>OK</v>
      </c>
      <c r="K152" t="str">
        <f t="shared" si="25"/>
        <v>OK</v>
      </c>
      <c r="L152">
        <f t="shared" si="34"/>
        <v>12</v>
      </c>
      <c r="M152">
        <f t="shared" si="26"/>
        <v>10</v>
      </c>
      <c r="N152" s="9" t="str">
        <f t="shared" si="35"/>
        <v>Valid</v>
      </c>
      <c r="O152" t="str">
        <f t="shared" si="27"/>
        <v>Include</v>
      </c>
      <c r="P152" s="9">
        <f t="shared" si="28"/>
        <v>2035068.5799999984</v>
      </c>
      <c r="Q152" s="15">
        <f t="shared" si="29"/>
        <v>7469725</v>
      </c>
      <c r="R152" s="9">
        <f t="shared" si="30"/>
        <v>12193</v>
      </c>
      <c r="S152" s="9">
        <f t="shared" si="31"/>
        <v>7469725</v>
      </c>
      <c r="T152" s="15">
        <f t="shared" si="32"/>
        <v>16.686436250344954</v>
      </c>
      <c r="U152" s="15">
        <f>IF(O152="Exclude",0,G152*Fuel_Price!$B$2)</f>
        <v>3254.9244480000002</v>
      </c>
      <c r="V152" s="15">
        <f t="shared" si="33"/>
        <v>2989922.7577359979</v>
      </c>
    </row>
    <row r="153" spans="1:22">
      <c r="A153" s="1" t="s">
        <v>347</v>
      </c>
      <c r="B153" s="1" t="s">
        <v>348</v>
      </c>
      <c r="C153" s="1" t="s">
        <v>349</v>
      </c>
      <c r="D153" s="1" t="s">
        <v>12</v>
      </c>
      <c r="E153" s="12">
        <v>1075</v>
      </c>
      <c r="F153" s="12" t="s">
        <v>13</v>
      </c>
      <c r="G153" s="6">
        <v>223.22</v>
      </c>
      <c r="H153" s="1">
        <v>21.89</v>
      </c>
      <c r="J153" t="str">
        <f t="shared" si="24"/>
        <v>OK</v>
      </c>
      <c r="K153" t="str">
        <f t="shared" si="25"/>
        <v>OK</v>
      </c>
      <c r="L153">
        <f t="shared" si="34"/>
        <v>12</v>
      </c>
      <c r="M153">
        <f t="shared" si="26"/>
        <v>10</v>
      </c>
      <c r="N153" s="9" t="str">
        <f t="shared" si="35"/>
        <v>Valid</v>
      </c>
      <c r="O153" t="str">
        <f t="shared" si="27"/>
        <v>Include</v>
      </c>
      <c r="P153" s="9">
        <f t="shared" si="28"/>
        <v>2035068.5799999984</v>
      </c>
      <c r="Q153" s="15">
        <f t="shared" si="29"/>
        <v>7469725</v>
      </c>
      <c r="R153" s="9">
        <f t="shared" si="30"/>
        <v>1075</v>
      </c>
      <c r="S153" s="9">
        <f t="shared" si="31"/>
        <v>7469725</v>
      </c>
      <c r="T153" s="15">
        <f t="shared" si="32"/>
        <v>16.686436250344954</v>
      </c>
      <c r="U153" s="15">
        <f>IF(O153="Exclude",0,G153*Fuel_Price!$B$2)</f>
        <v>327.95482400000003</v>
      </c>
      <c r="V153" s="15">
        <f t="shared" si="33"/>
        <v>2989922.7577359979</v>
      </c>
    </row>
    <row r="154" spans="1:22">
      <c r="A154" s="1" t="s">
        <v>350</v>
      </c>
      <c r="B154" s="1" t="s">
        <v>351</v>
      </c>
      <c r="C154" s="1" t="s">
        <v>352</v>
      </c>
      <c r="D154" s="1" t="s">
        <v>12</v>
      </c>
      <c r="E154" s="12">
        <v>16569</v>
      </c>
      <c r="F154" s="12" t="s">
        <v>13</v>
      </c>
      <c r="G154" s="6">
        <v>3337.08</v>
      </c>
      <c r="H154" s="1">
        <v>22.57</v>
      </c>
      <c r="J154" t="str">
        <f t="shared" si="24"/>
        <v>OK</v>
      </c>
      <c r="K154" t="str">
        <f t="shared" si="25"/>
        <v>OK</v>
      </c>
      <c r="L154">
        <f t="shared" si="34"/>
        <v>12</v>
      </c>
      <c r="M154">
        <f t="shared" si="26"/>
        <v>10</v>
      </c>
      <c r="N154" s="9" t="str">
        <f t="shared" si="35"/>
        <v>Valid</v>
      </c>
      <c r="O154" t="str">
        <f t="shared" si="27"/>
        <v>Include</v>
      </c>
      <c r="P154" s="9">
        <f t="shared" si="28"/>
        <v>2035068.5799999984</v>
      </c>
      <c r="Q154" s="15">
        <f t="shared" si="29"/>
        <v>7469725</v>
      </c>
      <c r="R154" s="9">
        <f t="shared" si="30"/>
        <v>16569</v>
      </c>
      <c r="S154" s="9">
        <f t="shared" si="31"/>
        <v>7469725</v>
      </c>
      <c r="T154" s="15">
        <f t="shared" si="32"/>
        <v>16.686436250344954</v>
      </c>
      <c r="U154" s="15">
        <f>IF(O154="Exclude",0,G154*Fuel_Price!$B$2)</f>
        <v>4902.8379359999999</v>
      </c>
      <c r="V154" s="15">
        <f t="shared" si="33"/>
        <v>2989922.7577359979</v>
      </c>
    </row>
    <row r="155" spans="1:22">
      <c r="A155" s="1" t="s">
        <v>353</v>
      </c>
      <c r="B155" s="1" t="s">
        <v>354</v>
      </c>
      <c r="C155" s="1" t="s">
        <v>352</v>
      </c>
      <c r="D155" s="1" t="s">
        <v>12</v>
      </c>
      <c r="E155" s="12">
        <v>7245</v>
      </c>
      <c r="F155" s="12" t="s">
        <v>13</v>
      </c>
      <c r="G155" s="6">
        <v>1458.06</v>
      </c>
      <c r="H155" s="1">
        <v>22.59</v>
      </c>
      <c r="J155" t="str">
        <f t="shared" si="24"/>
        <v>OK</v>
      </c>
      <c r="K155" t="str">
        <f t="shared" si="25"/>
        <v>OK</v>
      </c>
      <c r="L155">
        <f t="shared" si="34"/>
        <v>12</v>
      </c>
      <c r="M155">
        <f t="shared" si="26"/>
        <v>10</v>
      </c>
      <c r="N155" s="9" t="str">
        <f t="shared" si="35"/>
        <v>Valid</v>
      </c>
      <c r="O155" t="str">
        <f t="shared" si="27"/>
        <v>Include</v>
      </c>
      <c r="P155" s="9">
        <f t="shared" si="28"/>
        <v>2035068.5799999984</v>
      </c>
      <c r="Q155" s="15">
        <f t="shared" si="29"/>
        <v>7469725</v>
      </c>
      <c r="R155" s="9">
        <f t="shared" si="30"/>
        <v>7245</v>
      </c>
      <c r="S155" s="9">
        <f t="shared" si="31"/>
        <v>7469725</v>
      </c>
      <c r="T155" s="15">
        <f t="shared" si="32"/>
        <v>16.686436250344954</v>
      </c>
      <c r="U155" s="15">
        <f>IF(O155="Exclude",0,G155*Fuel_Price!$B$2)</f>
        <v>2142.181752</v>
      </c>
      <c r="V155" s="15">
        <f t="shared" si="33"/>
        <v>2989922.7577359979</v>
      </c>
    </row>
    <row r="156" spans="1:22">
      <c r="A156" s="1" t="s">
        <v>355</v>
      </c>
      <c r="B156" s="1" t="s">
        <v>356</v>
      </c>
      <c r="C156" s="1" t="s">
        <v>357</v>
      </c>
      <c r="D156" s="1" t="s">
        <v>12</v>
      </c>
      <c r="E156" s="12">
        <v>9137</v>
      </c>
      <c r="F156" s="12" t="s">
        <v>13</v>
      </c>
      <c r="G156" s="6">
        <v>2273.25</v>
      </c>
      <c r="H156" s="1">
        <v>18.27</v>
      </c>
      <c r="J156" t="str">
        <f t="shared" si="24"/>
        <v>OK</v>
      </c>
      <c r="K156" t="str">
        <f t="shared" si="25"/>
        <v>OK</v>
      </c>
      <c r="L156">
        <f t="shared" si="34"/>
        <v>12</v>
      </c>
      <c r="M156">
        <f t="shared" si="26"/>
        <v>10</v>
      </c>
      <c r="N156" s="9" t="str">
        <f t="shared" si="35"/>
        <v>Valid</v>
      </c>
      <c r="O156" t="str">
        <f t="shared" si="27"/>
        <v>Include</v>
      </c>
      <c r="P156" s="9">
        <f t="shared" si="28"/>
        <v>2035068.5799999984</v>
      </c>
      <c r="Q156" s="15">
        <f t="shared" si="29"/>
        <v>7469725</v>
      </c>
      <c r="R156" s="9">
        <f t="shared" si="30"/>
        <v>9137</v>
      </c>
      <c r="S156" s="9">
        <f t="shared" si="31"/>
        <v>7469725</v>
      </c>
      <c r="T156" s="15">
        <f t="shared" si="32"/>
        <v>16.686436250344954</v>
      </c>
      <c r="U156" s="15">
        <f>IF(O156="Exclude",0,G156*Fuel_Price!$B$2)</f>
        <v>3339.8589000000002</v>
      </c>
      <c r="V156" s="15">
        <f t="shared" si="33"/>
        <v>2989922.7577359979</v>
      </c>
    </row>
    <row r="157" spans="1:22">
      <c r="A157" s="1" t="s">
        <v>358</v>
      </c>
      <c r="B157" s="1" t="s">
        <v>359</v>
      </c>
      <c r="C157" s="1" t="s">
        <v>352</v>
      </c>
      <c r="D157" s="1" t="s">
        <v>12</v>
      </c>
      <c r="E157" s="12">
        <v>7088</v>
      </c>
      <c r="F157" s="12" t="s">
        <v>13</v>
      </c>
      <c r="G157" s="6">
        <v>1565.6</v>
      </c>
      <c r="H157" s="1">
        <v>20.58</v>
      </c>
      <c r="J157" t="str">
        <f t="shared" si="24"/>
        <v>OK</v>
      </c>
      <c r="K157" t="str">
        <f t="shared" si="25"/>
        <v>OK</v>
      </c>
      <c r="L157">
        <f t="shared" si="34"/>
        <v>12</v>
      </c>
      <c r="M157">
        <f t="shared" si="26"/>
        <v>10</v>
      </c>
      <c r="N157" s="9" t="str">
        <f t="shared" si="35"/>
        <v>Valid</v>
      </c>
      <c r="O157" t="str">
        <f t="shared" si="27"/>
        <v>Include</v>
      </c>
      <c r="P157" s="9">
        <f t="shared" si="28"/>
        <v>2035068.5799999984</v>
      </c>
      <c r="Q157" s="15">
        <f t="shared" si="29"/>
        <v>7469725</v>
      </c>
      <c r="R157" s="9">
        <f t="shared" si="30"/>
        <v>7088</v>
      </c>
      <c r="S157" s="9">
        <f t="shared" si="31"/>
        <v>7469725</v>
      </c>
      <c r="T157" s="15">
        <f t="shared" si="32"/>
        <v>16.686436250344954</v>
      </c>
      <c r="U157" s="15">
        <f>IF(O157="Exclude",0,G157*Fuel_Price!$B$2)</f>
        <v>2300.1795200000001</v>
      </c>
      <c r="V157" s="15">
        <f t="shared" si="33"/>
        <v>2989922.7577359979</v>
      </c>
    </row>
    <row r="158" spans="1:22">
      <c r="A158" s="1" t="s">
        <v>360</v>
      </c>
      <c r="B158" s="1" t="s">
        <v>361</v>
      </c>
      <c r="C158" s="1" t="s">
        <v>352</v>
      </c>
      <c r="D158" s="1" t="s">
        <v>12</v>
      </c>
      <c r="E158" s="12">
        <v>9730</v>
      </c>
      <c r="F158" s="12" t="s">
        <v>13</v>
      </c>
      <c r="G158" s="6">
        <v>2106.1999999999998</v>
      </c>
      <c r="H158" s="1">
        <v>21</v>
      </c>
      <c r="J158" t="str">
        <f t="shared" si="24"/>
        <v>OK</v>
      </c>
      <c r="K158" t="str">
        <f t="shared" si="25"/>
        <v>OK</v>
      </c>
      <c r="L158">
        <f t="shared" si="34"/>
        <v>12</v>
      </c>
      <c r="M158">
        <f t="shared" si="26"/>
        <v>10</v>
      </c>
      <c r="N158" s="9" t="str">
        <f t="shared" si="35"/>
        <v>Valid</v>
      </c>
      <c r="O158" t="str">
        <f t="shared" si="27"/>
        <v>Include</v>
      </c>
      <c r="P158" s="9">
        <f t="shared" si="28"/>
        <v>2035068.5799999984</v>
      </c>
      <c r="Q158" s="15">
        <f t="shared" si="29"/>
        <v>7469725</v>
      </c>
      <c r="R158" s="9">
        <f t="shared" si="30"/>
        <v>9730</v>
      </c>
      <c r="S158" s="9">
        <f t="shared" si="31"/>
        <v>7469725</v>
      </c>
      <c r="T158" s="15">
        <f t="shared" si="32"/>
        <v>16.686436250344954</v>
      </c>
      <c r="U158" s="15">
        <f>IF(O158="Exclude",0,G158*Fuel_Price!$B$2)</f>
        <v>3094.42904</v>
      </c>
      <c r="V158" s="15">
        <f t="shared" si="33"/>
        <v>2989922.7577359979</v>
      </c>
    </row>
    <row r="159" spans="1:22">
      <c r="A159" s="1" t="s">
        <v>362</v>
      </c>
      <c r="B159" s="1" t="s">
        <v>363</v>
      </c>
      <c r="C159" s="1" t="s">
        <v>352</v>
      </c>
      <c r="D159" s="1" t="s">
        <v>12</v>
      </c>
      <c r="E159" s="12">
        <v>12740</v>
      </c>
      <c r="F159" s="12" t="s">
        <v>13</v>
      </c>
      <c r="G159" s="6">
        <v>2804.09</v>
      </c>
      <c r="H159" s="1">
        <v>20.65</v>
      </c>
      <c r="J159" t="str">
        <f t="shared" si="24"/>
        <v>OK</v>
      </c>
      <c r="K159" t="str">
        <f t="shared" si="25"/>
        <v>OK</v>
      </c>
      <c r="L159">
        <f t="shared" si="34"/>
        <v>12</v>
      </c>
      <c r="M159">
        <f t="shared" si="26"/>
        <v>10</v>
      </c>
      <c r="N159" s="9" t="str">
        <f t="shared" si="35"/>
        <v>Valid</v>
      </c>
      <c r="O159" t="str">
        <f t="shared" si="27"/>
        <v>Include</v>
      </c>
      <c r="P159" s="9">
        <f t="shared" si="28"/>
        <v>2035068.5799999984</v>
      </c>
      <c r="Q159" s="15">
        <f t="shared" si="29"/>
        <v>7469725</v>
      </c>
      <c r="R159" s="9">
        <f t="shared" si="30"/>
        <v>12740</v>
      </c>
      <c r="S159" s="9">
        <f t="shared" si="31"/>
        <v>7469725</v>
      </c>
      <c r="T159" s="15">
        <f t="shared" si="32"/>
        <v>16.686436250344954</v>
      </c>
      <c r="U159" s="15">
        <f>IF(O159="Exclude",0,G159*Fuel_Price!$B$2)</f>
        <v>4119.7690280000006</v>
      </c>
      <c r="V159" s="15">
        <f t="shared" si="33"/>
        <v>2989922.7577359979</v>
      </c>
    </row>
    <row r="160" spans="1:22">
      <c r="A160" s="1" t="s">
        <v>364</v>
      </c>
      <c r="B160" s="1" t="s">
        <v>365</v>
      </c>
      <c r="C160" s="1" t="s">
        <v>366</v>
      </c>
      <c r="D160" s="1" t="s">
        <v>12</v>
      </c>
      <c r="E160" s="12">
        <v>10677</v>
      </c>
      <c r="F160" s="12" t="s">
        <v>13</v>
      </c>
      <c r="G160" s="6">
        <v>2264.87</v>
      </c>
      <c r="H160" s="1">
        <v>21.43</v>
      </c>
      <c r="J160" t="str">
        <f t="shared" si="24"/>
        <v>OK</v>
      </c>
      <c r="K160" t="str">
        <f t="shared" si="25"/>
        <v>OK</v>
      </c>
      <c r="L160">
        <f t="shared" si="34"/>
        <v>12</v>
      </c>
      <c r="M160">
        <f t="shared" si="26"/>
        <v>10</v>
      </c>
      <c r="N160" s="9" t="str">
        <f t="shared" si="35"/>
        <v>Valid</v>
      </c>
      <c r="O160" t="str">
        <f t="shared" si="27"/>
        <v>Include</v>
      </c>
      <c r="P160" s="9">
        <f t="shared" si="28"/>
        <v>2035068.5799999984</v>
      </c>
      <c r="Q160" s="15">
        <f t="shared" si="29"/>
        <v>7469725</v>
      </c>
      <c r="R160" s="9">
        <f t="shared" si="30"/>
        <v>10677</v>
      </c>
      <c r="S160" s="9">
        <f t="shared" si="31"/>
        <v>7469725</v>
      </c>
      <c r="T160" s="15">
        <f t="shared" si="32"/>
        <v>16.686436250344954</v>
      </c>
      <c r="U160" s="15">
        <f>IF(O160="Exclude",0,G160*Fuel_Price!$B$2)</f>
        <v>3327.547004</v>
      </c>
      <c r="V160" s="15">
        <f t="shared" si="33"/>
        <v>2989922.7577359979</v>
      </c>
    </row>
    <row r="161" spans="1:22">
      <c r="A161" s="1" t="s">
        <v>367</v>
      </c>
      <c r="B161" s="1" t="s">
        <v>368</v>
      </c>
      <c r="C161" s="1" t="s">
        <v>352</v>
      </c>
      <c r="D161" s="1" t="s">
        <v>12</v>
      </c>
      <c r="E161" s="12">
        <v>11463</v>
      </c>
      <c r="F161" s="12" t="s">
        <v>13</v>
      </c>
      <c r="G161" s="6">
        <v>2420.4</v>
      </c>
      <c r="H161" s="1">
        <v>21.53</v>
      </c>
      <c r="J161" t="str">
        <f t="shared" si="24"/>
        <v>OK</v>
      </c>
      <c r="K161" t="str">
        <f t="shared" si="25"/>
        <v>OK</v>
      </c>
      <c r="L161">
        <f t="shared" si="34"/>
        <v>12</v>
      </c>
      <c r="M161">
        <f t="shared" si="26"/>
        <v>10</v>
      </c>
      <c r="N161" s="9" t="str">
        <f t="shared" si="35"/>
        <v>Valid</v>
      </c>
      <c r="O161" t="str">
        <f t="shared" si="27"/>
        <v>Include</v>
      </c>
      <c r="P161" s="9">
        <f t="shared" si="28"/>
        <v>2035068.5799999984</v>
      </c>
      <c r="Q161" s="15">
        <f t="shared" si="29"/>
        <v>7469725</v>
      </c>
      <c r="R161" s="9">
        <f t="shared" si="30"/>
        <v>11463</v>
      </c>
      <c r="S161" s="9">
        <f t="shared" si="31"/>
        <v>7469725</v>
      </c>
      <c r="T161" s="15">
        <f t="shared" si="32"/>
        <v>16.686436250344954</v>
      </c>
      <c r="U161" s="15">
        <f>IF(O161="Exclude",0,G161*Fuel_Price!$B$2)</f>
        <v>3556.0516800000005</v>
      </c>
      <c r="V161" s="15">
        <f t="shared" si="33"/>
        <v>2989922.7577359979</v>
      </c>
    </row>
    <row r="162" spans="1:22">
      <c r="A162" s="1" t="s">
        <v>369</v>
      </c>
      <c r="B162" s="1" t="s">
        <v>370</v>
      </c>
      <c r="C162" s="1" t="s">
        <v>371</v>
      </c>
      <c r="D162" s="1" t="s">
        <v>12</v>
      </c>
      <c r="E162" s="12">
        <v>14034</v>
      </c>
      <c r="F162" s="12" t="s">
        <v>13</v>
      </c>
      <c r="G162" s="6">
        <v>2815.71</v>
      </c>
      <c r="H162" s="1">
        <v>22.66</v>
      </c>
      <c r="J162" t="str">
        <f t="shared" si="24"/>
        <v>OK</v>
      </c>
      <c r="K162" t="str">
        <f t="shared" si="25"/>
        <v>OK</v>
      </c>
      <c r="L162">
        <f t="shared" si="34"/>
        <v>12</v>
      </c>
      <c r="M162">
        <f t="shared" si="26"/>
        <v>10</v>
      </c>
      <c r="N162" s="9" t="str">
        <f t="shared" si="35"/>
        <v>Valid</v>
      </c>
      <c r="O162" t="str">
        <f t="shared" si="27"/>
        <v>Include</v>
      </c>
      <c r="P162" s="9">
        <f t="shared" si="28"/>
        <v>2035068.5799999984</v>
      </c>
      <c r="Q162" s="15">
        <f t="shared" si="29"/>
        <v>7469725</v>
      </c>
      <c r="R162" s="9">
        <f t="shared" si="30"/>
        <v>14034</v>
      </c>
      <c r="S162" s="9">
        <f t="shared" si="31"/>
        <v>7469725</v>
      </c>
      <c r="T162" s="15">
        <f t="shared" si="32"/>
        <v>16.686436250344954</v>
      </c>
      <c r="U162" s="15">
        <f>IF(O162="Exclude",0,G162*Fuel_Price!$B$2)</f>
        <v>4136.8411320000005</v>
      </c>
      <c r="V162" s="15">
        <f t="shared" si="33"/>
        <v>2989922.7577359979</v>
      </c>
    </row>
    <row r="163" spans="1:22">
      <c r="A163" s="1" t="s">
        <v>372</v>
      </c>
      <c r="B163" s="1" t="s">
        <v>373</v>
      </c>
      <c r="C163" s="1" t="s">
        <v>357</v>
      </c>
      <c r="D163" s="1" t="s">
        <v>12</v>
      </c>
      <c r="E163" s="12">
        <v>14287</v>
      </c>
      <c r="F163" s="12" t="s">
        <v>13</v>
      </c>
      <c r="G163" s="6">
        <v>3373.4</v>
      </c>
      <c r="H163" s="1">
        <v>19.25</v>
      </c>
      <c r="J163" t="str">
        <f t="shared" si="24"/>
        <v>OK</v>
      </c>
      <c r="K163" t="str">
        <f t="shared" si="25"/>
        <v>OK</v>
      </c>
      <c r="L163">
        <f t="shared" si="34"/>
        <v>12</v>
      </c>
      <c r="M163">
        <f t="shared" si="26"/>
        <v>10</v>
      </c>
      <c r="N163" s="9" t="str">
        <f t="shared" si="35"/>
        <v>Valid</v>
      </c>
      <c r="O163" t="str">
        <f t="shared" si="27"/>
        <v>Include</v>
      </c>
      <c r="P163" s="9">
        <f t="shared" si="28"/>
        <v>2035068.5799999984</v>
      </c>
      <c r="Q163" s="15">
        <f t="shared" si="29"/>
        <v>7469725</v>
      </c>
      <c r="R163" s="9">
        <f t="shared" si="30"/>
        <v>14287</v>
      </c>
      <c r="S163" s="9">
        <f t="shared" si="31"/>
        <v>7469725</v>
      </c>
      <c r="T163" s="15">
        <f t="shared" si="32"/>
        <v>16.686436250344954</v>
      </c>
      <c r="U163" s="15">
        <f>IF(O163="Exclude",0,G163*Fuel_Price!$B$2)</f>
        <v>4956.1992800000007</v>
      </c>
      <c r="V163" s="15">
        <f t="shared" si="33"/>
        <v>2989922.7577359979</v>
      </c>
    </row>
    <row r="164" spans="1:22">
      <c r="A164" s="1" t="s">
        <v>374</v>
      </c>
      <c r="B164" s="1" t="s">
        <v>375</v>
      </c>
      <c r="C164" s="1" t="s">
        <v>357</v>
      </c>
      <c r="D164" s="1" t="s">
        <v>12</v>
      </c>
      <c r="E164" s="12">
        <v>8265</v>
      </c>
      <c r="F164" s="12" t="s">
        <v>13</v>
      </c>
      <c r="G164" s="6">
        <v>2166.6</v>
      </c>
      <c r="H164" s="1">
        <v>17.34</v>
      </c>
      <c r="J164" t="str">
        <f t="shared" si="24"/>
        <v>OK</v>
      </c>
      <c r="K164" t="str">
        <f t="shared" si="25"/>
        <v>OK</v>
      </c>
      <c r="L164">
        <f t="shared" si="34"/>
        <v>12</v>
      </c>
      <c r="M164">
        <f t="shared" si="26"/>
        <v>10</v>
      </c>
      <c r="N164" s="9" t="str">
        <f t="shared" si="35"/>
        <v>Valid</v>
      </c>
      <c r="O164" t="str">
        <f t="shared" si="27"/>
        <v>Include</v>
      </c>
      <c r="P164" s="9">
        <f t="shared" si="28"/>
        <v>2035068.5799999984</v>
      </c>
      <c r="Q164" s="15">
        <f t="shared" si="29"/>
        <v>7469725</v>
      </c>
      <c r="R164" s="9">
        <f t="shared" si="30"/>
        <v>8265</v>
      </c>
      <c r="S164" s="9">
        <f t="shared" si="31"/>
        <v>7469725</v>
      </c>
      <c r="T164" s="15">
        <f t="shared" si="32"/>
        <v>16.686436250344954</v>
      </c>
      <c r="U164" s="15">
        <f>IF(O164="Exclude",0,G164*Fuel_Price!$B$2)</f>
        <v>3183.1687200000001</v>
      </c>
      <c r="V164" s="15">
        <f t="shared" si="33"/>
        <v>2989922.7577359979</v>
      </c>
    </row>
    <row r="165" spans="1:22">
      <c r="A165" s="1" t="s">
        <v>376</v>
      </c>
      <c r="B165" s="1" t="s">
        <v>377</v>
      </c>
      <c r="C165" s="1" t="s">
        <v>357</v>
      </c>
      <c r="D165" s="1" t="s">
        <v>12</v>
      </c>
      <c r="E165" s="12">
        <v>10260</v>
      </c>
      <c r="F165" s="12" t="s">
        <v>13</v>
      </c>
      <c r="G165" s="6">
        <v>2518.81</v>
      </c>
      <c r="H165" s="1">
        <v>18.52</v>
      </c>
      <c r="J165" t="str">
        <f t="shared" si="24"/>
        <v>OK</v>
      </c>
      <c r="K165" t="str">
        <f t="shared" si="25"/>
        <v>OK</v>
      </c>
      <c r="L165">
        <f t="shared" si="34"/>
        <v>12</v>
      </c>
      <c r="M165">
        <f t="shared" si="26"/>
        <v>10</v>
      </c>
      <c r="N165" s="9" t="str">
        <f t="shared" si="35"/>
        <v>Valid</v>
      </c>
      <c r="O165" t="str">
        <f t="shared" si="27"/>
        <v>Include</v>
      </c>
      <c r="P165" s="9">
        <f t="shared" si="28"/>
        <v>2035068.5799999984</v>
      </c>
      <c r="Q165" s="15">
        <f t="shared" si="29"/>
        <v>7469725</v>
      </c>
      <c r="R165" s="9">
        <f t="shared" si="30"/>
        <v>10260</v>
      </c>
      <c r="S165" s="9">
        <f t="shared" si="31"/>
        <v>7469725</v>
      </c>
      <c r="T165" s="15">
        <f t="shared" si="32"/>
        <v>16.686436250344954</v>
      </c>
      <c r="U165" s="15">
        <f>IF(O165="Exclude",0,G165*Fuel_Price!$B$2)</f>
        <v>3700.6356519999999</v>
      </c>
      <c r="V165" s="15">
        <f t="shared" si="33"/>
        <v>2989922.7577359979</v>
      </c>
    </row>
    <row r="166" spans="1:22">
      <c r="A166" s="1" t="s">
        <v>378</v>
      </c>
      <c r="B166" s="1" t="s">
        <v>379</v>
      </c>
      <c r="C166" s="1" t="s">
        <v>357</v>
      </c>
      <c r="D166" s="1" t="s">
        <v>12</v>
      </c>
      <c r="E166" s="12">
        <v>12031</v>
      </c>
      <c r="F166" s="12" t="s">
        <v>13</v>
      </c>
      <c r="G166" s="6">
        <v>2945.18</v>
      </c>
      <c r="H166" s="1">
        <v>18.57</v>
      </c>
      <c r="J166" t="str">
        <f t="shared" si="24"/>
        <v>OK</v>
      </c>
      <c r="K166" t="str">
        <f t="shared" si="25"/>
        <v>OK</v>
      </c>
      <c r="L166">
        <f t="shared" si="34"/>
        <v>12</v>
      </c>
      <c r="M166">
        <f t="shared" si="26"/>
        <v>10</v>
      </c>
      <c r="N166" s="9" t="str">
        <f t="shared" si="35"/>
        <v>Valid</v>
      </c>
      <c r="O166" t="str">
        <f t="shared" si="27"/>
        <v>Include</v>
      </c>
      <c r="P166" s="9">
        <f t="shared" si="28"/>
        <v>2035068.5799999984</v>
      </c>
      <c r="Q166" s="15">
        <f t="shared" si="29"/>
        <v>7469725</v>
      </c>
      <c r="R166" s="9">
        <f t="shared" si="30"/>
        <v>12031</v>
      </c>
      <c r="S166" s="9">
        <f t="shared" si="31"/>
        <v>7469725</v>
      </c>
      <c r="T166" s="15">
        <f t="shared" si="32"/>
        <v>16.686436250344954</v>
      </c>
      <c r="U166" s="15">
        <f>IF(O166="Exclude",0,G166*Fuel_Price!$B$2)</f>
        <v>4327.0584559999998</v>
      </c>
      <c r="V166" s="15">
        <f t="shared" si="33"/>
        <v>2989922.7577359979</v>
      </c>
    </row>
    <row r="167" spans="1:22">
      <c r="A167" s="1" t="s">
        <v>380</v>
      </c>
      <c r="B167" s="1" t="s">
        <v>381</v>
      </c>
      <c r="C167" s="1" t="s">
        <v>357</v>
      </c>
      <c r="D167" s="1" t="s">
        <v>12</v>
      </c>
      <c r="E167" s="12">
        <v>8083</v>
      </c>
      <c r="F167" s="12" t="s">
        <v>13</v>
      </c>
      <c r="G167" s="6">
        <v>1923.85</v>
      </c>
      <c r="H167" s="1">
        <v>19.100000000000001</v>
      </c>
      <c r="J167" t="str">
        <f t="shared" si="24"/>
        <v>OK</v>
      </c>
      <c r="K167" t="str">
        <f t="shared" si="25"/>
        <v>OK</v>
      </c>
      <c r="L167">
        <f t="shared" si="34"/>
        <v>12</v>
      </c>
      <c r="M167">
        <f t="shared" si="26"/>
        <v>10</v>
      </c>
      <c r="N167" s="9" t="str">
        <f t="shared" si="35"/>
        <v>Valid</v>
      </c>
      <c r="O167" t="str">
        <f t="shared" si="27"/>
        <v>Include</v>
      </c>
      <c r="P167" s="9">
        <f t="shared" si="28"/>
        <v>2035068.5799999984</v>
      </c>
      <c r="Q167" s="15">
        <f t="shared" si="29"/>
        <v>7469725</v>
      </c>
      <c r="R167" s="9">
        <f t="shared" si="30"/>
        <v>8083</v>
      </c>
      <c r="S167" s="9">
        <f t="shared" si="31"/>
        <v>7469725</v>
      </c>
      <c r="T167" s="15">
        <f t="shared" si="32"/>
        <v>16.686436250344954</v>
      </c>
      <c r="U167" s="15">
        <f>IF(O167="Exclude",0,G167*Fuel_Price!$B$2)</f>
        <v>2826.5204199999998</v>
      </c>
      <c r="V167" s="15">
        <f t="shared" si="33"/>
        <v>2989922.7577359979</v>
      </c>
    </row>
    <row r="168" spans="1:22">
      <c r="A168" s="1" t="s">
        <v>382</v>
      </c>
      <c r="B168" s="1" t="s">
        <v>383</v>
      </c>
      <c r="C168" s="1" t="s">
        <v>357</v>
      </c>
      <c r="D168" s="1" t="s">
        <v>12</v>
      </c>
      <c r="E168" s="12">
        <v>9373</v>
      </c>
      <c r="F168" s="12" t="s">
        <v>13</v>
      </c>
      <c r="G168" s="6">
        <v>2493.64</v>
      </c>
      <c r="H168" s="1">
        <v>17.09</v>
      </c>
      <c r="J168" t="str">
        <f t="shared" si="24"/>
        <v>OK</v>
      </c>
      <c r="K168" t="str">
        <f t="shared" si="25"/>
        <v>OK</v>
      </c>
      <c r="L168">
        <f t="shared" si="34"/>
        <v>12</v>
      </c>
      <c r="M168">
        <f t="shared" si="26"/>
        <v>10</v>
      </c>
      <c r="N168" s="9" t="str">
        <f t="shared" si="35"/>
        <v>Valid</v>
      </c>
      <c r="O168" t="str">
        <f t="shared" si="27"/>
        <v>Include</v>
      </c>
      <c r="P168" s="9">
        <f t="shared" si="28"/>
        <v>2035068.5799999984</v>
      </c>
      <c r="Q168" s="15">
        <f t="shared" si="29"/>
        <v>7469725</v>
      </c>
      <c r="R168" s="9">
        <f t="shared" si="30"/>
        <v>9373</v>
      </c>
      <c r="S168" s="9">
        <f t="shared" si="31"/>
        <v>7469725</v>
      </c>
      <c r="T168" s="15">
        <f t="shared" si="32"/>
        <v>16.686436250344954</v>
      </c>
      <c r="U168" s="15">
        <f>IF(O168="Exclude",0,G168*Fuel_Price!$B$2)</f>
        <v>3663.6558879999998</v>
      </c>
      <c r="V168" s="15">
        <f t="shared" si="33"/>
        <v>2989922.7577359979</v>
      </c>
    </row>
    <row r="169" spans="1:22">
      <c r="A169" s="1" t="s">
        <v>384</v>
      </c>
      <c r="B169" s="1" t="s">
        <v>385</v>
      </c>
      <c r="C169" s="1" t="s">
        <v>357</v>
      </c>
      <c r="D169" s="1" t="s">
        <v>12</v>
      </c>
      <c r="E169" s="12">
        <v>15321</v>
      </c>
      <c r="F169" s="12" t="s">
        <v>13</v>
      </c>
      <c r="G169" s="6">
        <v>3451.27</v>
      </c>
      <c r="H169" s="1">
        <v>20.18</v>
      </c>
      <c r="J169" t="str">
        <f t="shared" si="24"/>
        <v>OK</v>
      </c>
      <c r="K169" t="str">
        <f t="shared" si="25"/>
        <v>OK</v>
      </c>
      <c r="L169">
        <f t="shared" si="34"/>
        <v>12</v>
      </c>
      <c r="M169">
        <f t="shared" si="26"/>
        <v>10</v>
      </c>
      <c r="N169" s="9" t="str">
        <f t="shared" si="35"/>
        <v>Valid</v>
      </c>
      <c r="O169" t="str">
        <f t="shared" si="27"/>
        <v>Include</v>
      </c>
      <c r="P169" s="9">
        <f t="shared" si="28"/>
        <v>2035068.5799999984</v>
      </c>
      <c r="Q169" s="15">
        <f t="shared" si="29"/>
        <v>7469725</v>
      </c>
      <c r="R169" s="9">
        <f t="shared" si="30"/>
        <v>15321</v>
      </c>
      <c r="S169" s="9">
        <f t="shared" si="31"/>
        <v>7469725</v>
      </c>
      <c r="T169" s="15">
        <f t="shared" si="32"/>
        <v>16.686436250344954</v>
      </c>
      <c r="U169" s="15">
        <f>IF(O169="Exclude",0,G169*Fuel_Price!$B$2)</f>
        <v>5070.6058840000005</v>
      </c>
      <c r="V169" s="15">
        <f t="shared" si="33"/>
        <v>2989922.7577359979</v>
      </c>
    </row>
    <row r="170" spans="1:22">
      <c r="A170" s="1" t="s">
        <v>386</v>
      </c>
      <c r="B170" s="1" t="s">
        <v>387</v>
      </c>
      <c r="C170" s="1" t="s">
        <v>357</v>
      </c>
      <c r="D170" s="1" t="s">
        <v>12</v>
      </c>
      <c r="E170" s="12">
        <v>11967</v>
      </c>
      <c r="F170" s="12" t="s">
        <v>13</v>
      </c>
      <c r="G170" s="6">
        <v>2885.25</v>
      </c>
      <c r="H170" s="1">
        <v>18.86</v>
      </c>
      <c r="J170" t="str">
        <f t="shared" si="24"/>
        <v>OK</v>
      </c>
      <c r="K170" t="str">
        <f t="shared" si="25"/>
        <v>OK</v>
      </c>
      <c r="L170">
        <f t="shared" si="34"/>
        <v>12</v>
      </c>
      <c r="M170">
        <f t="shared" si="26"/>
        <v>10</v>
      </c>
      <c r="N170" s="9" t="str">
        <f t="shared" si="35"/>
        <v>Valid</v>
      </c>
      <c r="O170" t="str">
        <f t="shared" si="27"/>
        <v>Include</v>
      </c>
      <c r="P170" s="9">
        <f t="shared" si="28"/>
        <v>2035068.5799999984</v>
      </c>
      <c r="Q170" s="15">
        <f t="shared" si="29"/>
        <v>7469725</v>
      </c>
      <c r="R170" s="9">
        <f t="shared" si="30"/>
        <v>11967</v>
      </c>
      <c r="S170" s="9">
        <f t="shared" si="31"/>
        <v>7469725</v>
      </c>
      <c r="T170" s="15">
        <f t="shared" si="32"/>
        <v>16.686436250344954</v>
      </c>
      <c r="U170" s="15">
        <f>IF(O170="Exclude",0,G170*Fuel_Price!$B$2)</f>
        <v>4239.0093000000006</v>
      </c>
      <c r="V170" s="15">
        <f t="shared" si="33"/>
        <v>2989922.7577359979</v>
      </c>
    </row>
    <row r="171" spans="1:22">
      <c r="A171" s="1" t="s">
        <v>388</v>
      </c>
      <c r="B171" s="1" t="s">
        <v>389</v>
      </c>
      <c r="C171" s="1" t="s">
        <v>357</v>
      </c>
      <c r="D171" s="1" t="s">
        <v>12</v>
      </c>
      <c r="E171" s="12">
        <v>10859</v>
      </c>
      <c r="F171" s="12" t="s">
        <v>13</v>
      </c>
      <c r="G171" s="6">
        <v>2517.89</v>
      </c>
      <c r="H171" s="1">
        <v>19.61</v>
      </c>
      <c r="J171" t="str">
        <f t="shared" si="24"/>
        <v>OK</v>
      </c>
      <c r="K171" t="str">
        <f t="shared" si="25"/>
        <v>OK</v>
      </c>
      <c r="L171">
        <f t="shared" si="34"/>
        <v>12</v>
      </c>
      <c r="M171">
        <f t="shared" si="26"/>
        <v>10</v>
      </c>
      <c r="N171" s="9" t="str">
        <f t="shared" si="35"/>
        <v>Valid</v>
      </c>
      <c r="O171" t="str">
        <f t="shared" si="27"/>
        <v>Include</v>
      </c>
      <c r="P171" s="9">
        <f t="shared" si="28"/>
        <v>2035068.5799999984</v>
      </c>
      <c r="Q171" s="15">
        <f t="shared" si="29"/>
        <v>7469725</v>
      </c>
      <c r="R171" s="9">
        <f t="shared" si="30"/>
        <v>10859</v>
      </c>
      <c r="S171" s="9">
        <f t="shared" si="31"/>
        <v>7469725</v>
      </c>
      <c r="T171" s="15">
        <f t="shared" si="32"/>
        <v>16.686436250344954</v>
      </c>
      <c r="U171" s="15">
        <f>IF(O171="Exclude",0,G171*Fuel_Price!$B$2)</f>
        <v>3699.2839880000001</v>
      </c>
      <c r="V171" s="15">
        <f t="shared" si="33"/>
        <v>2989922.7577359979</v>
      </c>
    </row>
    <row r="172" spans="1:22">
      <c r="A172" s="1" t="s">
        <v>390</v>
      </c>
      <c r="B172" s="1" t="s">
        <v>391</v>
      </c>
      <c r="C172" s="1" t="s">
        <v>357</v>
      </c>
      <c r="D172" s="1" t="s">
        <v>12</v>
      </c>
      <c r="E172" s="12">
        <v>15059</v>
      </c>
      <c r="F172" s="12" t="s">
        <v>13</v>
      </c>
      <c r="G172" s="6">
        <v>3562.62</v>
      </c>
      <c r="H172" s="1">
        <v>19.22</v>
      </c>
      <c r="J172" t="str">
        <f t="shared" si="24"/>
        <v>OK</v>
      </c>
      <c r="K172" t="str">
        <f t="shared" si="25"/>
        <v>OK</v>
      </c>
      <c r="L172">
        <f t="shared" si="34"/>
        <v>12</v>
      </c>
      <c r="M172">
        <f t="shared" si="26"/>
        <v>10</v>
      </c>
      <c r="N172" s="9" t="str">
        <f t="shared" si="35"/>
        <v>Valid</v>
      </c>
      <c r="O172" t="str">
        <f t="shared" si="27"/>
        <v>Include</v>
      </c>
      <c r="P172" s="9">
        <f t="shared" si="28"/>
        <v>2035068.5799999984</v>
      </c>
      <c r="Q172" s="15">
        <f t="shared" si="29"/>
        <v>7469725</v>
      </c>
      <c r="R172" s="9">
        <f t="shared" si="30"/>
        <v>15059</v>
      </c>
      <c r="S172" s="9">
        <f t="shared" si="31"/>
        <v>7469725</v>
      </c>
      <c r="T172" s="15">
        <f t="shared" si="32"/>
        <v>16.686436250344954</v>
      </c>
      <c r="U172" s="15">
        <f>IF(O172="Exclude",0,G172*Fuel_Price!$B$2)</f>
        <v>5234.2013040000002</v>
      </c>
      <c r="V172" s="15">
        <f t="shared" si="33"/>
        <v>2989922.7577359979</v>
      </c>
    </row>
    <row r="173" spans="1:22">
      <c r="A173" s="1" t="s">
        <v>392</v>
      </c>
      <c r="B173" s="1" t="s">
        <v>393</v>
      </c>
      <c r="C173" s="1" t="s">
        <v>357</v>
      </c>
      <c r="D173" s="1" t="s">
        <v>12</v>
      </c>
      <c r="E173" s="12">
        <v>14906</v>
      </c>
      <c r="F173" s="12" t="s">
        <v>13</v>
      </c>
      <c r="G173" s="6">
        <v>3404.85</v>
      </c>
      <c r="H173" s="1">
        <v>19.899999999999999</v>
      </c>
      <c r="J173" t="str">
        <f t="shared" si="24"/>
        <v>OK</v>
      </c>
      <c r="K173" t="str">
        <f t="shared" si="25"/>
        <v>OK</v>
      </c>
      <c r="L173">
        <f t="shared" si="34"/>
        <v>12</v>
      </c>
      <c r="M173">
        <f t="shared" si="26"/>
        <v>10</v>
      </c>
      <c r="N173" s="9" t="str">
        <f t="shared" si="35"/>
        <v>Valid</v>
      </c>
      <c r="O173" t="str">
        <f t="shared" si="27"/>
        <v>Include</v>
      </c>
      <c r="P173" s="9">
        <f t="shared" si="28"/>
        <v>2035068.5799999984</v>
      </c>
      <c r="Q173" s="15">
        <f t="shared" si="29"/>
        <v>7469725</v>
      </c>
      <c r="R173" s="9">
        <f t="shared" si="30"/>
        <v>14906</v>
      </c>
      <c r="S173" s="9">
        <f t="shared" si="31"/>
        <v>7469725</v>
      </c>
      <c r="T173" s="15">
        <f t="shared" si="32"/>
        <v>16.686436250344954</v>
      </c>
      <c r="U173" s="15">
        <f>IF(O173="Exclude",0,G173*Fuel_Price!$B$2)</f>
        <v>5002.4056200000005</v>
      </c>
      <c r="V173" s="15">
        <f t="shared" si="33"/>
        <v>2989922.7577359979</v>
      </c>
    </row>
    <row r="174" spans="1:22">
      <c r="A174" s="1" t="s">
        <v>394</v>
      </c>
      <c r="B174" s="1" t="s">
        <v>395</v>
      </c>
      <c r="C174" s="1" t="s">
        <v>357</v>
      </c>
      <c r="D174" s="1" t="s">
        <v>12</v>
      </c>
      <c r="E174" s="12">
        <v>15894</v>
      </c>
      <c r="F174" s="12" t="s">
        <v>13</v>
      </c>
      <c r="G174" s="6">
        <v>3466.9</v>
      </c>
      <c r="H174" s="1">
        <v>20.84</v>
      </c>
      <c r="J174" t="str">
        <f t="shared" si="24"/>
        <v>OK</v>
      </c>
      <c r="K174" t="str">
        <f t="shared" si="25"/>
        <v>OK</v>
      </c>
      <c r="L174">
        <f t="shared" si="34"/>
        <v>12</v>
      </c>
      <c r="M174">
        <f t="shared" si="26"/>
        <v>10</v>
      </c>
      <c r="N174" s="9" t="str">
        <f t="shared" si="35"/>
        <v>Valid</v>
      </c>
      <c r="O174" t="str">
        <f t="shared" si="27"/>
        <v>Include</v>
      </c>
      <c r="P174" s="9">
        <f t="shared" si="28"/>
        <v>2035068.5799999984</v>
      </c>
      <c r="Q174" s="15">
        <f t="shared" si="29"/>
        <v>7469725</v>
      </c>
      <c r="R174" s="9">
        <f t="shared" si="30"/>
        <v>15894</v>
      </c>
      <c r="S174" s="9">
        <f t="shared" si="31"/>
        <v>7469725</v>
      </c>
      <c r="T174" s="15">
        <f t="shared" si="32"/>
        <v>16.686436250344954</v>
      </c>
      <c r="U174" s="15">
        <f>IF(O174="Exclude",0,G174*Fuel_Price!$B$2)</f>
        <v>5093.5694800000001</v>
      </c>
      <c r="V174" s="15">
        <f t="shared" si="33"/>
        <v>2989922.7577359979</v>
      </c>
    </row>
    <row r="175" spans="1:22">
      <c r="A175" s="1" t="s">
        <v>396</v>
      </c>
      <c r="B175" s="1" t="s">
        <v>397</v>
      </c>
      <c r="C175" s="1" t="s">
        <v>357</v>
      </c>
      <c r="D175" s="1" t="s">
        <v>12</v>
      </c>
      <c r="E175" s="12">
        <v>14018</v>
      </c>
      <c r="F175" s="12" t="s">
        <v>13</v>
      </c>
      <c r="G175" s="6">
        <v>3332.61</v>
      </c>
      <c r="H175" s="1">
        <v>19.12</v>
      </c>
      <c r="J175" t="str">
        <f t="shared" si="24"/>
        <v>OK</v>
      </c>
      <c r="K175" t="str">
        <f t="shared" si="25"/>
        <v>OK</v>
      </c>
      <c r="L175">
        <f t="shared" si="34"/>
        <v>12</v>
      </c>
      <c r="M175">
        <f t="shared" si="26"/>
        <v>10</v>
      </c>
      <c r="N175" s="9" t="str">
        <f t="shared" si="35"/>
        <v>Valid</v>
      </c>
      <c r="O175" t="str">
        <f t="shared" si="27"/>
        <v>Include</v>
      </c>
      <c r="P175" s="9">
        <f t="shared" si="28"/>
        <v>2035068.5799999984</v>
      </c>
      <c r="Q175" s="15">
        <f t="shared" si="29"/>
        <v>7469725</v>
      </c>
      <c r="R175" s="9">
        <f t="shared" si="30"/>
        <v>14018</v>
      </c>
      <c r="S175" s="9">
        <f t="shared" si="31"/>
        <v>7469725</v>
      </c>
      <c r="T175" s="15">
        <f t="shared" si="32"/>
        <v>16.686436250344954</v>
      </c>
      <c r="U175" s="15">
        <f>IF(O175="Exclude",0,G175*Fuel_Price!$B$2)</f>
        <v>4896.2706120000003</v>
      </c>
      <c r="V175" s="15">
        <f t="shared" si="33"/>
        <v>2989922.7577359979</v>
      </c>
    </row>
    <row r="176" spans="1:22">
      <c r="A176" s="1" t="s">
        <v>398</v>
      </c>
      <c r="B176" s="1" t="s">
        <v>399</v>
      </c>
      <c r="C176" s="1" t="s">
        <v>357</v>
      </c>
      <c r="D176" s="1" t="s">
        <v>12</v>
      </c>
      <c r="E176" s="12">
        <v>21469</v>
      </c>
      <c r="F176" s="12" t="s">
        <v>13</v>
      </c>
      <c r="G176" s="6">
        <v>4179.47</v>
      </c>
      <c r="H176" s="1">
        <v>23.35</v>
      </c>
      <c r="J176" t="str">
        <f t="shared" si="24"/>
        <v>OK</v>
      </c>
      <c r="K176" t="str">
        <f t="shared" si="25"/>
        <v>OK</v>
      </c>
      <c r="L176">
        <f t="shared" si="34"/>
        <v>12</v>
      </c>
      <c r="M176">
        <f t="shared" si="26"/>
        <v>10</v>
      </c>
      <c r="N176" s="9" t="str">
        <f t="shared" si="35"/>
        <v>Valid</v>
      </c>
      <c r="O176" t="str">
        <f t="shared" si="27"/>
        <v>Include</v>
      </c>
      <c r="P176" s="9">
        <f t="shared" si="28"/>
        <v>2035068.5799999984</v>
      </c>
      <c r="Q176" s="15">
        <f t="shared" si="29"/>
        <v>7469725</v>
      </c>
      <c r="R176" s="9">
        <f t="shared" si="30"/>
        <v>21469</v>
      </c>
      <c r="S176" s="9">
        <f t="shared" si="31"/>
        <v>7469725</v>
      </c>
      <c r="T176" s="15">
        <f t="shared" si="32"/>
        <v>16.686436250344954</v>
      </c>
      <c r="U176" s="15">
        <f>IF(O176="Exclude",0,G176*Fuel_Price!$B$2)</f>
        <v>6140.4773240000004</v>
      </c>
      <c r="V176" s="15">
        <f t="shared" si="33"/>
        <v>2989922.7577359979</v>
      </c>
    </row>
    <row r="177" spans="1:22">
      <c r="A177" s="1" t="s">
        <v>400</v>
      </c>
      <c r="B177" s="1" t="s">
        <v>401</v>
      </c>
      <c r="C177" s="1" t="s">
        <v>402</v>
      </c>
      <c r="D177" s="1" t="s">
        <v>12</v>
      </c>
      <c r="E177" s="12">
        <v>16508</v>
      </c>
      <c r="F177" s="12" t="s">
        <v>13</v>
      </c>
      <c r="G177" s="6">
        <v>3509.68</v>
      </c>
      <c r="H177" s="1">
        <v>21.38</v>
      </c>
      <c r="J177" t="str">
        <f t="shared" si="24"/>
        <v>OK</v>
      </c>
      <c r="K177" t="str">
        <f t="shared" si="25"/>
        <v>OK</v>
      </c>
      <c r="L177">
        <f t="shared" si="34"/>
        <v>12</v>
      </c>
      <c r="M177">
        <f t="shared" si="26"/>
        <v>10</v>
      </c>
      <c r="N177" s="9" t="str">
        <f t="shared" si="35"/>
        <v>Valid</v>
      </c>
      <c r="O177" t="str">
        <f t="shared" si="27"/>
        <v>Include</v>
      </c>
      <c r="P177" s="9">
        <f t="shared" si="28"/>
        <v>2035068.5799999984</v>
      </c>
      <c r="Q177" s="15">
        <f t="shared" si="29"/>
        <v>7469725</v>
      </c>
      <c r="R177" s="9">
        <f t="shared" si="30"/>
        <v>16508</v>
      </c>
      <c r="S177" s="9">
        <f t="shared" si="31"/>
        <v>7469725</v>
      </c>
      <c r="T177" s="15">
        <f t="shared" si="32"/>
        <v>16.686436250344954</v>
      </c>
      <c r="U177" s="15">
        <f>IF(O177="Exclude",0,G177*Fuel_Price!$B$2)</f>
        <v>5156.4218559999999</v>
      </c>
      <c r="V177" s="15">
        <f t="shared" si="33"/>
        <v>2989922.7577359979</v>
      </c>
    </row>
    <row r="178" spans="1:22">
      <c r="A178" s="1" t="s">
        <v>403</v>
      </c>
      <c r="B178" s="1" t="s">
        <v>404</v>
      </c>
      <c r="C178" s="1" t="s">
        <v>352</v>
      </c>
      <c r="D178" s="1" t="s">
        <v>12</v>
      </c>
      <c r="E178" s="12">
        <v>11981</v>
      </c>
      <c r="F178" s="12" t="s">
        <v>13</v>
      </c>
      <c r="G178" s="6">
        <v>2828.62</v>
      </c>
      <c r="H178" s="1">
        <v>19.260000000000002</v>
      </c>
      <c r="J178" t="str">
        <f t="shared" si="24"/>
        <v>OK</v>
      </c>
      <c r="K178" t="str">
        <f t="shared" si="25"/>
        <v>OK</v>
      </c>
      <c r="L178">
        <f t="shared" si="34"/>
        <v>12</v>
      </c>
      <c r="M178">
        <f t="shared" si="26"/>
        <v>10</v>
      </c>
      <c r="N178" s="9" t="str">
        <f t="shared" si="35"/>
        <v>Valid</v>
      </c>
      <c r="O178" t="str">
        <f t="shared" si="27"/>
        <v>Include</v>
      </c>
      <c r="P178" s="9">
        <f t="shared" si="28"/>
        <v>2035068.5799999984</v>
      </c>
      <c r="Q178" s="15">
        <f t="shared" si="29"/>
        <v>7469725</v>
      </c>
      <c r="R178" s="9">
        <f t="shared" si="30"/>
        <v>11981</v>
      </c>
      <c r="S178" s="9">
        <f t="shared" si="31"/>
        <v>7469725</v>
      </c>
      <c r="T178" s="15">
        <f t="shared" si="32"/>
        <v>16.686436250344954</v>
      </c>
      <c r="U178" s="15">
        <f>IF(O178="Exclude",0,G178*Fuel_Price!$B$2)</f>
        <v>4155.8085039999996</v>
      </c>
      <c r="V178" s="15">
        <f t="shared" si="33"/>
        <v>2989922.7577359979</v>
      </c>
    </row>
    <row r="179" spans="1:22">
      <c r="A179" s="1" t="s">
        <v>405</v>
      </c>
      <c r="B179" s="1" t="s">
        <v>406</v>
      </c>
      <c r="C179" s="1" t="s">
        <v>352</v>
      </c>
      <c r="D179" s="1" t="s">
        <v>12</v>
      </c>
      <c r="E179" s="12">
        <v>11903</v>
      </c>
      <c r="F179" s="12" t="s">
        <v>13</v>
      </c>
      <c r="G179" s="6">
        <v>2412.73</v>
      </c>
      <c r="H179" s="1">
        <v>22.43</v>
      </c>
      <c r="J179" t="str">
        <f t="shared" si="24"/>
        <v>OK</v>
      </c>
      <c r="K179" t="str">
        <f t="shared" si="25"/>
        <v>OK</v>
      </c>
      <c r="L179">
        <f t="shared" si="34"/>
        <v>12</v>
      </c>
      <c r="M179">
        <f t="shared" si="26"/>
        <v>10</v>
      </c>
      <c r="N179" s="9" t="str">
        <f t="shared" si="35"/>
        <v>Valid</v>
      </c>
      <c r="O179" t="str">
        <f t="shared" si="27"/>
        <v>Include</v>
      </c>
      <c r="P179" s="9">
        <f t="shared" si="28"/>
        <v>2035068.5799999984</v>
      </c>
      <c r="Q179" s="15">
        <f t="shared" si="29"/>
        <v>7469725</v>
      </c>
      <c r="R179" s="9">
        <f t="shared" si="30"/>
        <v>11903</v>
      </c>
      <c r="S179" s="9">
        <f t="shared" si="31"/>
        <v>7469725</v>
      </c>
      <c r="T179" s="15">
        <f t="shared" si="32"/>
        <v>16.686436250344954</v>
      </c>
      <c r="U179" s="15">
        <f>IF(O179="Exclude",0,G179*Fuel_Price!$B$2)</f>
        <v>3544.7829160000001</v>
      </c>
      <c r="V179" s="15">
        <f t="shared" si="33"/>
        <v>2989922.7577359979</v>
      </c>
    </row>
    <row r="180" spans="1:22">
      <c r="A180" s="1" t="s">
        <v>407</v>
      </c>
      <c r="B180" s="1" t="s">
        <v>408</v>
      </c>
      <c r="C180" s="1" t="s">
        <v>352</v>
      </c>
      <c r="D180" s="1" t="s">
        <v>12</v>
      </c>
      <c r="E180" s="12">
        <v>11706</v>
      </c>
      <c r="F180" s="12" t="s">
        <v>13</v>
      </c>
      <c r="G180" s="6">
        <v>2415.96</v>
      </c>
      <c r="H180" s="1">
        <v>22.03</v>
      </c>
      <c r="J180" t="str">
        <f t="shared" si="24"/>
        <v>OK</v>
      </c>
      <c r="K180" t="str">
        <f t="shared" si="25"/>
        <v>OK</v>
      </c>
      <c r="L180">
        <f t="shared" si="34"/>
        <v>12</v>
      </c>
      <c r="M180">
        <f t="shared" si="26"/>
        <v>10</v>
      </c>
      <c r="N180" s="9" t="str">
        <f t="shared" si="35"/>
        <v>Valid</v>
      </c>
      <c r="O180" t="str">
        <f t="shared" si="27"/>
        <v>Include</v>
      </c>
      <c r="P180" s="9">
        <f t="shared" si="28"/>
        <v>2035068.5799999984</v>
      </c>
      <c r="Q180" s="15">
        <f t="shared" si="29"/>
        <v>7469725</v>
      </c>
      <c r="R180" s="9">
        <f t="shared" si="30"/>
        <v>11706</v>
      </c>
      <c r="S180" s="9">
        <f t="shared" si="31"/>
        <v>7469725</v>
      </c>
      <c r="T180" s="15">
        <f t="shared" si="32"/>
        <v>16.686436250344954</v>
      </c>
      <c r="U180" s="15">
        <f>IF(O180="Exclude",0,G180*Fuel_Price!$B$2)</f>
        <v>3549.5284320000001</v>
      </c>
      <c r="V180" s="15">
        <f t="shared" si="33"/>
        <v>2989922.7577359979</v>
      </c>
    </row>
    <row r="181" spans="1:22">
      <c r="A181" s="1" t="s">
        <v>409</v>
      </c>
      <c r="B181" s="1" t="s">
        <v>410</v>
      </c>
      <c r="C181" s="1" t="s">
        <v>352</v>
      </c>
      <c r="D181" s="1" t="s">
        <v>12</v>
      </c>
      <c r="E181" s="12">
        <v>12301</v>
      </c>
      <c r="F181" s="12" t="s">
        <v>13</v>
      </c>
      <c r="G181" s="6">
        <v>2849.25</v>
      </c>
      <c r="H181" s="1">
        <v>19.63</v>
      </c>
      <c r="J181" t="str">
        <f t="shared" si="24"/>
        <v>OK</v>
      </c>
      <c r="K181" t="str">
        <f t="shared" si="25"/>
        <v>OK</v>
      </c>
      <c r="L181">
        <f t="shared" si="34"/>
        <v>12</v>
      </c>
      <c r="M181">
        <f t="shared" si="26"/>
        <v>10</v>
      </c>
      <c r="N181" s="9" t="str">
        <f t="shared" si="35"/>
        <v>Valid</v>
      </c>
      <c r="O181" t="str">
        <f t="shared" si="27"/>
        <v>Include</v>
      </c>
      <c r="P181" s="9">
        <f t="shared" si="28"/>
        <v>2035068.5799999984</v>
      </c>
      <c r="Q181" s="15">
        <f t="shared" si="29"/>
        <v>7469725</v>
      </c>
      <c r="R181" s="9">
        <f t="shared" si="30"/>
        <v>12301</v>
      </c>
      <c r="S181" s="9">
        <f t="shared" si="31"/>
        <v>7469725</v>
      </c>
      <c r="T181" s="15">
        <f t="shared" si="32"/>
        <v>16.686436250344954</v>
      </c>
      <c r="U181" s="15">
        <f>IF(O181="Exclude",0,G181*Fuel_Price!$B$2)</f>
        <v>4186.1181000000006</v>
      </c>
      <c r="V181" s="15">
        <f t="shared" si="33"/>
        <v>2989922.7577359979</v>
      </c>
    </row>
    <row r="182" spans="1:22">
      <c r="A182" s="1" t="s">
        <v>411</v>
      </c>
      <c r="B182" s="1" t="s">
        <v>412</v>
      </c>
      <c r="C182" s="1" t="s">
        <v>352</v>
      </c>
      <c r="D182" s="1" t="s">
        <v>12</v>
      </c>
      <c r="E182" s="12">
        <v>9366</v>
      </c>
      <c r="F182" s="12" t="s">
        <v>13</v>
      </c>
      <c r="G182" s="6">
        <v>1986.44</v>
      </c>
      <c r="H182" s="1">
        <v>21.43</v>
      </c>
      <c r="J182" t="str">
        <f t="shared" si="24"/>
        <v>OK</v>
      </c>
      <c r="K182" t="str">
        <f t="shared" si="25"/>
        <v>OK</v>
      </c>
      <c r="L182">
        <f t="shared" si="34"/>
        <v>12</v>
      </c>
      <c r="M182">
        <f t="shared" si="26"/>
        <v>10</v>
      </c>
      <c r="N182" s="9" t="str">
        <f t="shared" si="35"/>
        <v>Valid</v>
      </c>
      <c r="O182" t="str">
        <f t="shared" si="27"/>
        <v>Include</v>
      </c>
      <c r="P182" s="9">
        <f t="shared" si="28"/>
        <v>2035068.5799999984</v>
      </c>
      <c r="Q182" s="15">
        <f t="shared" si="29"/>
        <v>7469725</v>
      </c>
      <c r="R182" s="9">
        <f t="shared" si="30"/>
        <v>9366</v>
      </c>
      <c r="S182" s="9">
        <f t="shared" si="31"/>
        <v>7469725</v>
      </c>
      <c r="T182" s="15">
        <f t="shared" si="32"/>
        <v>16.686436250344954</v>
      </c>
      <c r="U182" s="15">
        <f>IF(O182="Exclude",0,G182*Fuel_Price!$B$2)</f>
        <v>2918.477648</v>
      </c>
      <c r="V182" s="15">
        <f t="shared" si="33"/>
        <v>2989922.7577359979</v>
      </c>
    </row>
    <row r="183" spans="1:22">
      <c r="A183" s="1" t="s">
        <v>413</v>
      </c>
      <c r="B183" s="1" t="s">
        <v>414</v>
      </c>
      <c r="C183" s="1" t="s">
        <v>415</v>
      </c>
      <c r="D183" s="1" t="s">
        <v>12</v>
      </c>
      <c r="E183" s="12">
        <v>8643</v>
      </c>
      <c r="F183" s="12" t="s">
        <v>13</v>
      </c>
      <c r="G183" s="6">
        <v>2146.87</v>
      </c>
      <c r="H183" s="1">
        <v>18.3</v>
      </c>
      <c r="J183" t="str">
        <f t="shared" si="24"/>
        <v>OK</v>
      </c>
      <c r="K183" t="str">
        <f t="shared" si="25"/>
        <v>OK</v>
      </c>
      <c r="L183">
        <f t="shared" si="34"/>
        <v>12</v>
      </c>
      <c r="M183">
        <f t="shared" si="26"/>
        <v>10</v>
      </c>
      <c r="N183" s="9" t="str">
        <f t="shared" si="35"/>
        <v>Valid</v>
      </c>
      <c r="O183" t="str">
        <f t="shared" si="27"/>
        <v>Include</v>
      </c>
      <c r="P183" s="9">
        <f t="shared" si="28"/>
        <v>2035068.5799999984</v>
      </c>
      <c r="Q183" s="15">
        <f t="shared" si="29"/>
        <v>7469725</v>
      </c>
      <c r="R183" s="9">
        <f t="shared" si="30"/>
        <v>8643</v>
      </c>
      <c r="S183" s="9">
        <f t="shared" si="31"/>
        <v>7469725</v>
      </c>
      <c r="T183" s="15">
        <f t="shared" si="32"/>
        <v>16.686436250344954</v>
      </c>
      <c r="U183" s="15">
        <f>IF(O183="Exclude",0,G183*Fuel_Price!$B$2)</f>
        <v>3154.1814039999999</v>
      </c>
      <c r="V183" s="15">
        <f t="shared" si="33"/>
        <v>2989922.7577359979</v>
      </c>
    </row>
    <row r="184" spans="1:22">
      <c r="A184" s="1" t="s">
        <v>416</v>
      </c>
      <c r="B184" s="1" t="s">
        <v>417</v>
      </c>
      <c r="C184" s="1" t="s">
        <v>418</v>
      </c>
      <c r="D184" s="1" t="s">
        <v>12</v>
      </c>
      <c r="E184" s="12">
        <v>13664</v>
      </c>
      <c r="F184" s="12" t="s">
        <v>13</v>
      </c>
      <c r="G184" s="6">
        <v>3177.79</v>
      </c>
      <c r="H184" s="1">
        <v>19.55</v>
      </c>
      <c r="J184" t="str">
        <f t="shared" si="24"/>
        <v>OK</v>
      </c>
      <c r="K184" t="str">
        <f t="shared" si="25"/>
        <v>OK</v>
      </c>
      <c r="L184">
        <f t="shared" si="34"/>
        <v>12</v>
      </c>
      <c r="M184">
        <f t="shared" si="26"/>
        <v>10</v>
      </c>
      <c r="N184" s="9" t="str">
        <f t="shared" si="35"/>
        <v>Valid</v>
      </c>
      <c r="O184" t="str">
        <f t="shared" si="27"/>
        <v>Include</v>
      </c>
      <c r="P184" s="9">
        <f t="shared" si="28"/>
        <v>2035068.5799999984</v>
      </c>
      <c r="Q184" s="15">
        <f t="shared" si="29"/>
        <v>7469725</v>
      </c>
      <c r="R184" s="9">
        <f t="shared" si="30"/>
        <v>13664</v>
      </c>
      <c r="S184" s="9">
        <f t="shared" si="31"/>
        <v>7469725</v>
      </c>
      <c r="T184" s="15">
        <f t="shared" si="32"/>
        <v>16.686436250344954</v>
      </c>
      <c r="U184" s="15">
        <f>IF(O184="Exclude",0,G184*Fuel_Price!$B$2)</f>
        <v>4668.8090680000005</v>
      </c>
      <c r="V184" s="15">
        <f t="shared" si="33"/>
        <v>2989922.7577359979</v>
      </c>
    </row>
    <row r="185" spans="1:22">
      <c r="A185" s="1" t="s">
        <v>419</v>
      </c>
      <c r="B185" s="1" t="s">
        <v>420</v>
      </c>
      <c r="C185" s="1" t="s">
        <v>421</v>
      </c>
      <c r="D185" s="1" t="s">
        <v>12</v>
      </c>
      <c r="E185" s="12">
        <v>11132</v>
      </c>
      <c r="F185" s="12" t="s">
        <v>13</v>
      </c>
      <c r="G185" s="6">
        <v>2888.5</v>
      </c>
      <c r="H185" s="1">
        <v>17.52</v>
      </c>
      <c r="J185" t="str">
        <f t="shared" si="24"/>
        <v>OK</v>
      </c>
      <c r="K185" t="str">
        <f t="shared" si="25"/>
        <v>OK</v>
      </c>
      <c r="L185">
        <f t="shared" si="34"/>
        <v>12</v>
      </c>
      <c r="M185">
        <f t="shared" si="26"/>
        <v>10</v>
      </c>
      <c r="N185" s="9" t="str">
        <f t="shared" si="35"/>
        <v>Valid</v>
      </c>
      <c r="O185" t="str">
        <f t="shared" si="27"/>
        <v>Include</v>
      </c>
      <c r="P185" s="9">
        <f t="shared" si="28"/>
        <v>2035068.5799999984</v>
      </c>
      <c r="Q185" s="15">
        <f t="shared" si="29"/>
        <v>7469725</v>
      </c>
      <c r="R185" s="9">
        <f t="shared" si="30"/>
        <v>11132</v>
      </c>
      <c r="S185" s="9">
        <f t="shared" si="31"/>
        <v>7469725</v>
      </c>
      <c r="T185" s="15">
        <f t="shared" si="32"/>
        <v>16.686436250344954</v>
      </c>
      <c r="U185" s="15">
        <f>IF(O185="Exclude",0,G185*Fuel_Price!$B$2)</f>
        <v>4243.7842000000001</v>
      </c>
      <c r="V185" s="15">
        <f t="shared" si="33"/>
        <v>2989922.7577359979</v>
      </c>
    </row>
    <row r="186" spans="1:22">
      <c r="A186" s="1" t="s">
        <v>422</v>
      </c>
      <c r="B186" s="1" t="s">
        <v>423</v>
      </c>
      <c r="C186" s="1" t="s">
        <v>418</v>
      </c>
      <c r="D186" s="1" t="s">
        <v>12</v>
      </c>
      <c r="E186" s="12">
        <v>12906</v>
      </c>
      <c r="F186" s="12" t="s">
        <v>13</v>
      </c>
      <c r="G186" s="6">
        <v>3456</v>
      </c>
      <c r="H186" s="1">
        <v>16.98</v>
      </c>
      <c r="J186" t="str">
        <f t="shared" si="24"/>
        <v>OK</v>
      </c>
      <c r="K186" t="str">
        <f t="shared" si="25"/>
        <v>OK</v>
      </c>
      <c r="L186">
        <f t="shared" si="34"/>
        <v>12</v>
      </c>
      <c r="M186">
        <f t="shared" si="26"/>
        <v>10</v>
      </c>
      <c r="N186" s="9" t="str">
        <f t="shared" si="35"/>
        <v>Valid</v>
      </c>
      <c r="O186" t="str">
        <f t="shared" si="27"/>
        <v>Include</v>
      </c>
      <c r="P186" s="9">
        <f t="shared" si="28"/>
        <v>2035068.5799999984</v>
      </c>
      <c r="Q186" s="15">
        <f t="shared" si="29"/>
        <v>7469725</v>
      </c>
      <c r="R186" s="9">
        <f t="shared" si="30"/>
        <v>12906</v>
      </c>
      <c r="S186" s="9">
        <f t="shared" si="31"/>
        <v>7469725</v>
      </c>
      <c r="T186" s="15">
        <f t="shared" si="32"/>
        <v>16.686436250344954</v>
      </c>
      <c r="U186" s="15">
        <f>IF(O186="Exclude",0,G186*Fuel_Price!$B$2)</f>
        <v>5077.5551999999998</v>
      </c>
      <c r="V186" s="15">
        <f t="shared" si="33"/>
        <v>2989922.7577359979</v>
      </c>
    </row>
    <row r="187" spans="1:22">
      <c r="A187" s="1" t="s">
        <v>424</v>
      </c>
      <c r="B187" s="1" t="s">
        <v>425</v>
      </c>
      <c r="C187" s="1" t="s">
        <v>418</v>
      </c>
      <c r="D187" s="1" t="s">
        <v>12</v>
      </c>
      <c r="E187" s="12">
        <v>14257</v>
      </c>
      <c r="F187" s="12" t="s">
        <v>13</v>
      </c>
      <c r="G187" s="6">
        <v>3047.01</v>
      </c>
      <c r="H187" s="1">
        <v>21.27</v>
      </c>
      <c r="J187" t="str">
        <f t="shared" si="24"/>
        <v>OK</v>
      </c>
      <c r="K187" t="str">
        <f t="shared" si="25"/>
        <v>OK</v>
      </c>
      <c r="L187">
        <f t="shared" si="34"/>
        <v>12</v>
      </c>
      <c r="M187">
        <f t="shared" si="26"/>
        <v>10</v>
      </c>
      <c r="N187" s="9" t="str">
        <f t="shared" si="35"/>
        <v>Valid</v>
      </c>
      <c r="O187" t="str">
        <f t="shared" si="27"/>
        <v>Include</v>
      </c>
      <c r="P187" s="9">
        <f t="shared" si="28"/>
        <v>2035068.5799999984</v>
      </c>
      <c r="Q187" s="15">
        <f t="shared" si="29"/>
        <v>7469725</v>
      </c>
      <c r="R187" s="9">
        <f t="shared" si="30"/>
        <v>14257</v>
      </c>
      <c r="S187" s="9">
        <f t="shared" si="31"/>
        <v>7469725</v>
      </c>
      <c r="T187" s="15">
        <f t="shared" si="32"/>
        <v>16.686436250344954</v>
      </c>
      <c r="U187" s="15">
        <f>IF(O187="Exclude",0,G187*Fuel_Price!$B$2)</f>
        <v>4476.6670920000006</v>
      </c>
      <c r="V187" s="15">
        <f t="shared" si="33"/>
        <v>2989922.7577359979</v>
      </c>
    </row>
    <row r="188" spans="1:22">
      <c r="A188" s="1" t="s">
        <v>426</v>
      </c>
      <c r="B188" s="1" t="s">
        <v>427</v>
      </c>
      <c r="C188" s="1" t="s">
        <v>428</v>
      </c>
      <c r="D188" s="1" t="s">
        <v>12</v>
      </c>
      <c r="E188" s="12">
        <v>10294</v>
      </c>
      <c r="F188" s="12" t="s">
        <v>13</v>
      </c>
      <c r="G188" s="6">
        <v>2381.8000000000002</v>
      </c>
      <c r="H188" s="1">
        <v>19.649999999999999</v>
      </c>
      <c r="J188" t="str">
        <f t="shared" si="24"/>
        <v>OK</v>
      </c>
      <c r="K188" t="str">
        <f t="shared" si="25"/>
        <v>OK</v>
      </c>
      <c r="L188">
        <f t="shared" si="34"/>
        <v>12</v>
      </c>
      <c r="M188">
        <f t="shared" si="26"/>
        <v>10</v>
      </c>
      <c r="N188" s="9" t="str">
        <f t="shared" si="35"/>
        <v>Valid</v>
      </c>
      <c r="O188" t="str">
        <f t="shared" si="27"/>
        <v>Include</v>
      </c>
      <c r="P188" s="9">
        <f t="shared" si="28"/>
        <v>2035068.5799999984</v>
      </c>
      <c r="Q188" s="15">
        <f t="shared" si="29"/>
        <v>7469725</v>
      </c>
      <c r="R188" s="9">
        <f t="shared" si="30"/>
        <v>10294</v>
      </c>
      <c r="S188" s="9">
        <f t="shared" si="31"/>
        <v>7469725</v>
      </c>
      <c r="T188" s="15">
        <f t="shared" si="32"/>
        <v>16.686436250344954</v>
      </c>
      <c r="U188" s="15">
        <f>IF(O188="Exclude",0,G188*Fuel_Price!$B$2)</f>
        <v>3499.3405600000006</v>
      </c>
      <c r="V188" s="15">
        <f t="shared" si="33"/>
        <v>2989922.7577359979</v>
      </c>
    </row>
    <row r="189" spans="1:22">
      <c r="A189" s="1" t="s">
        <v>429</v>
      </c>
      <c r="B189" s="1" t="s">
        <v>430</v>
      </c>
      <c r="C189" s="1" t="s">
        <v>418</v>
      </c>
      <c r="D189" s="1" t="s">
        <v>12</v>
      </c>
      <c r="E189" s="12">
        <v>13595</v>
      </c>
      <c r="F189" s="12" t="s">
        <v>13</v>
      </c>
      <c r="G189" s="6">
        <v>3644.97</v>
      </c>
      <c r="H189" s="1">
        <v>16.96</v>
      </c>
      <c r="J189" t="str">
        <f t="shared" si="24"/>
        <v>OK</v>
      </c>
      <c r="K189" t="str">
        <f t="shared" si="25"/>
        <v>OK</v>
      </c>
      <c r="L189">
        <f t="shared" si="34"/>
        <v>12</v>
      </c>
      <c r="M189">
        <f t="shared" si="26"/>
        <v>10</v>
      </c>
      <c r="N189" s="9" t="str">
        <f t="shared" si="35"/>
        <v>Valid</v>
      </c>
      <c r="O189" t="str">
        <f t="shared" si="27"/>
        <v>Include</v>
      </c>
      <c r="P189" s="9">
        <f t="shared" si="28"/>
        <v>2035068.5799999984</v>
      </c>
      <c r="Q189" s="15">
        <f t="shared" si="29"/>
        <v>7469725</v>
      </c>
      <c r="R189" s="9">
        <f t="shared" si="30"/>
        <v>13595</v>
      </c>
      <c r="S189" s="9">
        <f t="shared" si="31"/>
        <v>7469725</v>
      </c>
      <c r="T189" s="15">
        <f t="shared" si="32"/>
        <v>16.686436250344954</v>
      </c>
      <c r="U189" s="15">
        <f>IF(O189="Exclude",0,G189*Fuel_Price!$B$2)</f>
        <v>5355.1899240000002</v>
      </c>
      <c r="V189" s="15">
        <f t="shared" si="33"/>
        <v>2989922.7577359979</v>
      </c>
    </row>
    <row r="190" spans="1:22">
      <c r="A190" s="1" t="s">
        <v>431</v>
      </c>
      <c r="B190" s="1" t="s">
        <v>432</v>
      </c>
      <c r="C190" s="1" t="s">
        <v>418</v>
      </c>
      <c r="D190" s="1" t="s">
        <v>12</v>
      </c>
      <c r="E190" s="12">
        <v>11968</v>
      </c>
      <c r="F190" s="12" t="s">
        <v>13</v>
      </c>
      <c r="G190" s="6">
        <v>2878.99</v>
      </c>
      <c r="H190" s="1">
        <v>18.899999999999999</v>
      </c>
      <c r="J190" t="str">
        <f t="shared" si="24"/>
        <v>OK</v>
      </c>
      <c r="K190" t="str">
        <f t="shared" si="25"/>
        <v>OK</v>
      </c>
      <c r="L190">
        <f t="shared" si="34"/>
        <v>12</v>
      </c>
      <c r="M190">
        <f t="shared" si="26"/>
        <v>10</v>
      </c>
      <c r="N190" s="9" t="str">
        <f t="shared" si="35"/>
        <v>Valid</v>
      </c>
      <c r="O190" t="str">
        <f t="shared" si="27"/>
        <v>Include</v>
      </c>
      <c r="P190" s="9">
        <f t="shared" si="28"/>
        <v>2035068.5799999984</v>
      </c>
      <c r="Q190" s="15">
        <f t="shared" si="29"/>
        <v>7469725</v>
      </c>
      <c r="R190" s="9">
        <f t="shared" si="30"/>
        <v>11968</v>
      </c>
      <c r="S190" s="9">
        <f t="shared" si="31"/>
        <v>7469725</v>
      </c>
      <c r="T190" s="15">
        <f t="shared" si="32"/>
        <v>16.686436250344954</v>
      </c>
      <c r="U190" s="15">
        <f>IF(O190="Exclude",0,G190*Fuel_Price!$B$2)</f>
        <v>4229.8121080000001</v>
      </c>
      <c r="V190" s="15">
        <f t="shared" si="33"/>
        <v>2989922.7577359979</v>
      </c>
    </row>
    <row r="191" spans="1:22">
      <c r="A191" s="1" t="s">
        <v>433</v>
      </c>
      <c r="B191" s="1" t="s">
        <v>434</v>
      </c>
      <c r="C191" s="1" t="s">
        <v>418</v>
      </c>
      <c r="D191" s="1" t="s">
        <v>12</v>
      </c>
      <c r="E191" s="12">
        <v>8522</v>
      </c>
      <c r="F191" s="12" t="s">
        <v>13</v>
      </c>
      <c r="G191" s="6">
        <v>2288.19</v>
      </c>
      <c r="H191" s="1">
        <v>16.93</v>
      </c>
      <c r="J191" t="str">
        <f t="shared" si="24"/>
        <v>OK</v>
      </c>
      <c r="K191" t="str">
        <f t="shared" si="25"/>
        <v>OK</v>
      </c>
      <c r="L191">
        <f t="shared" si="34"/>
        <v>12</v>
      </c>
      <c r="M191">
        <f t="shared" si="26"/>
        <v>10</v>
      </c>
      <c r="N191" s="9" t="str">
        <f t="shared" si="35"/>
        <v>Valid</v>
      </c>
      <c r="O191" t="str">
        <f t="shared" si="27"/>
        <v>Include</v>
      </c>
      <c r="P191" s="9">
        <f t="shared" si="28"/>
        <v>2035068.5799999984</v>
      </c>
      <c r="Q191" s="15">
        <f t="shared" si="29"/>
        <v>7469725</v>
      </c>
      <c r="R191" s="9">
        <f t="shared" si="30"/>
        <v>8522</v>
      </c>
      <c r="S191" s="9">
        <f t="shared" si="31"/>
        <v>7469725</v>
      </c>
      <c r="T191" s="15">
        <f t="shared" si="32"/>
        <v>16.686436250344954</v>
      </c>
      <c r="U191" s="15">
        <f>IF(O191="Exclude",0,G191*Fuel_Price!$B$2)</f>
        <v>3361.8087480000004</v>
      </c>
      <c r="V191" s="15">
        <f t="shared" si="33"/>
        <v>2989922.7577359979</v>
      </c>
    </row>
    <row r="192" spans="1:22">
      <c r="A192" s="1" t="s">
        <v>435</v>
      </c>
      <c r="B192" s="1" t="s">
        <v>436</v>
      </c>
      <c r="C192" s="1" t="s">
        <v>418</v>
      </c>
      <c r="D192" s="1" t="s">
        <v>12</v>
      </c>
      <c r="E192" s="12">
        <v>14147</v>
      </c>
      <c r="F192" s="12" t="s">
        <v>13</v>
      </c>
      <c r="G192" s="6">
        <v>3599.53</v>
      </c>
      <c r="H192" s="1">
        <v>17.87</v>
      </c>
      <c r="J192" t="str">
        <f t="shared" si="24"/>
        <v>OK</v>
      </c>
      <c r="K192" t="str">
        <f t="shared" si="25"/>
        <v>OK</v>
      </c>
      <c r="L192">
        <f t="shared" si="34"/>
        <v>12</v>
      </c>
      <c r="M192">
        <f t="shared" si="26"/>
        <v>10</v>
      </c>
      <c r="N192" s="9" t="str">
        <f t="shared" si="35"/>
        <v>Valid</v>
      </c>
      <c r="O192" t="str">
        <f t="shared" si="27"/>
        <v>Include</v>
      </c>
      <c r="P192" s="9">
        <f t="shared" si="28"/>
        <v>2035068.5799999984</v>
      </c>
      <c r="Q192" s="15">
        <f t="shared" si="29"/>
        <v>7469725</v>
      </c>
      <c r="R192" s="9">
        <f t="shared" si="30"/>
        <v>14147</v>
      </c>
      <c r="S192" s="9">
        <f t="shared" si="31"/>
        <v>7469725</v>
      </c>
      <c r="T192" s="15">
        <f t="shared" si="32"/>
        <v>16.686436250344954</v>
      </c>
      <c r="U192" s="15">
        <f>IF(O192="Exclude",0,G192*Fuel_Price!$B$2)</f>
        <v>5288.4294760000002</v>
      </c>
      <c r="V192" s="15">
        <f t="shared" si="33"/>
        <v>2989922.7577359979</v>
      </c>
    </row>
    <row r="193" spans="1:22">
      <c r="A193" s="1" t="s">
        <v>437</v>
      </c>
      <c r="B193" s="1" t="s">
        <v>438</v>
      </c>
      <c r="C193" s="1" t="s">
        <v>418</v>
      </c>
      <c r="D193" s="1" t="s">
        <v>12</v>
      </c>
      <c r="E193" s="12">
        <v>17826</v>
      </c>
      <c r="F193" s="12" t="s">
        <v>13</v>
      </c>
      <c r="G193" s="6">
        <v>4690.1499999999996</v>
      </c>
      <c r="H193" s="1">
        <v>17.28</v>
      </c>
      <c r="J193" t="str">
        <f t="shared" si="24"/>
        <v>OK</v>
      </c>
      <c r="K193" t="str">
        <f t="shared" si="25"/>
        <v>OK</v>
      </c>
      <c r="L193">
        <f t="shared" si="34"/>
        <v>12</v>
      </c>
      <c r="M193">
        <f t="shared" si="26"/>
        <v>10</v>
      </c>
      <c r="N193" s="9" t="str">
        <f t="shared" si="35"/>
        <v>Valid</v>
      </c>
      <c r="O193" t="str">
        <f t="shared" si="27"/>
        <v>Include</v>
      </c>
      <c r="P193" s="9">
        <f t="shared" si="28"/>
        <v>2035068.5799999984</v>
      </c>
      <c r="Q193" s="15">
        <f t="shared" si="29"/>
        <v>7469725</v>
      </c>
      <c r="R193" s="9">
        <f t="shared" si="30"/>
        <v>17826</v>
      </c>
      <c r="S193" s="9">
        <f t="shared" si="31"/>
        <v>7469725</v>
      </c>
      <c r="T193" s="15">
        <f t="shared" si="32"/>
        <v>16.686436250344954</v>
      </c>
      <c r="U193" s="15">
        <f>IF(O193="Exclude",0,G193*Fuel_Price!$B$2)</f>
        <v>6890.7683799999995</v>
      </c>
      <c r="V193" s="15">
        <f t="shared" si="33"/>
        <v>2989922.7577359979</v>
      </c>
    </row>
    <row r="194" spans="1:22">
      <c r="A194" s="1" t="s">
        <v>439</v>
      </c>
      <c r="B194" s="1" t="s">
        <v>440</v>
      </c>
      <c r="C194" s="1" t="s">
        <v>418</v>
      </c>
      <c r="D194" s="1" t="s">
        <v>12</v>
      </c>
      <c r="E194" s="12">
        <v>6811</v>
      </c>
      <c r="F194" s="12" t="s">
        <v>13</v>
      </c>
      <c r="G194" s="6">
        <v>1790.94</v>
      </c>
      <c r="H194" s="1">
        <v>17.29</v>
      </c>
      <c r="J194" t="str">
        <f t="shared" ref="J194:J257" si="36">IF(OR(H194&lt;=0,H194&gt;100),"Check","OK")</f>
        <v>OK</v>
      </c>
      <c r="K194" t="str">
        <f t="shared" ref="K194:K257" si="37">IF(E194&lt;0,"Check","OK")</f>
        <v>OK</v>
      </c>
      <c r="L194">
        <f t="shared" si="34"/>
        <v>12</v>
      </c>
      <c r="M194">
        <f t="shared" ref="M194:M257" si="38">COUNTIF(K:K,"Check")</f>
        <v>10</v>
      </c>
      <c r="N194" s="9" t="str">
        <f t="shared" si="35"/>
        <v>Valid</v>
      </c>
      <c r="O194" t="str">
        <f t="shared" ref="O194:O257" si="39">IF(N194="Review","Exclude","Include")</f>
        <v>Include</v>
      </c>
      <c r="P194" s="9">
        <f t="shared" ref="P194:P257" si="40">SUMIF(O:O,"Include",G:G)</f>
        <v>2035068.5799999984</v>
      </c>
      <c r="Q194" s="15">
        <f t="shared" ref="Q194:Q257" si="41">SUMIF(O:O,"Include",E:E)</f>
        <v>7469725</v>
      </c>
      <c r="R194" s="9">
        <f t="shared" ref="R194:R257" si="42">IF(O194="Exclude",0,E194)</f>
        <v>6811</v>
      </c>
      <c r="S194" s="9">
        <f t="shared" ref="S194:S257" si="43">SUM(R:R)</f>
        <v>7469725</v>
      </c>
      <c r="T194" s="15">
        <f t="shared" ref="T194:T257" si="44">S194/(P194/4.54609)</f>
        <v>16.686436250344954</v>
      </c>
      <c r="U194" s="15">
        <f>IF(O194="Exclude",0,G194*Fuel_Price!$B$2)</f>
        <v>2631.2490480000001</v>
      </c>
      <c r="V194" s="15">
        <f t="shared" ref="V194:V257" si="45">SUM(U:U)</f>
        <v>2989922.7577359979</v>
      </c>
    </row>
    <row r="195" spans="1:22">
      <c r="A195" s="1" t="s">
        <v>441</v>
      </c>
      <c r="B195" s="1" t="s">
        <v>442</v>
      </c>
      <c r="C195" s="1" t="s">
        <v>249</v>
      </c>
      <c r="D195" s="1" t="s">
        <v>12</v>
      </c>
      <c r="E195" s="12">
        <v>11969</v>
      </c>
      <c r="F195" s="12" t="s">
        <v>13</v>
      </c>
      <c r="G195" s="6">
        <v>2615.87</v>
      </c>
      <c r="H195" s="1">
        <v>20.8</v>
      </c>
      <c r="J195" t="str">
        <f t="shared" si="36"/>
        <v>OK</v>
      </c>
      <c r="K195" t="str">
        <f t="shared" si="37"/>
        <v>OK</v>
      </c>
      <c r="L195">
        <f t="shared" ref="L195:L258" si="46">COUNTIF(J:J,"Check")</f>
        <v>12</v>
      </c>
      <c r="M195">
        <f t="shared" si="38"/>
        <v>10</v>
      </c>
      <c r="N195" s="9" t="str">
        <f t="shared" si="35"/>
        <v>Valid</v>
      </c>
      <c r="O195" t="str">
        <f t="shared" si="39"/>
        <v>Include</v>
      </c>
      <c r="P195" s="9">
        <f t="shared" si="40"/>
        <v>2035068.5799999984</v>
      </c>
      <c r="Q195" s="15">
        <f t="shared" si="41"/>
        <v>7469725</v>
      </c>
      <c r="R195" s="9">
        <f t="shared" si="42"/>
        <v>11969</v>
      </c>
      <c r="S195" s="9">
        <f t="shared" si="43"/>
        <v>7469725</v>
      </c>
      <c r="T195" s="15">
        <f t="shared" si="44"/>
        <v>16.686436250344954</v>
      </c>
      <c r="U195" s="15">
        <f>IF(O195="Exclude",0,G195*Fuel_Price!$B$2)</f>
        <v>3843.2362039999998</v>
      </c>
      <c r="V195" s="15">
        <f t="shared" si="45"/>
        <v>2989922.7577359979</v>
      </c>
    </row>
    <row r="196" spans="1:22">
      <c r="A196" s="1" t="s">
        <v>443</v>
      </c>
      <c r="B196" s="1" t="s">
        <v>444</v>
      </c>
      <c r="C196" s="1" t="s">
        <v>249</v>
      </c>
      <c r="D196" s="1" t="s">
        <v>12</v>
      </c>
      <c r="E196" s="12">
        <v>9013</v>
      </c>
      <c r="F196" s="12" t="s">
        <v>13</v>
      </c>
      <c r="G196" s="6">
        <v>2030.69</v>
      </c>
      <c r="H196" s="1">
        <v>20.18</v>
      </c>
      <c r="J196" t="str">
        <f t="shared" si="36"/>
        <v>OK</v>
      </c>
      <c r="K196" t="str">
        <f t="shared" si="37"/>
        <v>OK</v>
      </c>
      <c r="L196">
        <f t="shared" si="46"/>
        <v>12</v>
      </c>
      <c r="M196">
        <f t="shared" si="38"/>
        <v>10</v>
      </c>
      <c r="N196" s="9" t="str">
        <f t="shared" si="35"/>
        <v>Valid</v>
      </c>
      <c r="O196" t="str">
        <f t="shared" si="39"/>
        <v>Include</v>
      </c>
      <c r="P196" s="9">
        <f t="shared" si="40"/>
        <v>2035068.5799999984</v>
      </c>
      <c r="Q196" s="15">
        <f t="shared" si="41"/>
        <v>7469725</v>
      </c>
      <c r="R196" s="9">
        <f t="shared" si="42"/>
        <v>9013</v>
      </c>
      <c r="S196" s="9">
        <f t="shared" si="43"/>
        <v>7469725</v>
      </c>
      <c r="T196" s="15">
        <f t="shared" si="44"/>
        <v>16.686436250344954</v>
      </c>
      <c r="U196" s="15">
        <f>IF(O196="Exclude",0,G196*Fuel_Price!$B$2)</f>
        <v>2983.4897480000004</v>
      </c>
      <c r="V196" s="15">
        <f t="shared" si="45"/>
        <v>2989922.7577359979</v>
      </c>
    </row>
    <row r="197" spans="1:22">
      <c r="A197" s="1" t="s">
        <v>445</v>
      </c>
      <c r="B197" s="1" t="s">
        <v>446</v>
      </c>
      <c r="C197" s="1" t="s">
        <v>249</v>
      </c>
      <c r="D197" s="1" t="s">
        <v>12</v>
      </c>
      <c r="E197" s="12">
        <v>20070</v>
      </c>
      <c r="F197" s="12" t="s">
        <v>13</v>
      </c>
      <c r="G197" s="6">
        <v>4098.21</v>
      </c>
      <c r="H197" s="1">
        <v>22.26</v>
      </c>
      <c r="J197" t="str">
        <f t="shared" si="36"/>
        <v>OK</v>
      </c>
      <c r="K197" t="str">
        <f t="shared" si="37"/>
        <v>OK</v>
      </c>
      <c r="L197">
        <f t="shared" si="46"/>
        <v>12</v>
      </c>
      <c r="M197">
        <f t="shared" si="38"/>
        <v>10</v>
      </c>
      <c r="N197" s="9" t="str">
        <f t="shared" si="35"/>
        <v>Valid</v>
      </c>
      <c r="O197" t="str">
        <f t="shared" si="39"/>
        <v>Include</v>
      </c>
      <c r="P197" s="9">
        <f t="shared" si="40"/>
        <v>2035068.5799999984</v>
      </c>
      <c r="Q197" s="15">
        <f t="shared" si="41"/>
        <v>7469725</v>
      </c>
      <c r="R197" s="9">
        <f t="shared" si="42"/>
        <v>20070</v>
      </c>
      <c r="S197" s="9">
        <f t="shared" si="43"/>
        <v>7469725</v>
      </c>
      <c r="T197" s="15">
        <f t="shared" si="44"/>
        <v>16.686436250344954</v>
      </c>
      <c r="U197" s="15">
        <f>IF(O197="Exclude",0,G197*Fuel_Price!$B$2)</f>
        <v>6021.0901320000003</v>
      </c>
      <c r="V197" s="15">
        <f t="shared" si="45"/>
        <v>2989922.7577359979</v>
      </c>
    </row>
    <row r="198" spans="1:22">
      <c r="A198" s="1" t="s">
        <v>447</v>
      </c>
      <c r="B198" s="1" t="s">
        <v>448</v>
      </c>
      <c r="C198" s="1" t="s">
        <v>249</v>
      </c>
      <c r="D198" s="1" t="s">
        <v>12</v>
      </c>
      <c r="E198" s="12">
        <v>7342</v>
      </c>
      <c r="F198" s="12" t="s">
        <v>13</v>
      </c>
      <c r="G198" s="6">
        <v>1730.16</v>
      </c>
      <c r="H198" s="1">
        <v>19.29</v>
      </c>
      <c r="J198" t="str">
        <f t="shared" si="36"/>
        <v>OK</v>
      </c>
      <c r="K198" t="str">
        <f t="shared" si="37"/>
        <v>OK</v>
      </c>
      <c r="L198">
        <f t="shared" si="46"/>
        <v>12</v>
      </c>
      <c r="M198">
        <f t="shared" si="38"/>
        <v>10</v>
      </c>
      <c r="N198" s="9" t="str">
        <f t="shared" si="35"/>
        <v>Valid</v>
      </c>
      <c r="O198" t="str">
        <f t="shared" si="39"/>
        <v>Include</v>
      </c>
      <c r="P198" s="9">
        <f t="shared" si="40"/>
        <v>2035068.5799999984</v>
      </c>
      <c r="Q198" s="15">
        <f t="shared" si="41"/>
        <v>7469725</v>
      </c>
      <c r="R198" s="9">
        <f t="shared" si="42"/>
        <v>7342</v>
      </c>
      <c r="S198" s="9">
        <f t="shared" si="43"/>
        <v>7469725</v>
      </c>
      <c r="T198" s="15">
        <f t="shared" si="44"/>
        <v>16.686436250344954</v>
      </c>
      <c r="U198" s="15">
        <f>IF(O198="Exclude",0,G198*Fuel_Price!$B$2)</f>
        <v>2541.9510720000003</v>
      </c>
      <c r="V198" s="15">
        <f t="shared" si="45"/>
        <v>2989922.7577359979</v>
      </c>
    </row>
    <row r="199" spans="1:22">
      <c r="A199" s="1" t="s">
        <v>449</v>
      </c>
      <c r="B199" s="1" t="s">
        <v>450</v>
      </c>
      <c r="C199" s="1" t="s">
        <v>357</v>
      </c>
      <c r="D199" s="1" t="s">
        <v>12</v>
      </c>
      <c r="E199" s="12">
        <v>15729</v>
      </c>
      <c r="F199" s="12" t="s">
        <v>13</v>
      </c>
      <c r="G199" s="6">
        <v>3461.86</v>
      </c>
      <c r="H199" s="1">
        <v>20.66</v>
      </c>
      <c r="J199" t="str">
        <f t="shared" si="36"/>
        <v>OK</v>
      </c>
      <c r="K199" t="str">
        <f t="shared" si="37"/>
        <v>OK</v>
      </c>
      <c r="L199">
        <f t="shared" si="46"/>
        <v>12</v>
      </c>
      <c r="M199">
        <f t="shared" si="38"/>
        <v>10</v>
      </c>
      <c r="N199" s="9" t="str">
        <f t="shared" ref="N199:N262" si="47">IF(OR(H199&lt;=0,H199&gt;100,E199&lt;0),"Review","Valid")</f>
        <v>Valid</v>
      </c>
      <c r="O199" t="str">
        <f t="shared" si="39"/>
        <v>Include</v>
      </c>
      <c r="P199" s="9">
        <f t="shared" si="40"/>
        <v>2035068.5799999984</v>
      </c>
      <c r="Q199" s="15">
        <f t="shared" si="41"/>
        <v>7469725</v>
      </c>
      <c r="R199" s="9">
        <f t="shared" si="42"/>
        <v>15729</v>
      </c>
      <c r="S199" s="9">
        <f t="shared" si="43"/>
        <v>7469725</v>
      </c>
      <c r="T199" s="15">
        <f t="shared" si="44"/>
        <v>16.686436250344954</v>
      </c>
      <c r="U199" s="15">
        <f>IF(O199="Exclude",0,G199*Fuel_Price!$B$2)</f>
        <v>5086.1647120000007</v>
      </c>
      <c r="V199" s="15">
        <f t="shared" si="45"/>
        <v>2989922.7577359979</v>
      </c>
    </row>
    <row r="200" spans="1:22">
      <c r="A200" s="1" t="s">
        <v>451</v>
      </c>
      <c r="B200" s="1" t="s">
        <v>452</v>
      </c>
      <c r="C200" s="1" t="s">
        <v>357</v>
      </c>
      <c r="D200" s="1" t="s">
        <v>12</v>
      </c>
      <c r="E200" s="12">
        <v>10900</v>
      </c>
      <c r="F200" s="12" t="s">
        <v>13</v>
      </c>
      <c r="G200" s="6">
        <v>2522.88</v>
      </c>
      <c r="H200" s="1">
        <v>19.64</v>
      </c>
      <c r="J200" t="str">
        <f t="shared" si="36"/>
        <v>OK</v>
      </c>
      <c r="K200" t="str">
        <f t="shared" si="37"/>
        <v>OK</v>
      </c>
      <c r="L200">
        <f t="shared" si="46"/>
        <v>12</v>
      </c>
      <c r="M200">
        <f t="shared" si="38"/>
        <v>10</v>
      </c>
      <c r="N200" s="9" t="str">
        <f t="shared" si="47"/>
        <v>Valid</v>
      </c>
      <c r="O200" t="str">
        <f t="shared" si="39"/>
        <v>Include</v>
      </c>
      <c r="P200" s="9">
        <f t="shared" si="40"/>
        <v>2035068.5799999984</v>
      </c>
      <c r="Q200" s="15">
        <f t="shared" si="41"/>
        <v>7469725</v>
      </c>
      <c r="R200" s="9">
        <f t="shared" si="42"/>
        <v>10900</v>
      </c>
      <c r="S200" s="9">
        <f t="shared" si="43"/>
        <v>7469725</v>
      </c>
      <c r="T200" s="15">
        <f t="shared" si="44"/>
        <v>16.686436250344954</v>
      </c>
      <c r="U200" s="15">
        <f>IF(O200="Exclude",0,G200*Fuel_Price!$B$2)</f>
        <v>3706.6152960000004</v>
      </c>
      <c r="V200" s="15">
        <f t="shared" si="45"/>
        <v>2989922.7577359979</v>
      </c>
    </row>
    <row r="201" spans="1:22">
      <c r="A201" s="1" t="s">
        <v>453</v>
      </c>
      <c r="B201" s="1" t="s">
        <v>454</v>
      </c>
      <c r="C201" s="1" t="s">
        <v>357</v>
      </c>
      <c r="D201" s="1" t="s">
        <v>12</v>
      </c>
      <c r="E201" s="12">
        <v>8585</v>
      </c>
      <c r="F201" s="12" t="s">
        <v>13</v>
      </c>
      <c r="G201" s="6">
        <v>2123.65</v>
      </c>
      <c r="H201" s="1">
        <v>18.38</v>
      </c>
      <c r="J201" t="str">
        <f t="shared" si="36"/>
        <v>OK</v>
      </c>
      <c r="K201" t="str">
        <f t="shared" si="37"/>
        <v>OK</v>
      </c>
      <c r="L201">
        <f t="shared" si="46"/>
        <v>12</v>
      </c>
      <c r="M201">
        <f t="shared" si="38"/>
        <v>10</v>
      </c>
      <c r="N201" s="9" t="str">
        <f t="shared" si="47"/>
        <v>Valid</v>
      </c>
      <c r="O201" t="str">
        <f t="shared" si="39"/>
        <v>Include</v>
      </c>
      <c r="P201" s="9">
        <f t="shared" si="40"/>
        <v>2035068.5799999984</v>
      </c>
      <c r="Q201" s="15">
        <f t="shared" si="41"/>
        <v>7469725</v>
      </c>
      <c r="R201" s="9">
        <f t="shared" si="42"/>
        <v>8585</v>
      </c>
      <c r="S201" s="9">
        <f t="shared" si="43"/>
        <v>7469725</v>
      </c>
      <c r="T201" s="15">
        <f t="shared" si="44"/>
        <v>16.686436250344954</v>
      </c>
      <c r="U201" s="15">
        <f>IF(O201="Exclude",0,G201*Fuel_Price!$B$2)</f>
        <v>3120.0665800000002</v>
      </c>
      <c r="V201" s="15">
        <f t="shared" si="45"/>
        <v>2989922.7577359979</v>
      </c>
    </row>
    <row r="202" spans="1:22">
      <c r="A202" s="1" t="s">
        <v>455</v>
      </c>
      <c r="B202" s="1" t="s">
        <v>456</v>
      </c>
      <c r="C202" s="1" t="s">
        <v>357</v>
      </c>
      <c r="D202" s="1" t="s">
        <v>12</v>
      </c>
      <c r="E202" s="12">
        <v>12146</v>
      </c>
      <c r="F202" s="12" t="s">
        <v>13</v>
      </c>
      <c r="G202" s="6">
        <v>2637.57</v>
      </c>
      <c r="H202" s="1">
        <v>20.93</v>
      </c>
      <c r="J202" t="str">
        <f t="shared" si="36"/>
        <v>OK</v>
      </c>
      <c r="K202" t="str">
        <f t="shared" si="37"/>
        <v>OK</v>
      </c>
      <c r="L202">
        <f t="shared" si="46"/>
        <v>12</v>
      </c>
      <c r="M202">
        <f t="shared" si="38"/>
        <v>10</v>
      </c>
      <c r="N202" s="9" t="str">
        <f t="shared" si="47"/>
        <v>Valid</v>
      </c>
      <c r="O202" t="str">
        <f t="shared" si="39"/>
        <v>Include</v>
      </c>
      <c r="P202" s="9">
        <f t="shared" si="40"/>
        <v>2035068.5799999984</v>
      </c>
      <c r="Q202" s="15">
        <f t="shared" si="41"/>
        <v>7469725</v>
      </c>
      <c r="R202" s="9">
        <f t="shared" si="42"/>
        <v>12146</v>
      </c>
      <c r="S202" s="9">
        <f t="shared" si="43"/>
        <v>7469725</v>
      </c>
      <c r="T202" s="15">
        <f t="shared" si="44"/>
        <v>16.686436250344954</v>
      </c>
      <c r="U202" s="15">
        <f>IF(O202="Exclude",0,G202*Fuel_Price!$B$2)</f>
        <v>3875.1178440000003</v>
      </c>
      <c r="V202" s="15">
        <f t="shared" si="45"/>
        <v>2989922.7577359979</v>
      </c>
    </row>
    <row r="203" spans="1:22">
      <c r="A203" s="1" t="s">
        <v>457</v>
      </c>
      <c r="B203" s="1" t="s">
        <v>458</v>
      </c>
      <c r="C203" s="1" t="s">
        <v>357</v>
      </c>
      <c r="D203" s="1" t="s">
        <v>12</v>
      </c>
      <c r="E203" s="12">
        <v>20943</v>
      </c>
      <c r="F203" s="12" t="s">
        <v>13</v>
      </c>
      <c r="G203" s="6">
        <v>5020.8</v>
      </c>
      <c r="H203" s="1">
        <v>18.96</v>
      </c>
      <c r="J203" t="str">
        <f t="shared" si="36"/>
        <v>OK</v>
      </c>
      <c r="K203" t="str">
        <f t="shared" si="37"/>
        <v>OK</v>
      </c>
      <c r="L203">
        <f t="shared" si="46"/>
        <v>12</v>
      </c>
      <c r="M203">
        <f t="shared" si="38"/>
        <v>10</v>
      </c>
      <c r="N203" s="9" t="str">
        <f t="shared" si="47"/>
        <v>Valid</v>
      </c>
      <c r="O203" t="str">
        <f t="shared" si="39"/>
        <v>Include</v>
      </c>
      <c r="P203" s="9">
        <f t="shared" si="40"/>
        <v>2035068.5799999984</v>
      </c>
      <c r="Q203" s="15">
        <f t="shared" si="41"/>
        <v>7469725</v>
      </c>
      <c r="R203" s="9">
        <f t="shared" si="42"/>
        <v>20943</v>
      </c>
      <c r="S203" s="9">
        <f t="shared" si="43"/>
        <v>7469725</v>
      </c>
      <c r="T203" s="15">
        <f t="shared" si="44"/>
        <v>16.686436250344954</v>
      </c>
      <c r="U203" s="15">
        <f>IF(O203="Exclude",0,G203*Fuel_Price!$B$2)</f>
        <v>7376.5593600000002</v>
      </c>
      <c r="V203" s="15">
        <f t="shared" si="45"/>
        <v>2989922.7577359979</v>
      </c>
    </row>
    <row r="204" spans="1:22">
      <c r="A204" s="1" t="s">
        <v>459</v>
      </c>
      <c r="B204" s="1" t="s">
        <v>460</v>
      </c>
      <c r="C204" s="1" t="s">
        <v>357</v>
      </c>
      <c r="D204" s="1" t="s">
        <v>12</v>
      </c>
      <c r="E204" s="12">
        <v>14819</v>
      </c>
      <c r="F204" s="12" t="s">
        <v>13</v>
      </c>
      <c r="G204" s="6">
        <v>3525.66</v>
      </c>
      <c r="H204" s="1">
        <v>19.11</v>
      </c>
      <c r="J204" t="str">
        <f t="shared" si="36"/>
        <v>OK</v>
      </c>
      <c r="K204" t="str">
        <f t="shared" si="37"/>
        <v>OK</v>
      </c>
      <c r="L204">
        <f t="shared" si="46"/>
        <v>12</v>
      </c>
      <c r="M204">
        <f t="shared" si="38"/>
        <v>10</v>
      </c>
      <c r="N204" s="9" t="str">
        <f t="shared" si="47"/>
        <v>Valid</v>
      </c>
      <c r="O204" t="str">
        <f t="shared" si="39"/>
        <v>Include</v>
      </c>
      <c r="P204" s="9">
        <f t="shared" si="40"/>
        <v>2035068.5799999984</v>
      </c>
      <c r="Q204" s="15">
        <f t="shared" si="41"/>
        <v>7469725</v>
      </c>
      <c r="R204" s="9">
        <f t="shared" si="42"/>
        <v>14819</v>
      </c>
      <c r="S204" s="9">
        <f t="shared" si="43"/>
        <v>7469725</v>
      </c>
      <c r="T204" s="15">
        <f t="shared" si="44"/>
        <v>16.686436250344954</v>
      </c>
      <c r="U204" s="15">
        <f>IF(O204="Exclude",0,G204*Fuel_Price!$B$2)</f>
        <v>5179.8996719999996</v>
      </c>
      <c r="V204" s="15">
        <f t="shared" si="45"/>
        <v>2989922.7577359979</v>
      </c>
    </row>
    <row r="205" spans="1:22">
      <c r="A205" s="1" t="s">
        <v>461</v>
      </c>
      <c r="B205" s="1" t="s">
        <v>462</v>
      </c>
      <c r="C205" s="1" t="s">
        <v>352</v>
      </c>
      <c r="D205" s="1" t="s">
        <v>12</v>
      </c>
      <c r="E205" s="12">
        <v>13097</v>
      </c>
      <c r="F205" s="12" t="s">
        <v>13</v>
      </c>
      <c r="G205" s="6">
        <v>3173.48</v>
      </c>
      <c r="H205" s="1">
        <v>18.760000000000002</v>
      </c>
      <c r="J205" t="str">
        <f t="shared" si="36"/>
        <v>OK</v>
      </c>
      <c r="K205" t="str">
        <f t="shared" si="37"/>
        <v>OK</v>
      </c>
      <c r="L205">
        <f t="shared" si="46"/>
        <v>12</v>
      </c>
      <c r="M205">
        <f t="shared" si="38"/>
        <v>10</v>
      </c>
      <c r="N205" s="9" t="str">
        <f t="shared" si="47"/>
        <v>Valid</v>
      </c>
      <c r="O205" t="str">
        <f t="shared" si="39"/>
        <v>Include</v>
      </c>
      <c r="P205" s="9">
        <f t="shared" si="40"/>
        <v>2035068.5799999984</v>
      </c>
      <c r="Q205" s="15">
        <f t="shared" si="41"/>
        <v>7469725</v>
      </c>
      <c r="R205" s="9">
        <f t="shared" si="42"/>
        <v>13097</v>
      </c>
      <c r="S205" s="9">
        <f t="shared" si="43"/>
        <v>7469725</v>
      </c>
      <c r="T205" s="15">
        <f t="shared" si="44"/>
        <v>16.686436250344954</v>
      </c>
      <c r="U205" s="15">
        <f>IF(O205="Exclude",0,G205*Fuel_Price!$B$2)</f>
        <v>4662.4768160000003</v>
      </c>
      <c r="V205" s="15">
        <f t="shared" si="45"/>
        <v>2989922.7577359979</v>
      </c>
    </row>
    <row r="206" spans="1:22">
      <c r="A206" s="1" t="s">
        <v>463</v>
      </c>
      <c r="B206" s="1" t="s">
        <v>464</v>
      </c>
      <c r="C206" s="1" t="s">
        <v>418</v>
      </c>
      <c r="D206" s="1" t="s">
        <v>12</v>
      </c>
      <c r="E206" s="12">
        <v>23697</v>
      </c>
      <c r="F206" s="12" t="s">
        <v>13</v>
      </c>
      <c r="G206" s="6">
        <v>5928.09</v>
      </c>
      <c r="H206" s="1">
        <v>18.170000000000002</v>
      </c>
      <c r="J206" t="str">
        <f t="shared" si="36"/>
        <v>OK</v>
      </c>
      <c r="K206" t="str">
        <f t="shared" si="37"/>
        <v>OK</v>
      </c>
      <c r="L206">
        <f t="shared" si="46"/>
        <v>12</v>
      </c>
      <c r="M206">
        <f t="shared" si="38"/>
        <v>10</v>
      </c>
      <c r="N206" s="9" t="str">
        <f t="shared" si="47"/>
        <v>Valid</v>
      </c>
      <c r="O206" t="str">
        <f t="shared" si="39"/>
        <v>Include</v>
      </c>
      <c r="P206" s="9">
        <f t="shared" si="40"/>
        <v>2035068.5799999984</v>
      </c>
      <c r="Q206" s="15">
        <f t="shared" si="41"/>
        <v>7469725</v>
      </c>
      <c r="R206" s="9">
        <f t="shared" si="42"/>
        <v>23697</v>
      </c>
      <c r="S206" s="9">
        <f t="shared" si="43"/>
        <v>7469725</v>
      </c>
      <c r="T206" s="15">
        <f t="shared" si="44"/>
        <v>16.686436250344954</v>
      </c>
      <c r="U206" s="15">
        <f>IF(O206="Exclude",0,G206*Fuel_Price!$B$2)</f>
        <v>8709.5498280000011</v>
      </c>
      <c r="V206" s="15">
        <f t="shared" si="45"/>
        <v>2989922.7577359979</v>
      </c>
    </row>
    <row r="207" spans="1:22">
      <c r="A207" s="1" t="s">
        <v>465</v>
      </c>
      <c r="B207" s="1" t="s">
        <v>466</v>
      </c>
      <c r="C207" s="1" t="s">
        <v>418</v>
      </c>
      <c r="D207" s="1" t="s">
        <v>12</v>
      </c>
      <c r="E207" s="12">
        <v>23275</v>
      </c>
      <c r="F207" s="12" t="s">
        <v>13</v>
      </c>
      <c r="G207" s="6">
        <v>5360.29</v>
      </c>
      <c r="H207" s="1">
        <v>19.739999999999998</v>
      </c>
      <c r="J207" t="str">
        <f t="shared" si="36"/>
        <v>OK</v>
      </c>
      <c r="K207" t="str">
        <f t="shared" si="37"/>
        <v>OK</v>
      </c>
      <c r="L207">
        <f t="shared" si="46"/>
        <v>12</v>
      </c>
      <c r="M207">
        <f t="shared" si="38"/>
        <v>10</v>
      </c>
      <c r="N207" s="9" t="str">
        <f t="shared" si="47"/>
        <v>Valid</v>
      </c>
      <c r="O207" t="str">
        <f t="shared" si="39"/>
        <v>Include</v>
      </c>
      <c r="P207" s="9">
        <f t="shared" si="40"/>
        <v>2035068.5799999984</v>
      </c>
      <c r="Q207" s="15">
        <f t="shared" si="41"/>
        <v>7469725</v>
      </c>
      <c r="R207" s="9">
        <f t="shared" si="42"/>
        <v>23275</v>
      </c>
      <c r="S207" s="9">
        <f t="shared" si="43"/>
        <v>7469725</v>
      </c>
      <c r="T207" s="15">
        <f t="shared" si="44"/>
        <v>16.686436250344954</v>
      </c>
      <c r="U207" s="15">
        <f>IF(O207="Exclude",0,G207*Fuel_Price!$B$2)</f>
        <v>7875.338068</v>
      </c>
      <c r="V207" s="15">
        <f t="shared" si="45"/>
        <v>2989922.7577359979</v>
      </c>
    </row>
    <row r="208" spans="1:22">
      <c r="A208" s="1" t="s">
        <v>467</v>
      </c>
      <c r="B208" s="1" t="s">
        <v>468</v>
      </c>
      <c r="C208" s="1" t="s">
        <v>469</v>
      </c>
      <c r="D208" s="1" t="s">
        <v>12</v>
      </c>
      <c r="E208" s="12">
        <v>14439</v>
      </c>
      <c r="F208" s="12" t="s">
        <v>13</v>
      </c>
      <c r="G208" s="6">
        <v>3675.98</v>
      </c>
      <c r="H208" s="1">
        <v>17.86</v>
      </c>
      <c r="J208" t="str">
        <f t="shared" si="36"/>
        <v>OK</v>
      </c>
      <c r="K208" t="str">
        <f t="shared" si="37"/>
        <v>OK</v>
      </c>
      <c r="L208">
        <f t="shared" si="46"/>
        <v>12</v>
      </c>
      <c r="M208">
        <f t="shared" si="38"/>
        <v>10</v>
      </c>
      <c r="N208" s="9" t="str">
        <f t="shared" si="47"/>
        <v>Valid</v>
      </c>
      <c r="O208" t="str">
        <f t="shared" si="39"/>
        <v>Include</v>
      </c>
      <c r="P208" s="9">
        <f t="shared" si="40"/>
        <v>2035068.5799999984</v>
      </c>
      <c r="Q208" s="15">
        <f t="shared" si="41"/>
        <v>7469725</v>
      </c>
      <c r="R208" s="9">
        <f t="shared" si="42"/>
        <v>14439</v>
      </c>
      <c r="S208" s="9">
        <f t="shared" si="43"/>
        <v>7469725</v>
      </c>
      <c r="T208" s="15">
        <f t="shared" si="44"/>
        <v>16.686436250344954</v>
      </c>
      <c r="U208" s="15">
        <f>IF(O208="Exclude",0,G208*Fuel_Price!$B$2)</f>
        <v>5400.7498160000005</v>
      </c>
      <c r="V208" s="15">
        <f t="shared" si="45"/>
        <v>2989922.7577359979</v>
      </c>
    </row>
    <row r="209" spans="1:22">
      <c r="A209" s="1" t="s">
        <v>470</v>
      </c>
      <c r="B209" s="1" t="s">
        <v>471</v>
      </c>
      <c r="C209" s="1" t="s">
        <v>418</v>
      </c>
      <c r="D209" s="1" t="s">
        <v>12</v>
      </c>
      <c r="E209" s="12">
        <v>20943</v>
      </c>
      <c r="F209" s="12" t="s">
        <v>13</v>
      </c>
      <c r="G209" s="6">
        <v>4297.63</v>
      </c>
      <c r="H209" s="1">
        <v>22.15</v>
      </c>
      <c r="J209" t="str">
        <f t="shared" si="36"/>
        <v>OK</v>
      </c>
      <c r="K209" t="str">
        <f t="shared" si="37"/>
        <v>OK</v>
      </c>
      <c r="L209">
        <f t="shared" si="46"/>
        <v>12</v>
      </c>
      <c r="M209">
        <f t="shared" si="38"/>
        <v>10</v>
      </c>
      <c r="N209" s="9" t="str">
        <f t="shared" si="47"/>
        <v>Valid</v>
      </c>
      <c r="O209" t="str">
        <f t="shared" si="39"/>
        <v>Include</v>
      </c>
      <c r="P209" s="9">
        <f t="shared" si="40"/>
        <v>2035068.5799999984</v>
      </c>
      <c r="Q209" s="15">
        <f t="shared" si="41"/>
        <v>7469725</v>
      </c>
      <c r="R209" s="9">
        <f t="shared" si="42"/>
        <v>20943</v>
      </c>
      <c r="S209" s="9">
        <f t="shared" si="43"/>
        <v>7469725</v>
      </c>
      <c r="T209" s="15">
        <f t="shared" si="44"/>
        <v>16.686436250344954</v>
      </c>
      <c r="U209" s="15">
        <f>IF(O209="Exclude",0,G209*Fuel_Price!$B$2)</f>
        <v>6314.077996</v>
      </c>
      <c r="V209" s="15">
        <f t="shared" si="45"/>
        <v>2989922.7577359979</v>
      </c>
    </row>
    <row r="210" spans="1:22">
      <c r="A210" s="1" t="s">
        <v>472</v>
      </c>
      <c r="B210" s="1" t="s">
        <v>473</v>
      </c>
      <c r="C210" s="1" t="s">
        <v>418</v>
      </c>
      <c r="D210" s="1" t="s">
        <v>12</v>
      </c>
      <c r="E210" s="12">
        <v>12486</v>
      </c>
      <c r="F210" s="12" t="s">
        <v>13</v>
      </c>
      <c r="G210" s="6">
        <v>3379.12</v>
      </c>
      <c r="H210" s="1">
        <v>16.8</v>
      </c>
      <c r="J210" t="str">
        <f t="shared" si="36"/>
        <v>OK</v>
      </c>
      <c r="K210" t="str">
        <f t="shared" si="37"/>
        <v>OK</v>
      </c>
      <c r="L210">
        <f t="shared" si="46"/>
        <v>12</v>
      </c>
      <c r="M210">
        <f t="shared" si="38"/>
        <v>10</v>
      </c>
      <c r="N210" s="9" t="str">
        <f t="shared" si="47"/>
        <v>Valid</v>
      </c>
      <c r="O210" t="str">
        <f t="shared" si="39"/>
        <v>Include</v>
      </c>
      <c r="P210" s="9">
        <f t="shared" si="40"/>
        <v>2035068.5799999984</v>
      </c>
      <c r="Q210" s="15">
        <f t="shared" si="41"/>
        <v>7469725</v>
      </c>
      <c r="R210" s="9">
        <f t="shared" si="42"/>
        <v>12486</v>
      </c>
      <c r="S210" s="9">
        <f t="shared" si="43"/>
        <v>7469725</v>
      </c>
      <c r="T210" s="15">
        <f t="shared" si="44"/>
        <v>16.686436250344954</v>
      </c>
      <c r="U210" s="15">
        <f>IF(O210="Exclude",0,G210*Fuel_Price!$B$2)</f>
        <v>4964.6031039999998</v>
      </c>
      <c r="V210" s="15">
        <f t="shared" si="45"/>
        <v>2989922.7577359979</v>
      </c>
    </row>
    <row r="211" spans="1:22">
      <c r="A211" s="1" t="s">
        <v>474</v>
      </c>
      <c r="B211" s="1" t="s">
        <v>475</v>
      </c>
      <c r="C211" s="1" t="s">
        <v>418</v>
      </c>
      <c r="D211" s="1" t="s">
        <v>12</v>
      </c>
      <c r="E211" s="12">
        <v>9643</v>
      </c>
      <c r="F211" s="12" t="s">
        <v>13</v>
      </c>
      <c r="G211" s="6">
        <v>2153.12</v>
      </c>
      <c r="H211" s="1">
        <v>20.36</v>
      </c>
      <c r="J211" t="str">
        <f t="shared" si="36"/>
        <v>OK</v>
      </c>
      <c r="K211" t="str">
        <f t="shared" si="37"/>
        <v>OK</v>
      </c>
      <c r="L211">
        <f t="shared" si="46"/>
        <v>12</v>
      </c>
      <c r="M211">
        <f t="shared" si="38"/>
        <v>10</v>
      </c>
      <c r="N211" s="9" t="str">
        <f t="shared" si="47"/>
        <v>Valid</v>
      </c>
      <c r="O211" t="str">
        <f t="shared" si="39"/>
        <v>Include</v>
      </c>
      <c r="P211" s="9">
        <f t="shared" si="40"/>
        <v>2035068.5799999984</v>
      </c>
      <c r="Q211" s="15">
        <f t="shared" si="41"/>
        <v>7469725</v>
      </c>
      <c r="R211" s="9">
        <f t="shared" si="42"/>
        <v>9643</v>
      </c>
      <c r="S211" s="9">
        <f t="shared" si="43"/>
        <v>7469725</v>
      </c>
      <c r="T211" s="15">
        <f t="shared" si="44"/>
        <v>16.686436250344954</v>
      </c>
      <c r="U211" s="15">
        <f>IF(O211="Exclude",0,G211*Fuel_Price!$B$2)</f>
        <v>3163.3639039999998</v>
      </c>
      <c r="V211" s="15">
        <f t="shared" si="45"/>
        <v>2989922.7577359979</v>
      </c>
    </row>
    <row r="212" spans="1:22">
      <c r="A212" s="1" t="s">
        <v>476</v>
      </c>
      <c r="B212" s="1" t="s">
        <v>477</v>
      </c>
      <c r="C212" s="1" t="s">
        <v>418</v>
      </c>
      <c r="D212" s="1" t="s">
        <v>12</v>
      </c>
      <c r="E212" s="12">
        <v>12449</v>
      </c>
      <c r="F212" s="12" t="s">
        <v>13</v>
      </c>
      <c r="G212" s="6">
        <v>3017.8</v>
      </c>
      <c r="H212" s="1">
        <v>18.75</v>
      </c>
      <c r="J212" t="str">
        <f t="shared" si="36"/>
        <v>OK</v>
      </c>
      <c r="K212" t="str">
        <f t="shared" si="37"/>
        <v>OK</v>
      </c>
      <c r="L212">
        <f t="shared" si="46"/>
        <v>12</v>
      </c>
      <c r="M212">
        <f t="shared" si="38"/>
        <v>10</v>
      </c>
      <c r="N212" s="9" t="str">
        <f t="shared" si="47"/>
        <v>Valid</v>
      </c>
      <c r="O212" t="str">
        <f t="shared" si="39"/>
        <v>Include</v>
      </c>
      <c r="P212" s="9">
        <f t="shared" si="40"/>
        <v>2035068.5799999984</v>
      </c>
      <c r="Q212" s="15">
        <f t="shared" si="41"/>
        <v>7469725</v>
      </c>
      <c r="R212" s="9">
        <f t="shared" si="42"/>
        <v>12449</v>
      </c>
      <c r="S212" s="9">
        <f t="shared" si="43"/>
        <v>7469725</v>
      </c>
      <c r="T212" s="15">
        <f t="shared" si="44"/>
        <v>16.686436250344954</v>
      </c>
      <c r="U212" s="15">
        <f>IF(O212="Exclude",0,G212*Fuel_Price!$B$2)</f>
        <v>4433.7517600000001</v>
      </c>
      <c r="V212" s="15">
        <f t="shared" si="45"/>
        <v>2989922.7577359979</v>
      </c>
    </row>
    <row r="213" spans="1:22">
      <c r="A213" s="1" t="s">
        <v>478</v>
      </c>
      <c r="B213" s="1" t="s">
        <v>479</v>
      </c>
      <c r="C213" s="1" t="s">
        <v>418</v>
      </c>
      <c r="D213" s="1" t="s">
        <v>12</v>
      </c>
      <c r="E213" s="12">
        <v>9819</v>
      </c>
      <c r="F213" s="12" t="s">
        <v>13</v>
      </c>
      <c r="G213" s="6">
        <v>2373.3200000000002</v>
      </c>
      <c r="H213" s="1">
        <v>18.809999999999999</v>
      </c>
      <c r="J213" t="str">
        <f t="shared" si="36"/>
        <v>OK</v>
      </c>
      <c r="K213" t="str">
        <f t="shared" si="37"/>
        <v>OK</v>
      </c>
      <c r="L213">
        <f t="shared" si="46"/>
        <v>12</v>
      </c>
      <c r="M213">
        <f t="shared" si="38"/>
        <v>10</v>
      </c>
      <c r="N213" s="9" t="str">
        <f t="shared" si="47"/>
        <v>Valid</v>
      </c>
      <c r="O213" t="str">
        <f t="shared" si="39"/>
        <v>Include</v>
      </c>
      <c r="P213" s="9">
        <f t="shared" si="40"/>
        <v>2035068.5799999984</v>
      </c>
      <c r="Q213" s="15">
        <f t="shared" si="41"/>
        <v>7469725</v>
      </c>
      <c r="R213" s="9">
        <f t="shared" si="42"/>
        <v>9819</v>
      </c>
      <c r="S213" s="9">
        <f t="shared" si="43"/>
        <v>7469725</v>
      </c>
      <c r="T213" s="15">
        <f t="shared" si="44"/>
        <v>16.686436250344954</v>
      </c>
      <c r="U213" s="15">
        <f>IF(O213="Exclude",0,G213*Fuel_Price!$B$2)</f>
        <v>3486.8817440000003</v>
      </c>
      <c r="V213" s="15">
        <f t="shared" si="45"/>
        <v>2989922.7577359979</v>
      </c>
    </row>
    <row r="214" spans="1:22">
      <c r="A214" s="1" t="s">
        <v>480</v>
      </c>
      <c r="B214" s="1" t="s">
        <v>481</v>
      </c>
      <c r="C214" s="1" t="s">
        <v>221</v>
      </c>
      <c r="D214" s="1" t="s">
        <v>12</v>
      </c>
      <c r="E214" s="12">
        <v>12188</v>
      </c>
      <c r="F214" s="12" t="s">
        <v>13</v>
      </c>
      <c r="G214" s="6">
        <v>2985.8</v>
      </c>
      <c r="H214" s="1">
        <v>18.559999999999999</v>
      </c>
      <c r="J214" t="str">
        <f t="shared" si="36"/>
        <v>OK</v>
      </c>
      <c r="K214" t="str">
        <f t="shared" si="37"/>
        <v>OK</v>
      </c>
      <c r="L214">
        <f t="shared" si="46"/>
        <v>12</v>
      </c>
      <c r="M214">
        <f t="shared" si="38"/>
        <v>10</v>
      </c>
      <c r="N214" s="9" t="str">
        <f t="shared" si="47"/>
        <v>Valid</v>
      </c>
      <c r="O214" t="str">
        <f t="shared" si="39"/>
        <v>Include</v>
      </c>
      <c r="P214" s="9">
        <f t="shared" si="40"/>
        <v>2035068.5799999984</v>
      </c>
      <c r="Q214" s="15">
        <f t="shared" si="41"/>
        <v>7469725</v>
      </c>
      <c r="R214" s="9">
        <f t="shared" si="42"/>
        <v>12188</v>
      </c>
      <c r="S214" s="9">
        <f t="shared" si="43"/>
        <v>7469725</v>
      </c>
      <c r="T214" s="15">
        <f t="shared" si="44"/>
        <v>16.686436250344954</v>
      </c>
      <c r="U214" s="15">
        <f>IF(O214="Exclude",0,G214*Fuel_Price!$B$2)</f>
        <v>4386.7373600000001</v>
      </c>
      <c r="V214" s="15">
        <f t="shared" si="45"/>
        <v>2989922.7577359979</v>
      </c>
    </row>
    <row r="215" spans="1:22">
      <c r="A215" s="1" t="s">
        <v>482</v>
      </c>
      <c r="B215" s="1" t="s">
        <v>483</v>
      </c>
      <c r="C215" s="1" t="s">
        <v>221</v>
      </c>
      <c r="D215" s="1" t="s">
        <v>12</v>
      </c>
      <c r="E215" s="12">
        <v>8595</v>
      </c>
      <c r="F215" s="12" t="s">
        <v>13</v>
      </c>
      <c r="G215" s="6">
        <v>2245.2600000000002</v>
      </c>
      <c r="H215" s="1">
        <v>17.399999999999999</v>
      </c>
      <c r="J215" t="str">
        <f t="shared" si="36"/>
        <v>OK</v>
      </c>
      <c r="K215" t="str">
        <f t="shared" si="37"/>
        <v>OK</v>
      </c>
      <c r="L215">
        <f t="shared" si="46"/>
        <v>12</v>
      </c>
      <c r="M215">
        <f t="shared" si="38"/>
        <v>10</v>
      </c>
      <c r="N215" s="9" t="str">
        <f t="shared" si="47"/>
        <v>Valid</v>
      </c>
      <c r="O215" t="str">
        <f t="shared" si="39"/>
        <v>Include</v>
      </c>
      <c r="P215" s="9">
        <f t="shared" si="40"/>
        <v>2035068.5799999984</v>
      </c>
      <c r="Q215" s="15">
        <f t="shared" si="41"/>
        <v>7469725</v>
      </c>
      <c r="R215" s="9">
        <f t="shared" si="42"/>
        <v>8595</v>
      </c>
      <c r="S215" s="9">
        <f t="shared" si="43"/>
        <v>7469725</v>
      </c>
      <c r="T215" s="15">
        <f t="shared" si="44"/>
        <v>16.686436250344954</v>
      </c>
      <c r="U215" s="15">
        <f>IF(O215="Exclude",0,G215*Fuel_Price!$B$2)</f>
        <v>3298.7359920000004</v>
      </c>
      <c r="V215" s="15">
        <f t="shared" si="45"/>
        <v>2989922.7577359979</v>
      </c>
    </row>
    <row r="216" spans="1:22">
      <c r="A216" s="1" t="s">
        <v>484</v>
      </c>
      <c r="B216" s="1" t="s">
        <v>485</v>
      </c>
      <c r="C216" s="1" t="s">
        <v>221</v>
      </c>
      <c r="D216" s="1" t="s">
        <v>12</v>
      </c>
      <c r="E216" s="12">
        <v>12355</v>
      </c>
      <c r="F216" s="12" t="s">
        <v>13</v>
      </c>
      <c r="G216" s="6">
        <v>2995.56</v>
      </c>
      <c r="H216" s="1">
        <v>18.75</v>
      </c>
      <c r="J216" t="str">
        <f t="shared" si="36"/>
        <v>OK</v>
      </c>
      <c r="K216" t="str">
        <f t="shared" si="37"/>
        <v>OK</v>
      </c>
      <c r="L216">
        <f t="shared" si="46"/>
        <v>12</v>
      </c>
      <c r="M216">
        <f t="shared" si="38"/>
        <v>10</v>
      </c>
      <c r="N216" s="9" t="str">
        <f t="shared" si="47"/>
        <v>Valid</v>
      </c>
      <c r="O216" t="str">
        <f t="shared" si="39"/>
        <v>Include</v>
      </c>
      <c r="P216" s="9">
        <f t="shared" si="40"/>
        <v>2035068.5799999984</v>
      </c>
      <c r="Q216" s="15">
        <f t="shared" si="41"/>
        <v>7469725</v>
      </c>
      <c r="R216" s="9">
        <f t="shared" si="42"/>
        <v>12355</v>
      </c>
      <c r="S216" s="9">
        <f t="shared" si="43"/>
        <v>7469725</v>
      </c>
      <c r="T216" s="15">
        <f t="shared" si="44"/>
        <v>16.686436250344954</v>
      </c>
      <c r="U216" s="15">
        <f>IF(O216="Exclude",0,G216*Fuel_Price!$B$2)</f>
        <v>4401.0767519999999</v>
      </c>
      <c r="V216" s="15">
        <f t="shared" si="45"/>
        <v>2989922.7577359979</v>
      </c>
    </row>
    <row r="217" spans="1:22">
      <c r="A217" s="1" t="s">
        <v>486</v>
      </c>
      <c r="B217" s="1" t="s">
        <v>487</v>
      </c>
      <c r="C217" s="1" t="s">
        <v>221</v>
      </c>
      <c r="D217" s="1" t="s">
        <v>12</v>
      </c>
      <c r="E217" s="12">
        <v>8980</v>
      </c>
      <c r="F217" s="12" t="s">
        <v>13</v>
      </c>
      <c r="G217" s="6">
        <v>2060.54</v>
      </c>
      <c r="H217" s="1">
        <v>19.809999999999999</v>
      </c>
      <c r="J217" t="str">
        <f t="shared" si="36"/>
        <v>OK</v>
      </c>
      <c r="K217" t="str">
        <f t="shared" si="37"/>
        <v>OK</v>
      </c>
      <c r="L217">
        <f t="shared" si="46"/>
        <v>12</v>
      </c>
      <c r="M217">
        <f t="shared" si="38"/>
        <v>10</v>
      </c>
      <c r="N217" s="9" t="str">
        <f t="shared" si="47"/>
        <v>Valid</v>
      </c>
      <c r="O217" t="str">
        <f t="shared" si="39"/>
        <v>Include</v>
      </c>
      <c r="P217" s="9">
        <f t="shared" si="40"/>
        <v>2035068.5799999984</v>
      </c>
      <c r="Q217" s="15">
        <f t="shared" si="41"/>
        <v>7469725</v>
      </c>
      <c r="R217" s="9">
        <f t="shared" si="42"/>
        <v>8980</v>
      </c>
      <c r="S217" s="9">
        <f t="shared" si="43"/>
        <v>7469725</v>
      </c>
      <c r="T217" s="15">
        <f t="shared" si="44"/>
        <v>16.686436250344954</v>
      </c>
      <c r="U217" s="15">
        <f>IF(O217="Exclude",0,G217*Fuel_Price!$B$2)</f>
        <v>3027.3453680000002</v>
      </c>
      <c r="V217" s="15">
        <f t="shared" si="45"/>
        <v>2989922.7577359979</v>
      </c>
    </row>
    <row r="218" spans="1:22">
      <c r="A218" s="1" t="s">
        <v>488</v>
      </c>
      <c r="B218" s="1" t="s">
        <v>489</v>
      </c>
      <c r="C218" s="1" t="s">
        <v>316</v>
      </c>
      <c r="D218" s="1" t="s">
        <v>12</v>
      </c>
      <c r="E218" s="12">
        <v>8017</v>
      </c>
      <c r="F218" s="12" t="s">
        <v>13</v>
      </c>
      <c r="G218" s="6">
        <v>1861.36</v>
      </c>
      <c r="H218" s="1">
        <v>19.579999999999998</v>
      </c>
      <c r="J218" t="str">
        <f t="shared" si="36"/>
        <v>OK</v>
      </c>
      <c r="K218" t="str">
        <f t="shared" si="37"/>
        <v>OK</v>
      </c>
      <c r="L218">
        <f t="shared" si="46"/>
        <v>12</v>
      </c>
      <c r="M218">
        <f t="shared" si="38"/>
        <v>10</v>
      </c>
      <c r="N218" s="9" t="str">
        <f t="shared" si="47"/>
        <v>Valid</v>
      </c>
      <c r="O218" t="str">
        <f t="shared" si="39"/>
        <v>Include</v>
      </c>
      <c r="P218" s="9">
        <f t="shared" si="40"/>
        <v>2035068.5799999984</v>
      </c>
      <c r="Q218" s="15">
        <f t="shared" si="41"/>
        <v>7469725</v>
      </c>
      <c r="R218" s="9">
        <f t="shared" si="42"/>
        <v>8017</v>
      </c>
      <c r="S218" s="9">
        <f t="shared" si="43"/>
        <v>7469725</v>
      </c>
      <c r="T218" s="15">
        <f t="shared" si="44"/>
        <v>16.686436250344954</v>
      </c>
      <c r="U218" s="15">
        <f>IF(O218="Exclude",0,G218*Fuel_Price!$B$2)</f>
        <v>2734.7101119999998</v>
      </c>
      <c r="V218" s="15">
        <f t="shared" si="45"/>
        <v>2989922.7577359979</v>
      </c>
    </row>
    <row r="219" spans="1:22">
      <c r="A219" s="1" t="s">
        <v>490</v>
      </c>
      <c r="B219" s="1" t="s">
        <v>491</v>
      </c>
      <c r="C219" s="1" t="s">
        <v>221</v>
      </c>
      <c r="D219" s="1" t="s">
        <v>12</v>
      </c>
      <c r="E219" s="12">
        <v>11797</v>
      </c>
      <c r="F219" s="12" t="s">
        <v>13</v>
      </c>
      <c r="G219" s="6">
        <v>2664.92</v>
      </c>
      <c r="H219" s="1">
        <v>20.12</v>
      </c>
      <c r="J219" t="str">
        <f t="shared" si="36"/>
        <v>OK</v>
      </c>
      <c r="K219" t="str">
        <f t="shared" si="37"/>
        <v>OK</v>
      </c>
      <c r="L219">
        <f t="shared" si="46"/>
        <v>12</v>
      </c>
      <c r="M219">
        <f t="shared" si="38"/>
        <v>10</v>
      </c>
      <c r="N219" s="9" t="str">
        <f t="shared" si="47"/>
        <v>Valid</v>
      </c>
      <c r="O219" t="str">
        <f t="shared" si="39"/>
        <v>Include</v>
      </c>
      <c r="P219" s="9">
        <f t="shared" si="40"/>
        <v>2035068.5799999984</v>
      </c>
      <c r="Q219" s="15">
        <f t="shared" si="41"/>
        <v>7469725</v>
      </c>
      <c r="R219" s="9">
        <f t="shared" si="42"/>
        <v>11797</v>
      </c>
      <c r="S219" s="9">
        <f t="shared" si="43"/>
        <v>7469725</v>
      </c>
      <c r="T219" s="15">
        <f t="shared" si="44"/>
        <v>16.686436250344954</v>
      </c>
      <c r="U219" s="15">
        <f>IF(O219="Exclude",0,G219*Fuel_Price!$B$2)</f>
        <v>3915.3004640000004</v>
      </c>
      <c r="V219" s="15">
        <f t="shared" si="45"/>
        <v>2989922.7577359979</v>
      </c>
    </row>
    <row r="220" spans="1:22">
      <c r="A220" s="1" t="s">
        <v>492</v>
      </c>
      <c r="B220" s="1" t="s">
        <v>493</v>
      </c>
      <c r="C220" s="1" t="s">
        <v>221</v>
      </c>
      <c r="D220" s="1" t="s">
        <v>12</v>
      </c>
      <c r="E220" s="12">
        <v>12037</v>
      </c>
      <c r="F220" s="12" t="s">
        <v>13</v>
      </c>
      <c r="G220" s="6">
        <v>2817.68</v>
      </c>
      <c r="H220" s="1">
        <v>19.420000000000002</v>
      </c>
      <c r="J220" t="str">
        <f t="shared" si="36"/>
        <v>OK</v>
      </c>
      <c r="K220" t="str">
        <f t="shared" si="37"/>
        <v>OK</v>
      </c>
      <c r="L220">
        <f t="shared" si="46"/>
        <v>12</v>
      </c>
      <c r="M220">
        <f t="shared" si="38"/>
        <v>10</v>
      </c>
      <c r="N220" s="9" t="str">
        <f t="shared" si="47"/>
        <v>Valid</v>
      </c>
      <c r="O220" t="str">
        <f t="shared" si="39"/>
        <v>Include</v>
      </c>
      <c r="P220" s="9">
        <f t="shared" si="40"/>
        <v>2035068.5799999984</v>
      </c>
      <c r="Q220" s="15">
        <f t="shared" si="41"/>
        <v>7469725</v>
      </c>
      <c r="R220" s="9">
        <f t="shared" si="42"/>
        <v>12037</v>
      </c>
      <c r="S220" s="9">
        <f t="shared" si="43"/>
        <v>7469725</v>
      </c>
      <c r="T220" s="15">
        <f t="shared" si="44"/>
        <v>16.686436250344954</v>
      </c>
      <c r="U220" s="15">
        <f>IF(O220="Exclude",0,G220*Fuel_Price!$B$2)</f>
        <v>4139.7354560000003</v>
      </c>
      <c r="V220" s="15">
        <f t="shared" si="45"/>
        <v>2989922.7577359979</v>
      </c>
    </row>
    <row r="221" spans="1:22">
      <c r="A221" s="1" t="s">
        <v>494</v>
      </c>
      <c r="B221" s="1" t="s">
        <v>495</v>
      </c>
      <c r="C221" s="1" t="s">
        <v>316</v>
      </c>
      <c r="D221" s="1" t="s">
        <v>12</v>
      </c>
      <c r="E221" s="12">
        <v>5991</v>
      </c>
      <c r="F221" s="12" t="s">
        <v>13</v>
      </c>
      <c r="G221" s="6">
        <v>1282.1600000000001</v>
      </c>
      <c r="H221" s="1">
        <v>21.24</v>
      </c>
      <c r="J221" t="str">
        <f t="shared" si="36"/>
        <v>OK</v>
      </c>
      <c r="K221" t="str">
        <f t="shared" si="37"/>
        <v>OK</v>
      </c>
      <c r="L221">
        <f t="shared" si="46"/>
        <v>12</v>
      </c>
      <c r="M221">
        <f t="shared" si="38"/>
        <v>10</v>
      </c>
      <c r="N221" s="9" t="str">
        <f t="shared" si="47"/>
        <v>Valid</v>
      </c>
      <c r="O221" t="str">
        <f t="shared" si="39"/>
        <v>Include</v>
      </c>
      <c r="P221" s="9">
        <f t="shared" si="40"/>
        <v>2035068.5799999984</v>
      </c>
      <c r="Q221" s="15">
        <f t="shared" si="41"/>
        <v>7469725</v>
      </c>
      <c r="R221" s="9">
        <f t="shared" si="42"/>
        <v>5991</v>
      </c>
      <c r="S221" s="9">
        <f t="shared" si="43"/>
        <v>7469725</v>
      </c>
      <c r="T221" s="15">
        <f t="shared" si="44"/>
        <v>16.686436250344954</v>
      </c>
      <c r="U221" s="15">
        <f>IF(O221="Exclude",0,G221*Fuel_Price!$B$2)</f>
        <v>1883.7494720000002</v>
      </c>
      <c r="V221" s="15">
        <f t="shared" si="45"/>
        <v>2989922.7577359979</v>
      </c>
    </row>
    <row r="222" spans="1:22">
      <c r="A222" s="1" t="s">
        <v>496</v>
      </c>
      <c r="B222" s="1" t="s">
        <v>497</v>
      </c>
      <c r="C222" s="1" t="s">
        <v>221</v>
      </c>
      <c r="D222" s="1" t="s">
        <v>12</v>
      </c>
      <c r="E222" s="12">
        <v>18407</v>
      </c>
      <c r="F222" s="12" t="s">
        <v>13</v>
      </c>
      <c r="G222" s="6">
        <v>4000.39</v>
      </c>
      <c r="H222" s="1">
        <v>20.92</v>
      </c>
      <c r="J222" t="str">
        <f t="shared" si="36"/>
        <v>OK</v>
      </c>
      <c r="K222" t="str">
        <f t="shared" si="37"/>
        <v>OK</v>
      </c>
      <c r="L222">
        <f t="shared" si="46"/>
        <v>12</v>
      </c>
      <c r="M222">
        <f t="shared" si="38"/>
        <v>10</v>
      </c>
      <c r="N222" s="9" t="str">
        <f t="shared" si="47"/>
        <v>Valid</v>
      </c>
      <c r="O222" t="str">
        <f t="shared" si="39"/>
        <v>Include</v>
      </c>
      <c r="P222" s="9">
        <f t="shared" si="40"/>
        <v>2035068.5799999984</v>
      </c>
      <c r="Q222" s="15">
        <f t="shared" si="41"/>
        <v>7469725</v>
      </c>
      <c r="R222" s="9">
        <f t="shared" si="42"/>
        <v>18407</v>
      </c>
      <c r="S222" s="9">
        <f t="shared" si="43"/>
        <v>7469725</v>
      </c>
      <c r="T222" s="15">
        <f t="shared" si="44"/>
        <v>16.686436250344954</v>
      </c>
      <c r="U222" s="15">
        <f>IF(O222="Exclude",0,G222*Fuel_Price!$B$2)</f>
        <v>5877.3729880000001</v>
      </c>
      <c r="V222" s="15">
        <f t="shared" si="45"/>
        <v>2989922.7577359979</v>
      </c>
    </row>
    <row r="223" spans="1:22">
      <c r="A223" s="1" t="s">
        <v>498</v>
      </c>
      <c r="B223" s="1" t="s">
        <v>499</v>
      </c>
      <c r="C223" s="1" t="s">
        <v>221</v>
      </c>
      <c r="D223" s="1" t="s">
        <v>12</v>
      </c>
      <c r="E223" s="12">
        <v>16234</v>
      </c>
      <c r="F223" s="12" t="s">
        <v>13</v>
      </c>
      <c r="G223" s="6">
        <v>3461.89</v>
      </c>
      <c r="H223" s="1">
        <v>21.32</v>
      </c>
      <c r="J223" t="str">
        <f t="shared" si="36"/>
        <v>OK</v>
      </c>
      <c r="K223" t="str">
        <f t="shared" si="37"/>
        <v>OK</v>
      </c>
      <c r="L223">
        <f t="shared" si="46"/>
        <v>12</v>
      </c>
      <c r="M223">
        <f t="shared" si="38"/>
        <v>10</v>
      </c>
      <c r="N223" s="9" t="str">
        <f t="shared" si="47"/>
        <v>Valid</v>
      </c>
      <c r="O223" t="str">
        <f t="shared" si="39"/>
        <v>Include</v>
      </c>
      <c r="P223" s="9">
        <f t="shared" si="40"/>
        <v>2035068.5799999984</v>
      </c>
      <c r="Q223" s="15">
        <f t="shared" si="41"/>
        <v>7469725</v>
      </c>
      <c r="R223" s="9">
        <f t="shared" si="42"/>
        <v>16234</v>
      </c>
      <c r="S223" s="9">
        <f t="shared" si="43"/>
        <v>7469725</v>
      </c>
      <c r="T223" s="15">
        <f t="shared" si="44"/>
        <v>16.686436250344954</v>
      </c>
      <c r="U223" s="15">
        <f>IF(O223="Exclude",0,G223*Fuel_Price!$B$2)</f>
        <v>5086.2087879999999</v>
      </c>
      <c r="V223" s="15">
        <f t="shared" si="45"/>
        <v>2989922.7577359979</v>
      </c>
    </row>
    <row r="224" spans="1:22">
      <c r="A224" s="1" t="s">
        <v>500</v>
      </c>
      <c r="B224" s="1" t="s">
        <v>501</v>
      </c>
      <c r="C224" s="1" t="s">
        <v>228</v>
      </c>
      <c r="D224" s="1" t="s">
        <v>12</v>
      </c>
      <c r="E224" s="12">
        <v>9745</v>
      </c>
      <c r="F224" s="12" t="s">
        <v>13</v>
      </c>
      <c r="G224" s="6">
        <v>2254.0700000000002</v>
      </c>
      <c r="H224" s="1">
        <v>19.649999999999999</v>
      </c>
      <c r="J224" t="str">
        <f t="shared" si="36"/>
        <v>OK</v>
      </c>
      <c r="K224" t="str">
        <f t="shared" si="37"/>
        <v>OK</v>
      </c>
      <c r="L224">
        <f t="shared" si="46"/>
        <v>12</v>
      </c>
      <c r="M224">
        <f t="shared" si="38"/>
        <v>10</v>
      </c>
      <c r="N224" s="9" t="str">
        <f t="shared" si="47"/>
        <v>Valid</v>
      </c>
      <c r="O224" t="str">
        <f t="shared" si="39"/>
        <v>Include</v>
      </c>
      <c r="P224" s="9">
        <f t="shared" si="40"/>
        <v>2035068.5799999984</v>
      </c>
      <c r="Q224" s="15">
        <f t="shared" si="41"/>
        <v>7469725</v>
      </c>
      <c r="R224" s="9">
        <f t="shared" si="42"/>
        <v>9745</v>
      </c>
      <c r="S224" s="9">
        <f t="shared" si="43"/>
        <v>7469725</v>
      </c>
      <c r="T224" s="15">
        <f t="shared" si="44"/>
        <v>16.686436250344954</v>
      </c>
      <c r="U224" s="15">
        <f>IF(O224="Exclude",0,G224*Fuel_Price!$B$2)</f>
        <v>3311.6796440000003</v>
      </c>
      <c r="V224" s="15">
        <f t="shared" si="45"/>
        <v>2989922.7577359979</v>
      </c>
    </row>
    <row r="225" spans="1:22">
      <c r="A225" s="1" t="s">
        <v>502</v>
      </c>
      <c r="B225" s="1" t="s">
        <v>503</v>
      </c>
      <c r="C225" s="1" t="s">
        <v>228</v>
      </c>
      <c r="D225" s="1" t="s">
        <v>12</v>
      </c>
      <c r="E225" s="12">
        <v>17590</v>
      </c>
      <c r="F225" s="12" t="s">
        <v>13</v>
      </c>
      <c r="G225" s="6">
        <v>3833.15</v>
      </c>
      <c r="H225" s="1">
        <v>20.86</v>
      </c>
      <c r="J225" t="str">
        <f t="shared" si="36"/>
        <v>OK</v>
      </c>
      <c r="K225" t="str">
        <f t="shared" si="37"/>
        <v>OK</v>
      </c>
      <c r="L225">
        <f t="shared" si="46"/>
        <v>12</v>
      </c>
      <c r="M225">
        <f t="shared" si="38"/>
        <v>10</v>
      </c>
      <c r="N225" s="9" t="str">
        <f t="shared" si="47"/>
        <v>Valid</v>
      </c>
      <c r="O225" t="str">
        <f t="shared" si="39"/>
        <v>Include</v>
      </c>
      <c r="P225" s="9">
        <f t="shared" si="40"/>
        <v>2035068.5799999984</v>
      </c>
      <c r="Q225" s="15">
        <f t="shared" si="41"/>
        <v>7469725</v>
      </c>
      <c r="R225" s="9">
        <f t="shared" si="42"/>
        <v>17590</v>
      </c>
      <c r="S225" s="9">
        <f t="shared" si="43"/>
        <v>7469725</v>
      </c>
      <c r="T225" s="15">
        <f t="shared" si="44"/>
        <v>16.686436250344954</v>
      </c>
      <c r="U225" s="15">
        <f>IF(O225="Exclude",0,G225*Fuel_Price!$B$2)</f>
        <v>5631.6639800000003</v>
      </c>
      <c r="V225" s="15">
        <f t="shared" si="45"/>
        <v>2989922.7577359979</v>
      </c>
    </row>
    <row r="226" spans="1:22">
      <c r="A226" s="1" t="s">
        <v>504</v>
      </c>
      <c r="B226" s="1" t="s">
        <v>505</v>
      </c>
      <c r="C226" s="1" t="s">
        <v>316</v>
      </c>
      <c r="D226" s="1" t="s">
        <v>12</v>
      </c>
      <c r="E226" s="12">
        <v>8282</v>
      </c>
      <c r="F226" s="12" t="s">
        <v>13</v>
      </c>
      <c r="G226" s="6">
        <v>2097.2800000000002</v>
      </c>
      <c r="H226" s="1">
        <v>17.95</v>
      </c>
      <c r="J226" t="str">
        <f t="shared" si="36"/>
        <v>OK</v>
      </c>
      <c r="K226" t="str">
        <f t="shared" si="37"/>
        <v>OK</v>
      </c>
      <c r="L226">
        <f t="shared" si="46"/>
        <v>12</v>
      </c>
      <c r="M226">
        <f t="shared" si="38"/>
        <v>10</v>
      </c>
      <c r="N226" s="9" t="str">
        <f t="shared" si="47"/>
        <v>Valid</v>
      </c>
      <c r="O226" t="str">
        <f t="shared" si="39"/>
        <v>Include</v>
      </c>
      <c r="P226" s="9">
        <f t="shared" si="40"/>
        <v>2035068.5799999984</v>
      </c>
      <c r="Q226" s="15">
        <f t="shared" si="41"/>
        <v>7469725</v>
      </c>
      <c r="R226" s="9">
        <f t="shared" si="42"/>
        <v>8282</v>
      </c>
      <c r="S226" s="9">
        <f t="shared" si="43"/>
        <v>7469725</v>
      </c>
      <c r="T226" s="15">
        <f t="shared" si="44"/>
        <v>16.686436250344954</v>
      </c>
      <c r="U226" s="15">
        <f>IF(O226="Exclude",0,G226*Fuel_Price!$B$2)</f>
        <v>3081.3237760000006</v>
      </c>
      <c r="V226" s="15">
        <f t="shared" si="45"/>
        <v>2989922.7577359979</v>
      </c>
    </row>
    <row r="227" spans="1:22">
      <c r="A227" s="1" t="s">
        <v>506</v>
      </c>
      <c r="B227" s="1" t="s">
        <v>507</v>
      </c>
      <c r="C227" s="1" t="s">
        <v>228</v>
      </c>
      <c r="D227" s="1" t="s">
        <v>12</v>
      </c>
      <c r="E227" s="12">
        <v>8423</v>
      </c>
      <c r="F227" s="12" t="s">
        <v>13</v>
      </c>
      <c r="G227" s="6">
        <v>1985.09</v>
      </c>
      <c r="H227" s="1">
        <v>19.29</v>
      </c>
      <c r="J227" t="str">
        <f t="shared" si="36"/>
        <v>OK</v>
      </c>
      <c r="K227" t="str">
        <f t="shared" si="37"/>
        <v>OK</v>
      </c>
      <c r="L227">
        <f t="shared" si="46"/>
        <v>12</v>
      </c>
      <c r="M227">
        <f t="shared" si="38"/>
        <v>10</v>
      </c>
      <c r="N227" s="9" t="str">
        <f t="shared" si="47"/>
        <v>Valid</v>
      </c>
      <c r="O227" t="str">
        <f t="shared" si="39"/>
        <v>Include</v>
      </c>
      <c r="P227" s="9">
        <f t="shared" si="40"/>
        <v>2035068.5799999984</v>
      </c>
      <c r="Q227" s="15">
        <f t="shared" si="41"/>
        <v>7469725</v>
      </c>
      <c r="R227" s="9">
        <f t="shared" si="42"/>
        <v>8423</v>
      </c>
      <c r="S227" s="9">
        <f t="shared" si="43"/>
        <v>7469725</v>
      </c>
      <c r="T227" s="15">
        <f t="shared" si="44"/>
        <v>16.686436250344954</v>
      </c>
      <c r="U227" s="15">
        <f>IF(O227="Exclude",0,G227*Fuel_Price!$B$2)</f>
        <v>2916.494228</v>
      </c>
      <c r="V227" s="15">
        <f t="shared" si="45"/>
        <v>2989922.7577359979</v>
      </c>
    </row>
    <row r="228" spans="1:22">
      <c r="A228" s="1" t="s">
        <v>508</v>
      </c>
      <c r="B228" s="1" t="s">
        <v>509</v>
      </c>
      <c r="C228" s="1" t="s">
        <v>228</v>
      </c>
      <c r="D228" s="1" t="s">
        <v>12</v>
      </c>
      <c r="E228" s="12">
        <v>11322</v>
      </c>
      <c r="F228" s="12" t="s">
        <v>13</v>
      </c>
      <c r="G228" s="6">
        <v>2566.09</v>
      </c>
      <c r="H228" s="1">
        <v>20.059999999999999</v>
      </c>
      <c r="J228" t="str">
        <f t="shared" si="36"/>
        <v>OK</v>
      </c>
      <c r="K228" t="str">
        <f t="shared" si="37"/>
        <v>OK</v>
      </c>
      <c r="L228">
        <f t="shared" si="46"/>
        <v>12</v>
      </c>
      <c r="M228">
        <f t="shared" si="38"/>
        <v>10</v>
      </c>
      <c r="N228" s="9" t="str">
        <f t="shared" si="47"/>
        <v>Valid</v>
      </c>
      <c r="O228" t="str">
        <f t="shared" si="39"/>
        <v>Include</v>
      </c>
      <c r="P228" s="9">
        <f t="shared" si="40"/>
        <v>2035068.5799999984</v>
      </c>
      <c r="Q228" s="15">
        <f t="shared" si="41"/>
        <v>7469725</v>
      </c>
      <c r="R228" s="9">
        <f t="shared" si="42"/>
        <v>11322</v>
      </c>
      <c r="S228" s="9">
        <f t="shared" si="43"/>
        <v>7469725</v>
      </c>
      <c r="T228" s="15">
        <f t="shared" si="44"/>
        <v>16.686436250344954</v>
      </c>
      <c r="U228" s="15">
        <f>IF(O228="Exclude",0,G228*Fuel_Price!$B$2)</f>
        <v>3770.0994280000004</v>
      </c>
      <c r="V228" s="15">
        <f t="shared" si="45"/>
        <v>2989922.7577359979</v>
      </c>
    </row>
    <row r="229" spans="1:22">
      <c r="A229" s="1" t="s">
        <v>510</v>
      </c>
      <c r="B229" s="1" t="s">
        <v>511</v>
      </c>
      <c r="C229" s="1" t="s">
        <v>316</v>
      </c>
      <c r="D229" s="1" t="s">
        <v>12</v>
      </c>
      <c r="E229" s="12">
        <v>9848</v>
      </c>
      <c r="F229" s="12" t="s">
        <v>13</v>
      </c>
      <c r="G229" s="6">
        <v>2339.2199999999998</v>
      </c>
      <c r="H229" s="1">
        <v>19.14</v>
      </c>
      <c r="J229" t="str">
        <f t="shared" si="36"/>
        <v>OK</v>
      </c>
      <c r="K229" t="str">
        <f t="shared" si="37"/>
        <v>OK</v>
      </c>
      <c r="L229">
        <f t="shared" si="46"/>
        <v>12</v>
      </c>
      <c r="M229">
        <f t="shared" si="38"/>
        <v>10</v>
      </c>
      <c r="N229" s="9" t="str">
        <f t="shared" si="47"/>
        <v>Valid</v>
      </c>
      <c r="O229" t="str">
        <f t="shared" si="39"/>
        <v>Include</v>
      </c>
      <c r="P229" s="9">
        <f t="shared" si="40"/>
        <v>2035068.5799999984</v>
      </c>
      <c r="Q229" s="15">
        <f t="shared" si="41"/>
        <v>7469725</v>
      </c>
      <c r="R229" s="9">
        <f t="shared" si="42"/>
        <v>9848</v>
      </c>
      <c r="S229" s="9">
        <f t="shared" si="43"/>
        <v>7469725</v>
      </c>
      <c r="T229" s="15">
        <f t="shared" si="44"/>
        <v>16.686436250344954</v>
      </c>
      <c r="U229" s="15">
        <f>IF(O229="Exclude",0,G229*Fuel_Price!$B$2)</f>
        <v>3436.7820239999996</v>
      </c>
      <c r="V229" s="15">
        <f t="shared" si="45"/>
        <v>2989922.7577359979</v>
      </c>
    </row>
    <row r="230" spans="1:22">
      <c r="A230" s="1" t="s">
        <v>512</v>
      </c>
      <c r="B230" s="1" t="s">
        <v>513</v>
      </c>
      <c r="C230" s="1" t="s">
        <v>221</v>
      </c>
      <c r="D230" s="1" t="s">
        <v>12</v>
      </c>
      <c r="E230" s="12">
        <v>17630</v>
      </c>
      <c r="F230" s="12" t="s">
        <v>13</v>
      </c>
      <c r="G230" s="6">
        <v>3903.04</v>
      </c>
      <c r="H230" s="1">
        <v>20.53</v>
      </c>
      <c r="J230" t="str">
        <f t="shared" si="36"/>
        <v>OK</v>
      </c>
      <c r="K230" t="str">
        <f t="shared" si="37"/>
        <v>OK</v>
      </c>
      <c r="L230">
        <f t="shared" si="46"/>
        <v>12</v>
      </c>
      <c r="M230">
        <f t="shared" si="38"/>
        <v>10</v>
      </c>
      <c r="N230" s="9" t="str">
        <f t="shared" si="47"/>
        <v>Valid</v>
      </c>
      <c r="O230" t="str">
        <f t="shared" si="39"/>
        <v>Include</v>
      </c>
      <c r="P230" s="9">
        <f t="shared" si="40"/>
        <v>2035068.5799999984</v>
      </c>
      <c r="Q230" s="15">
        <f t="shared" si="41"/>
        <v>7469725</v>
      </c>
      <c r="R230" s="9">
        <f t="shared" si="42"/>
        <v>17630</v>
      </c>
      <c r="S230" s="9">
        <f t="shared" si="43"/>
        <v>7469725</v>
      </c>
      <c r="T230" s="15">
        <f t="shared" si="44"/>
        <v>16.686436250344954</v>
      </c>
      <c r="U230" s="15">
        <f>IF(O230="Exclude",0,G230*Fuel_Price!$B$2)</f>
        <v>5734.3463680000004</v>
      </c>
      <c r="V230" s="15">
        <f t="shared" si="45"/>
        <v>2989922.7577359979</v>
      </c>
    </row>
    <row r="231" spans="1:22">
      <c r="A231" s="1" t="s">
        <v>514</v>
      </c>
      <c r="B231" s="1" t="s">
        <v>515</v>
      </c>
      <c r="C231" s="1" t="s">
        <v>221</v>
      </c>
      <c r="D231" s="1" t="s">
        <v>12</v>
      </c>
      <c r="E231" s="12">
        <v>11509</v>
      </c>
      <c r="F231" s="12" t="s">
        <v>13</v>
      </c>
      <c r="G231" s="6">
        <v>2784.97</v>
      </c>
      <c r="H231" s="1">
        <v>18.79</v>
      </c>
      <c r="J231" t="str">
        <f t="shared" si="36"/>
        <v>OK</v>
      </c>
      <c r="K231" t="str">
        <f t="shared" si="37"/>
        <v>OK</v>
      </c>
      <c r="L231">
        <f t="shared" si="46"/>
        <v>12</v>
      </c>
      <c r="M231">
        <f t="shared" si="38"/>
        <v>10</v>
      </c>
      <c r="N231" s="9" t="str">
        <f t="shared" si="47"/>
        <v>Valid</v>
      </c>
      <c r="O231" t="str">
        <f t="shared" si="39"/>
        <v>Include</v>
      </c>
      <c r="P231" s="9">
        <f t="shared" si="40"/>
        <v>2035068.5799999984</v>
      </c>
      <c r="Q231" s="15">
        <f t="shared" si="41"/>
        <v>7469725</v>
      </c>
      <c r="R231" s="9">
        <f t="shared" si="42"/>
        <v>11509</v>
      </c>
      <c r="S231" s="9">
        <f t="shared" si="43"/>
        <v>7469725</v>
      </c>
      <c r="T231" s="15">
        <f t="shared" si="44"/>
        <v>16.686436250344954</v>
      </c>
      <c r="U231" s="15">
        <f>IF(O231="Exclude",0,G231*Fuel_Price!$B$2)</f>
        <v>4091.6779240000001</v>
      </c>
      <c r="V231" s="15">
        <f t="shared" si="45"/>
        <v>2989922.7577359979</v>
      </c>
    </row>
    <row r="232" spans="1:22">
      <c r="A232" s="1" t="s">
        <v>516</v>
      </c>
      <c r="B232" s="1" t="s">
        <v>517</v>
      </c>
      <c r="C232" s="1" t="s">
        <v>518</v>
      </c>
      <c r="D232" s="1" t="s">
        <v>12</v>
      </c>
      <c r="E232" s="12">
        <v>5404</v>
      </c>
      <c r="F232" s="12" t="s">
        <v>13</v>
      </c>
      <c r="G232" s="6">
        <v>1517.54</v>
      </c>
      <c r="H232" s="1">
        <v>16.190000000000001</v>
      </c>
      <c r="J232" t="str">
        <f t="shared" si="36"/>
        <v>OK</v>
      </c>
      <c r="K232" t="str">
        <f t="shared" si="37"/>
        <v>OK</v>
      </c>
      <c r="L232">
        <f t="shared" si="46"/>
        <v>12</v>
      </c>
      <c r="M232">
        <f t="shared" si="38"/>
        <v>10</v>
      </c>
      <c r="N232" s="9" t="str">
        <f t="shared" si="47"/>
        <v>Valid</v>
      </c>
      <c r="O232" t="str">
        <f t="shared" si="39"/>
        <v>Include</v>
      </c>
      <c r="P232" s="9">
        <f t="shared" si="40"/>
        <v>2035068.5799999984</v>
      </c>
      <c r="Q232" s="15">
        <f t="shared" si="41"/>
        <v>7469725</v>
      </c>
      <c r="R232" s="9">
        <f t="shared" si="42"/>
        <v>5404</v>
      </c>
      <c r="S232" s="9">
        <f t="shared" si="43"/>
        <v>7469725</v>
      </c>
      <c r="T232" s="15">
        <f t="shared" si="44"/>
        <v>16.686436250344954</v>
      </c>
      <c r="U232" s="15">
        <f>IF(O232="Exclude",0,G232*Fuel_Price!$B$2)</f>
        <v>2229.5697679999998</v>
      </c>
      <c r="V232" s="15">
        <f t="shared" si="45"/>
        <v>2989922.7577359979</v>
      </c>
    </row>
    <row r="233" spans="1:22">
      <c r="A233" s="1" t="s">
        <v>519</v>
      </c>
      <c r="B233" s="1" t="s">
        <v>520</v>
      </c>
      <c r="C233" s="1" t="s">
        <v>221</v>
      </c>
      <c r="D233" s="1" t="s">
        <v>12</v>
      </c>
      <c r="E233" s="12">
        <v>11038</v>
      </c>
      <c r="F233" s="12" t="s">
        <v>13</v>
      </c>
      <c r="G233" s="6">
        <v>2184.5100000000002</v>
      </c>
      <c r="H233" s="1">
        <v>22.97</v>
      </c>
      <c r="J233" t="str">
        <f t="shared" si="36"/>
        <v>OK</v>
      </c>
      <c r="K233" t="str">
        <f t="shared" si="37"/>
        <v>OK</v>
      </c>
      <c r="L233">
        <f t="shared" si="46"/>
        <v>12</v>
      </c>
      <c r="M233">
        <f t="shared" si="38"/>
        <v>10</v>
      </c>
      <c r="N233" s="9" t="str">
        <f t="shared" si="47"/>
        <v>Valid</v>
      </c>
      <c r="O233" t="str">
        <f t="shared" si="39"/>
        <v>Include</v>
      </c>
      <c r="P233" s="9">
        <f t="shared" si="40"/>
        <v>2035068.5799999984</v>
      </c>
      <c r="Q233" s="15">
        <f t="shared" si="41"/>
        <v>7469725</v>
      </c>
      <c r="R233" s="9">
        <f t="shared" si="42"/>
        <v>11038</v>
      </c>
      <c r="S233" s="9">
        <f t="shared" si="43"/>
        <v>7469725</v>
      </c>
      <c r="T233" s="15">
        <f t="shared" si="44"/>
        <v>16.686436250344954</v>
      </c>
      <c r="U233" s="15">
        <f>IF(O233="Exclude",0,G233*Fuel_Price!$B$2)</f>
        <v>3209.4820920000006</v>
      </c>
      <c r="V233" s="15">
        <f t="shared" si="45"/>
        <v>2989922.7577359979</v>
      </c>
    </row>
    <row r="234" spans="1:22">
      <c r="A234" s="1" t="s">
        <v>521</v>
      </c>
      <c r="B234" s="1" t="s">
        <v>522</v>
      </c>
      <c r="C234" s="1" t="s">
        <v>316</v>
      </c>
      <c r="D234" s="1" t="s">
        <v>12</v>
      </c>
      <c r="E234" s="12">
        <v>4584</v>
      </c>
      <c r="F234" s="12" t="s">
        <v>13</v>
      </c>
      <c r="G234" s="6">
        <v>1066.56</v>
      </c>
      <c r="H234" s="1">
        <v>19.54</v>
      </c>
      <c r="J234" t="str">
        <f t="shared" si="36"/>
        <v>OK</v>
      </c>
      <c r="K234" t="str">
        <f t="shared" si="37"/>
        <v>OK</v>
      </c>
      <c r="L234">
        <f t="shared" si="46"/>
        <v>12</v>
      </c>
      <c r="M234">
        <f t="shared" si="38"/>
        <v>10</v>
      </c>
      <c r="N234" s="9" t="str">
        <f t="shared" si="47"/>
        <v>Valid</v>
      </c>
      <c r="O234" t="str">
        <f t="shared" si="39"/>
        <v>Include</v>
      </c>
      <c r="P234" s="9">
        <f t="shared" si="40"/>
        <v>2035068.5799999984</v>
      </c>
      <c r="Q234" s="15">
        <f t="shared" si="41"/>
        <v>7469725</v>
      </c>
      <c r="R234" s="9">
        <f t="shared" si="42"/>
        <v>4584</v>
      </c>
      <c r="S234" s="9">
        <f t="shared" si="43"/>
        <v>7469725</v>
      </c>
      <c r="T234" s="15">
        <f t="shared" si="44"/>
        <v>16.686436250344954</v>
      </c>
      <c r="U234" s="15">
        <f>IF(O234="Exclude",0,G234*Fuel_Price!$B$2)</f>
        <v>1566.9899519999999</v>
      </c>
      <c r="V234" s="15">
        <f t="shared" si="45"/>
        <v>2989922.7577359979</v>
      </c>
    </row>
    <row r="235" spans="1:22">
      <c r="A235" s="1" t="s">
        <v>523</v>
      </c>
      <c r="B235" s="1" t="s">
        <v>524</v>
      </c>
      <c r="C235" s="1" t="s">
        <v>221</v>
      </c>
      <c r="D235" s="1" t="s">
        <v>12</v>
      </c>
      <c r="E235" s="12">
        <v>4794</v>
      </c>
      <c r="F235" s="12" t="s">
        <v>13</v>
      </c>
      <c r="G235" s="6">
        <v>969.16</v>
      </c>
      <c r="H235" s="1">
        <v>22.49</v>
      </c>
      <c r="J235" t="str">
        <f t="shared" si="36"/>
        <v>OK</v>
      </c>
      <c r="K235" t="str">
        <f t="shared" si="37"/>
        <v>OK</v>
      </c>
      <c r="L235">
        <f t="shared" si="46"/>
        <v>12</v>
      </c>
      <c r="M235">
        <f t="shared" si="38"/>
        <v>10</v>
      </c>
      <c r="N235" s="9" t="str">
        <f t="shared" si="47"/>
        <v>Valid</v>
      </c>
      <c r="O235" t="str">
        <f t="shared" si="39"/>
        <v>Include</v>
      </c>
      <c r="P235" s="9">
        <f t="shared" si="40"/>
        <v>2035068.5799999984</v>
      </c>
      <c r="Q235" s="15">
        <f t="shared" si="41"/>
        <v>7469725</v>
      </c>
      <c r="R235" s="9">
        <f t="shared" si="42"/>
        <v>4794</v>
      </c>
      <c r="S235" s="9">
        <f t="shared" si="43"/>
        <v>7469725</v>
      </c>
      <c r="T235" s="15">
        <f t="shared" si="44"/>
        <v>16.686436250344954</v>
      </c>
      <c r="U235" s="15">
        <f>IF(O235="Exclude",0,G235*Fuel_Price!$B$2)</f>
        <v>1423.889872</v>
      </c>
      <c r="V235" s="15">
        <f t="shared" si="45"/>
        <v>2989922.7577359979</v>
      </c>
    </row>
    <row r="236" spans="1:22">
      <c r="A236" s="1" t="s">
        <v>525</v>
      </c>
      <c r="B236" s="1" t="s">
        <v>526</v>
      </c>
      <c r="C236" s="1" t="s">
        <v>316</v>
      </c>
      <c r="D236" s="1" t="s">
        <v>12</v>
      </c>
      <c r="E236" s="12">
        <v>1113</v>
      </c>
      <c r="F236" s="12" t="s">
        <v>13</v>
      </c>
      <c r="G236" s="6">
        <v>1129.3800000000001</v>
      </c>
      <c r="H236" s="1">
        <v>4.4800000000000004</v>
      </c>
      <c r="J236" t="str">
        <f t="shared" si="36"/>
        <v>OK</v>
      </c>
      <c r="K236" t="str">
        <f t="shared" si="37"/>
        <v>OK</v>
      </c>
      <c r="L236">
        <f t="shared" si="46"/>
        <v>12</v>
      </c>
      <c r="M236">
        <f t="shared" si="38"/>
        <v>10</v>
      </c>
      <c r="N236" s="9" t="str">
        <f t="shared" si="47"/>
        <v>Valid</v>
      </c>
      <c r="O236" t="str">
        <f t="shared" si="39"/>
        <v>Include</v>
      </c>
      <c r="P236" s="9">
        <f t="shared" si="40"/>
        <v>2035068.5799999984</v>
      </c>
      <c r="Q236" s="15">
        <f t="shared" si="41"/>
        <v>7469725</v>
      </c>
      <c r="R236" s="9">
        <f t="shared" si="42"/>
        <v>1113</v>
      </c>
      <c r="S236" s="9">
        <f t="shared" si="43"/>
        <v>7469725</v>
      </c>
      <c r="T236" s="15">
        <f t="shared" si="44"/>
        <v>16.686436250344954</v>
      </c>
      <c r="U236" s="15">
        <f>IF(O236="Exclude",0,G236*Fuel_Price!$B$2)</f>
        <v>1659.2850960000003</v>
      </c>
      <c r="V236" s="15">
        <f t="shared" si="45"/>
        <v>2989922.7577359979</v>
      </c>
    </row>
    <row r="237" spans="1:22">
      <c r="A237" s="1" t="s">
        <v>527</v>
      </c>
      <c r="B237" s="1" t="s">
        <v>528</v>
      </c>
      <c r="C237" s="1" t="s">
        <v>221</v>
      </c>
      <c r="D237" s="1" t="s">
        <v>12</v>
      </c>
      <c r="E237" s="12">
        <v>14187</v>
      </c>
      <c r="F237" s="12" t="s">
        <v>13</v>
      </c>
      <c r="G237" s="6">
        <v>3080.24</v>
      </c>
      <c r="H237" s="1">
        <v>20.94</v>
      </c>
      <c r="J237" t="str">
        <f t="shared" si="36"/>
        <v>OK</v>
      </c>
      <c r="K237" t="str">
        <f t="shared" si="37"/>
        <v>OK</v>
      </c>
      <c r="L237">
        <f t="shared" si="46"/>
        <v>12</v>
      </c>
      <c r="M237">
        <f t="shared" si="38"/>
        <v>10</v>
      </c>
      <c r="N237" s="9" t="str">
        <f t="shared" si="47"/>
        <v>Valid</v>
      </c>
      <c r="O237" t="str">
        <f t="shared" si="39"/>
        <v>Include</v>
      </c>
      <c r="P237" s="9">
        <f t="shared" si="40"/>
        <v>2035068.5799999984</v>
      </c>
      <c r="Q237" s="15">
        <f t="shared" si="41"/>
        <v>7469725</v>
      </c>
      <c r="R237" s="9">
        <f t="shared" si="42"/>
        <v>14187</v>
      </c>
      <c r="S237" s="9">
        <f t="shared" si="43"/>
        <v>7469725</v>
      </c>
      <c r="T237" s="15">
        <f t="shared" si="44"/>
        <v>16.686436250344954</v>
      </c>
      <c r="U237" s="15">
        <f>IF(O237="Exclude",0,G237*Fuel_Price!$B$2)</f>
        <v>4525.4886079999997</v>
      </c>
      <c r="V237" s="15">
        <f t="shared" si="45"/>
        <v>2989922.7577359979</v>
      </c>
    </row>
    <row r="238" spans="1:22">
      <c r="A238" s="1" t="s">
        <v>529</v>
      </c>
      <c r="B238" s="1" t="s">
        <v>530</v>
      </c>
      <c r="C238" s="1" t="s">
        <v>221</v>
      </c>
      <c r="D238" s="1" t="s">
        <v>12</v>
      </c>
      <c r="E238" s="12">
        <v>6692</v>
      </c>
      <c r="F238" s="12" t="s">
        <v>13</v>
      </c>
      <c r="G238" s="6">
        <v>1329.14</v>
      </c>
      <c r="H238" s="1">
        <v>22.89</v>
      </c>
      <c r="J238" t="str">
        <f t="shared" si="36"/>
        <v>OK</v>
      </c>
      <c r="K238" t="str">
        <f t="shared" si="37"/>
        <v>OK</v>
      </c>
      <c r="L238">
        <f t="shared" si="46"/>
        <v>12</v>
      </c>
      <c r="M238">
        <f t="shared" si="38"/>
        <v>10</v>
      </c>
      <c r="N238" s="9" t="str">
        <f t="shared" si="47"/>
        <v>Valid</v>
      </c>
      <c r="O238" t="str">
        <f t="shared" si="39"/>
        <v>Include</v>
      </c>
      <c r="P238" s="9">
        <f t="shared" si="40"/>
        <v>2035068.5799999984</v>
      </c>
      <c r="Q238" s="15">
        <f t="shared" si="41"/>
        <v>7469725</v>
      </c>
      <c r="R238" s="9">
        <f t="shared" si="42"/>
        <v>6692</v>
      </c>
      <c r="S238" s="9">
        <f t="shared" si="43"/>
        <v>7469725</v>
      </c>
      <c r="T238" s="15">
        <f t="shared" si="44"/>
        <v>16.686436250344954</v>
      </c>
      <c r="U238" s="15">
        <f>IF(O238="Exclude",0,G238*Fuel_Price!$B$2)</f>
        <v>1952.7724880000003</v>
      </c>
      <c r="V238" s="15">
        <f t="shared" si="45"/>
        <v>2989922.7577359979</v>
      </c>
    </row>
    <row r="239" spans="1:22">
      <c r="A239" s="1" t="s">
        <v>531</v>
      </c>
      <c r="B239" s="1" t="s">
        <v>532</v>
      </c>
      <c r="C239" s="1" t="s">
        <v>316</v>
      </c>
      <c r="D239" s="1" t="s">
        <v>12</v>
      </c>
      <c r="E239" s="12">
        <v>19112</v>
      </c>
      <c r="F239" s="12" t="s">
        <v>13</v>
      </c>
      <c r="G239" s="6">
        <v>1993.05</v>
      </c>
      <c r="H239" s="1">
        <v>43.59</v>
      </c>
      <c r="J239" t="str">
        <f t="shared" si="36"/>
        <v>OK</v>
      </c>
      <c r="K239" t="str">
        <f t="shared" si="37"/>
        <v>OK</v>
      </c>
      <c r="L239">
        <f t="shared" si="46"/>
        <v>12</v>
      </c>
      <c r="M239">
        <f t="shared" si="38"/>
        <v>10</v>
      </c>
      <c r="N239" s="9" t="str">
        <f t="shared" si="47"/>
        <v>Valid</v>
      </c>
      <c r="O239" t="str">
        <f t="shared" si="39"/>
        <v>Include</v>
      </c>
      <c r="P239" s="9">
        <f t="shared" si="40"/>
        <v>2035068.5799999984</v>
      </c>
      <c r="Q239" s="15">
        <f t="shared" si="41"/>
        <v>7469725</v>
      </c>
      <c r="R239" s="9">
        <f t="shared" si="42"/>
        <v>19112</v>
      </c>
      <c r="S239" s="9">
        <f t="shared" si="43"/>
        <v>7469725</v>
      </c>
      <c r="T239" s="15">
        <f t="shared" si="44"/>
        <v>16.686436250344954</v>
      </c>
      <c r="U239" s="15">
        <f>IF(O239="Exclude",0,G239*Fuel_Price!$B$2)</f>
        <v>2928.1890600000002</v>
      </c>
      <c r="V239" s="15">
        <f t="shared" si="45"/>
        <v>2989922.7577359979</v>
      </c>
    </row>
    <row r="240" spans="1:22">
      <c r="A240" s="1" t="s">
        <v>533</v>
      </c>
      <c r="B240" s="1" t="s">
        <v>534</v>
      </c>
      <c r="C240" s="1" t="s">
        <v>221</v>
      </c>
      <c r="D240" s="1" t="s">
        <v>12</v>
      </c>
      <c r="E240" s="12">
        <v>3246</v>
      </c>
      <c r="F240" s="12" t="s">
        <v>13</v>
      </c>
      <c r="G240" s="6">
        <v>647.77</v>
      </c>
      <c r="H240" s="1">
        <v>22.78</v>
      </c>
      <c r="J240" t="str">
        <f t="shared" si="36"/>
        <v>OK</v>
      </c>
      <c r="K240" t="str">
        <f t="shared" si="37"/>
        <v>OK</v>
      </c>
      <c r="L240">
        <f t="shared" si="46"/>
        <v>12</v>
      </c>
      <c r="M240">
        <f t="shared" si="38"/>
        <v>10</v>
      </c>
      <c r="N240" s="9" t="str">
        <f t="shared" si="47"/>
        <v>Valid</v>
      </c>
      <c r="O240" t="str">
        <f t="shared" si="39"/>
        <v>Include</v>
      </c>
      <c r="P240" s="9">
        <f t="shared" si="40"/>
        <v>2035068.5799999984</v>
      </c>
      <c r="Q240" s="15">
        <f t="shared" si="41"/>
        <v>7469725</v>
      </c>
      <c r="R240" s="9">
        <f t="shared" si="42"/>
        <v>3246</v>
      </c>
      <c r="S240" s="9">
        <f t="shared" si="43"/>
        <v>7469725</v>
      </c>
      <c r="T240" s="15">
        <f t="shared" si="44"/>
        <v>16.686436250344954</v>
      </c>
      <c r="U240" s="15">
        <f>IF(O240="Exclude",0,G240*Fuel_Price!$B$2)</f>
        <v>951.70368400000007</v>
      </c>
      <c r="V240" s="15">
        <f t="shared" si="45"/>
        <v>2989922.7577359979</v>
      </c>
    </row>
    <row r="241" spans="1:22">
      <c r="A241" s="1" t="s">
        <v>535</v>
      </c>
      <c r="B241" s="1" t="s">
        <v>536</v>
      </c>
      <c r="C241" s="1" t="s">
        <v>221</v>
      </c>
      <c r="D241" s="1" t="s">
        <v>12</v>
      </c>
      <c r="E241" s="12">
        <v>164</v>
      </c>
      <c r="F241" s="12" t="s">
        <v>13</v>
      </c>
      <c r="G241" s="6">
        <v>36.950000000000003</v>
      </c>
      <c r="H241" s="1">
        <v>20.18</v>
      </c>
      <c r="J241" t="str">
        <f t="shared" si="36"/>
        <v>OK</v>
      </c>
      <c r="K241" t="str">
        <f t="shared" si="37"/>
        <v>OK</v>
      </c>
      <c r="L241">
        <f t="shared" si="46"/>
        <v>12</v>
      </c>
      <c r="M241">
        <f t="shared" si="38"/>
        <v>10</v>
      </c>
      <c r="N241" s="9" t="str">
        <f t="shared" si="47"/>
        <v>Valid</v>
      </c>
      <c r="O241" t="str">
        <f t="shared" si="39"/>
        <v>Include</v>
      </c>
      <c r="P241" s="9">
        <f t="shared" si="40"/>
        <v>2035068.5799999984</v>
      </c>
      <c r="Q241" s="15">
        <f t="shared" si="41"/>
        <v>7469725</v>
      </c>
      <c r="R241" s="9">
        <f t="shared" si="42"/>
        <v>164</v>
      </c>
      <c r="S241" s="9">
        <f t="shared" si="43"/>
        <v>7469725</v>
      </c>
      <c r="T241" s="15">
        <f t="shared" si="44"/>
        <v>16.686436250344954</v>
      </c>
      <c r="U241" s="15">
        <f>IF(O241="Exclude",0,G241*Fuel_Price!$B$2)</f>
        <v>54.286940000000008</v>
      </c>
      <c r="V241" s="15">
        <f t="shared" si="45"/>
        <v>2989922.7577359979</v>
      </c>
    </row>
    <row r="242" spans="1:22">
      <c r="A242" s="1" t="s">
        <v>537</v>
      </c>
      <c r="B242" s="1" t="s">
        <v>538</v>
      </c>
      <c r="C242" s="1" t="s">
        <v>221</v>
      </c>
      <c r="D242" s="1" t="s">
        <v>12</v>
      </c>
      <c r="E242" s="12">
        <v>15183</v>
      </c>
      <c r="F242" s="12" t="s">
        <v>13</v>
      </c>
      <c r="G242" s="6">
        <v>2993.78</v>
      </c>
      <c r="H242" s="1">
        <v>23.06</v>
      </c>
      <c r="J242" t="str">
        <f t="shared" si="36"/>
        <v>OK</v>
      </c>
      <c r="K242" t="str">
        <f t="shared" si="37"/>
        <v>OK</v>
      </c>
      <c r="L242">
        <f t="shared" si="46"/>
        <v>12</v>
      </c>
      <c r="M242">
        <f t="shared" si="38"/>
        <v>10</v>
      </c>
      <c r="N242" s="9" t="str">
        <f t="shared" si="47"/>
        <v>Valid</v>
      </c>
      <c r="O242" t="str">
        <f t="shared" si="39"/>
        <v>Include</v>
      </c>
      <c r="P242" s="9">
        <f t="shared" si="40"/>
        <v>2035068.5799999984</v>
      </c>
      <c r="Q242" s="15">
        <f t="shared" si="41"/>
        <v>7469725</v>
      </c>
      <c r="R242" s="9">
        <f t="shared" si="42"/>
        <v>15183</v>
      </c>
      <c r="S242" s="9">
        <f t="shared" si="43"/>
        <v>7469725</v>
      </c>
      <c r="T242" s="15">
        <f t="shared" si="44"/>
        <v>16.686436250344954</v>
      </c>
      <c r="U242" s="15">
        <f>IF(O242="Exclude",0,G242*Fuel_Price!$B$2)</f>
        <v>4398.4615760000006</v>
      </c>
      <c r="V242" s="15">
        <f t="shared" si="45"/>
        <v>2989922.7577359979</v>
      </c>
    </row>
    <row r="243" spans="1:22">
      <c r="A243" s="1" t="s">
        <v>539</v>
      </c>
      <c r="B243" s="1" t="s">
        <v>540</v>
      </c>
      <c r="C243" s="1" t="s">
        <v>316</v>
      </c>
      <c r="D243" s="1" t="s">
        <v>12</v>
      </c>
      <c r="E243" s="12">
        <v>13252</v>
      </c>
      <c r="F243" s="12" t="s">
        <v>13</v>
      </c>
      <c r="G243" s="6">
        <v>3072.18</v>
      </c>
      <c r="H243" s="1">
        <v>19.61</v>
      </c>
      <c r="J243" t="str">
        <f t="shared" si="36"/>
        <v>OK</v>
      </c>
      <c r="K243" t="str">
        <f t="shared" si="37"/>
        <v>OK</v>
      </c>
      <c r="L243">
        <f t="shared" si="46"/>
        <v>12</v>
      </c>
      <c r="M243">
        <f t="shared" si="38"/>
        <v>10</v>
      </c>
      <c r="N243" s="9" t="str">
        <f t="shared" si="47"/>
        <v>Valid</v>
      </c>
      <c r="O243" t="str">
        <f t="shared" si="39"/>
        <v>Include</v>
      </c>
      <c r="P243" s="9">
        <f t="shared" si="40"/>
        <v>2035068.5799999984</v>
      </c>
      <c r="Q243" s="15">
        <f t="shared" si="41"/>
        <v>7469725</v>
      </c>
      <c r="R243" s="9">
        <f t="shared" si="42"/>
        <v>13252</v>
      </c>
      <c r="S243" s="9">
        <f t="shared" si="43"/>
        <v>7469725</v>
      </c>
      <c r="T243" s="15">
        <f t="shared" si="44"/>
        <v>16.686436250344954</v>
      </c>
      <c r="U243" s="15">
        <f>IF(O243="Exclude",0,G243*Fuel_Price!$B$2)</f>
        <v>4513.6468560000003</v>
      </c>
      <c r="V243" s="15">
        <f t="shared" si="45"/>
        <v>2989922.7577359979</v>
      </c>
    </row>
    <row r="244" spans="1:22">
      <c r="A244" s="1" t="s">
        <v>541</v>
      </c>
      <c r="B244" s="1" t="s">
        <v>538</v>
      </c>
      <c r="C244" s="1" t="s">
        <v>221</v>
      </c>
      <c r="D244" s="1" t="s">
        <v>12</v>
      </c>
      <c r="E244" s="12">
        <v>10103</v>
      </c>
      <c r="F244" s="12" t="s">
        <v>13</v>
      </c>
      <c r="G244" s="6">
        <v>2715.28</v>
      </c>
      <c r="H244" s="1">
        <v>16.920000000000002</v>
      </c>
      <c r="J244" t="str">
        <f t="shared" si="36"/>
        <v>OK</v>
      </c>
      <c r="K244" t="str">
        <f t="shared" si="37"/>
        <v>OK</v>
      </c>
      <c r="L244">
        <f t="shared" si="46"/>
        <v>12</v>
      </c>
      <c r="M244">
        <f t="shared" si="38"/>
        <v>10</v>
      </c>
      <c r="N244" s="9" t="str">
        <f t="shared" si="47"/>
        <v>Valid</v>
      </c>
      <c r="O244" t="str">
        <f t="shared" si="39"/>
        <v>Include</v>
      </c>
      <c r="P244" s="9">
        <f t="shared" si="40"/>
        <v>2035068.5799999984</v>
      </c>
      <c r="Q244" s="15">
        <f t="shared" si="41"/>
        <v>7469725</v>
      </c>
      <c r="R244" s="9">
        <f t="shared" si="42"/>
        <v>10103</v>
      </c>
      <c r="S244" s="9">
        <f t="shared" si="43"/>
        <v>7469725</v>
      </c>
      <c r="T244" s="15">
        <f t="shared" si="44"/>
        <v>16.686436250344954</v>
      </c>
      <c r="U244" s="15">
        <f>IF(O244="Exclude",0,G244*Fuel_Price!$B$2)</f>
        <v>3989.2893760000006</v>
      </c>
      <c r="V244" s="15">
        <f t="shared" si="45"/>
        <v>2989922.7577359979</v>
      </c>
    </row>
    <row r="245" spans="1:22">
      <c r="A245" s="1" t="s">
        <v>542</v>
      </c>
      <c r="B245" s="1" t="s">
        <v>543</v>
      </c>
      <c r="C245" s="1" t="s">
        <v>316</v>
      </c>
      <c r="D245" s="1" t="s">
        <v>12</v>
      </c>
      <c r="E245" s="12">
        <v>9747</v>
      </c>
      <c r="F245" s="12" t="s">
        <v>13</v>
      </c>
      <c r="G245" s="6">
        <v>2273</v>
      </c>
      <c r="H245" s="1">
        <v>19.489999999999998</v>
      </c>
      <c r="J245" t="str">
        <f t="shared" si="36"/>
        <v>OK</v>
      </c>
      <c r="K245" t="str">
        <f t="shared" si="37"/>
        <v>OK</v>
      </c>
      <c r="L245">
        <f t="shared" si="46"/>
        <v>12</v>
      </c>
      <c r="M245">
        <f t="shared" si="38"/>
        <v>10</v>
      </c>
      <c r="N245" s="9" t="str">
        <f t="shared" si="47"/>
        <v>Valid</v>
      </c>
      <c r="O245" t="str">
        <f t="shared" si="39"/>
        <v>Include</v>
      </c>
      <c r="P245" s="9">
        <f t="shared" si="40"/>
        <v>2035068.5799999984</v>
      </c>
      <c r="Q245" s="15">
        <f t="shared" si="41"/>
        <v>7469725</v>
      </c>
      <c r="R245" s="9">
        <f t="shared" si="42"/>
        <v>9747</v>
      </c>
      <c r="S245" s="9">
        <f t="shared" si="43"/>
        <v>7469725</v>
      </c>
      <c r="T245" s="15">
        <f t="shared" si="44"/>
        <v>16.686436250344954</v>
      </c>
      <c r="U245" s="15">
        <f>IF(O245="Exclude",0,G245*Fuel_Price!$B$2)</f>
        <v>3339.4916000000003</v>
      </c>
      <c r="V245" s="15">
        <f t="shared" si="45"/>
        <v>2989922.7577359979</v>
      </c>
    </row>
    <row r="246" spans="1:22">
      <c r="A246" s="1" t="s">
        <v>544</v>
      </c>
      <c r="B246" s="1" t="s">
        <v>545</v>
      </c>
      <c r="C246" s="1" t="s">
        <v>221</v>
      </c>
      <c r="D246" s="1" t="s">
        <v>12</v>
      </c>
      <c r="E246" s="12">
        <v>4151</v>
      </c>
      <c r="F246" s="12" t="s">
        <v>13</v>
      </c>
      <c r="G246" s="6">
        <v>1047.9000000000001</v>
      </c>
      <c r="H246" s="1">
        <v>18.010000000000002</v>
      </c>
      <c r="J246" t="str">
        <f t="shared" si="36"/>
        <v>OK</v>
      </c>
      <c r="K246" t="str">
        <f t="shared" si="37"/>
        <v>OK</v>
      </c>
      <c r="L246">
        <f t="shared" si="46"/>
        <v>12</v>
      </c>
      <c r="M246">
        <f t="shared" si="38"/>
        <v>10</v>
      </c>
      <c r="N246" s="9" t="str">
        <f t="shared" si="47"/>
        <v>Valid</v>
      </c>
      <c r="O246" t="str">
        <f t="shared" si="39"/>
        <v>Include</v>
      </c>
      <c r="P246" s="9">
        <f t="shared" si="40"/>
        <v>2035068.5799999984</v>
      </c>
      <c r="Q246" s="15">
        <f t="shared" si="41"/>
        <v>7469725</v>
      </c>
      <c r="R246" s="9">
        <f t="shared" si="42"/>
        <v>4151</v>
      </c>
      <c r="S246" s="9">
        <f t="shared" si="43"/>
        <v>7469725</v>
      </c>
      <c r="T246" s="15">
        <f t="shared" si="44"/>
        <v>16.686436250344954</v>
      </c>
      <c r="U246" s="15">
        <f>IF(O246="Exclude",0,G246*Fuel_Price!$B$2)</f>
        <v>1539.5746800000002</v>
      </c>
      <c r="V246" s="15">
        <f t="shared" si="45"/>
        <v>2989922.7577359979</v>
      </c>
    </row>
    <row r="247" spans="1:22">
      <c r="A247" s="1" t="s">
        <v>546</v>
      </c>
      <c r="B247" s="1" t="s">
        <v>547</v>
      </c>
      <c r="C247" s="1" t="s">
        <v>221</v>
      </c>
      <c r="D247" s="1" t="s">
        <v>12</v>
      </c>
      <c r="E247" s="12">
        <v>9186</v>
      </c>
      <c r="F247" s="12" t="s">
        <v>13</v>
      </c>
      <c r="G247" s="6">
        <v>1996.3</v>
      </c>
      <c r="H247" s="1">
        <v>20.92</v>
      </c>
      <c r="J247" t="str">
        <f t="shared" si="36"/>
        <v>OK</v>
      </c>
      <c r="K247" t="str">
        <f t="shared" si="37"/>
        <v>OK</v>
      </c>
      <c r="L247">
        <f t="shared" si="46"/>
        <v>12</v>
      </c>
      <c r="M247">
        <f t="shared" si="38"/>
        <v>10</v>
      </c>
      <c r="N247" s="9" t="str">
        <f t="shared" si="47"/>
        <v>Valid</v>
      </c>
      <c r="O247" t="str">
        <f t="shared" si="39"/>
        <v>Include</v>
      </c>
      <c r="P247" s="9">
        <f t="shared" si="40"/>
        <v>2035068.5799999984</v>
      </c>
      <c r="Q247" s="15">
        <f t="shared" si="41"/>
        <v>7469725</v>
      </c>
      <c r="R247" s="9">
        <f t="shared" si="42"/>
        <v>9186</v>
      </c>
      <c r="S247" s="9">
        <f t="shared" si="43"/>
        <v>7469725</v>
      </c>
      <c r="T247" s="15">
        <f t="shared" si="44"/>
        <v>16.686436250344954</v>
      </c>
      <c r="U247" s="15">
        <f>IF(O247="Exclude",0,G247*Fuel_Price!$B$2)</f>
        <v>2932.96396</v>
      </c>
      <c r="V247" s="15">
        <f t="shared" si="45"/>
        <v>2989922.7577359979</v>
      </c>
    </row>
    <row r="248" spans="1:22">
      <c r="A248" s="1" t="s">
        <v>548</v>
      </c>
      <c r="B248" s="1" t="s">
        <v>549</v>
      </c>
      <c r="C248" s="1" t="s">
        <v>316</v>
      </c>
      <c r="D248" s="1" t="s">
        <v>12</v>
      </c>
      <c r="E248" s="12">
        <v>8372</v>
      </c>
      <c r="F248" s="12" t="s">
        <v>13</v>
      </c>
      <c r="G248" s="6">
        <v>1817.73</v>
      </c>
      <c r="H248" s="1">
        <v>20.94</v>
      </c>
      <c r="J248" t="str">
        <f t="shared" si="36"/>
        <v>OK</v>
      </c>
      <c r="K248" t="str">
        <f t="shared" si="37"/>
        <v>OK</v>
      </c>
      <c r="L248">
        <f t="shared" si="46"/>
        <v>12</v>
      </c>
      <c r="M248">
        <f t="shared" si="38"/>
        <v>10</v>
      </c>
      <c r="N248" s="9" t="str">
        <f t="shared" si="47"/>
        <v>Valid</v>
      </c>
      <c r="O248" t="str">
        <f t="shared" si="39"/>
        <v>Include</v>
      </c>
      <c r="P248" s="9">
        <f t="shared" si="40"/>
        <v>2035068.5799999984</v>
      </c>
      <c r="Q248" s="15">
        <f t="shared" si="41"/>
        <v>7469725</v>
      </c>
      <c r="R248" s="9">
        <f t="shared" si="42"/>
        <v>8372</v>
      </c>
      <c r="S248" s="9">
        <f t="shared" si="43"/>
        <v>7469725</v>
      </c>
      <c r="T248" s="15">
        <f t="shared" si="44"/>
        <v>16.686436250344954</v>
      </c>
      <c r="U248" s="15">
        <f>IF(O248="Exclude",0,G248*Fuel_Price!$B$2)</f>
        <v>2670.6089160000001</v>
      </c>
      <c r="V248" s="15">
        <f t="shared" si="45"/>
        <v>2989922.7577359979</v>
      </c>
    </row>
    <row r="249" spans="1:22">
      <c r="A249" s="1" t="s">
        <v>550</v>
      </c>
      <c r="B249" s="1" t="s">
        <v>551</v>
      </c>
      <c r="C249" s="1" t="s">
        <v>249</v>
      </c>
      <c r="D249" s="1" t="s">
        <v>12</v>
      </c>
      <c r="E249" s="12">
        <v>15522</v>
      </c>
      <c r="F249" s="12" t="s">
        <v>13</v>
      </c>
      <c r="G249" s="6">
        <v>3149.99</v>
      </c>
      <c r="H249" s="1">
        <v>22.4</v>
      </c>
      <c r="J249" t="str">
        <f t="shared" si="36"/>
        <v>OK</v>
      </c>
      <c r="K249" t="str">
        <f t="shared" si="37"/>
        <v>OK</v>
      </c>
      <c r="L249">
        <f t="shared" si="46"/>
        <v>12</v>
      </c>
      <c r="M249">
        <f t="shared" si="38"/>
        <v>10</v>
      </c>
      <c r="N249" s="9" t="str">
        <f t="shared" si="47"/>
        <v>Valid</v>
      </c>
      <c r="O249" t="str">
        <f t="shared" si="39"/>
        <v>Include</v>
      </c>
      <c r="P249" s="9">
        <f t="shared" si="40"/>
        <v>2035068.5799999984</v>
      </c>
      <c r="Q249" s="15">
        <f t="shared" si="41"/>
        <v>7469725</v>
      </c>
      <c r="R249" s="9">
        <f t="shared" si="42"/>
        <v>15522</v>
      </c>
      <c r="S249" s="9">
        <f t="shared" si="43"/>
        <v>7469725</v>
      </c>
      <c r="T249" s="15">
        <f t="shared" si="44"/>
        <v>16.686436250344954</v>
      </c>
      <c r="U249" s="15">
        <f>IF(O249="Exclude",0,G249*Fuel_Price!$B$2)</f>
        <v>4627.9653079999998</v>
      </c>
      <c r="V249" s="15">
        <f t="shared" si="45"/>
        <v>2989922.7577359979</v>
      </c>
    </row>
    <row r="250" spans="1:22">
      <c r="A250" s="1" t="s">
        <v>552</v>
      </c>
      <c r="B250" s="1" t="s">
        <v>553</v>
      </c>
      <c r="C250" s="1" t="s">
        <v>316</v>
      </c>
      <c r="D250" s="1" t="s">
        <v>12</v>
      </c>
      <c r="E250" s="12">
        <v>9071</v>
      </c>
      <c r="F250" s="12" t="s">
        <v>13</v>
      </c>
      <c r="G250" s="6">
        <v>2097.54</v>
      </c>
      <c r="H250" s="1">
        <v>19.66</v>
      </c>
      <c r="J250" t="str">
        <f t="shared" si="36"/>
        <v>OK</v>
      </c>
      <c r="K250" t="str">
        <f t="shared" si="37"/>
        <v>OK</v>
      </c>
      <c r="L250">
        <f t="shared" si="46"/>
        <v>12</v>
      </c>
      <c r="M250">
        <f t="shared" si="38"/>
        <v>10</v>
      </c>
      <c r="N250" s="9" t="str">
        <f t="shared" si="47"/>
        <v>Valid</v>
      </c>
      <c r="O250" t="str">
        <f t="shared" si="39"/>
        <v>Include</v>
      </c>
      <c r="P250" s="9">
        <f t="shared" si="40"/>
        <v>2035068.5799999984</v>
      </c>
      <c r="Q250" s="15">
        <f t="shared" si="41"/>
        <v>7469725</v>
      </c>
      <c r="R250" s="9">
        <f t="shared" si="42"/>
        <v>9071</v>
      </c>
      <c r="S250" s="9">
        <f t="shared" si="43"/>
        <v>7469725</v>
      </c>
      <c r="T250" s="15">
        <f t="shared" si="44"/>
        <v>16.686436250344954</v>
      </c>
      <c r="U250" s="15">
        <f>IF(O250="Exclude",0,G250*Fuel_Price!$B$2)</f>
        <v>3081.7057680000003</v>
      </c>
      <c r="V250" s="15">
        <f t="shared" si="45"/>
        <v>2989922.7577359979</v>
      </c>
    </row>
    <row r="251" spans="1:22">
      <c r="A251" s="1" t="s">
        <v>554</v>
      </c>
      <c r="B251" s="1" t="s">
        <v>555</v>
      </c>
      <c r="C251" s="1" t="s">
        <v>316</v>
      </c>
      <c r="D251" s="1" t="s">
        <v>12</v>
      </c>
      <c r="E251" s="12">
        <v>17677</v>
      </c>
      <c r="F251" s="12" t="s">
        <v>13</v>
      </c>
      <c r="G251" s="6">
        <v>3637.09</v>
      </c>
      <c r="H251" s="1">
        <v>22.09</v>
      </c>
      <c r="J251" t="str">
        <f t="shared" si="36"/>
        <v>OK</v>
      </c>
      <c r="K251" t="str">
        <f t="shared" si="37"/>
        <v>OK</v>
      </c>
      <c r="L251">
        <f t="shared" si="46"/>
        <v>12</v>
      </c>
      <c r="M251">
        <f t="shared" si="38"/>
        <v>10</v>
      </c>
      <c r="N251" s="9" t="str">
        <f t="shared" si="47"/>
        <v>Valid</v>
      </c>
      <c r="O251" t="str">
        <f t="shared" si="39"/>
        <v>Include</v>
      </c>
      <c r="P251" s="9">
        <f t="shared" si="40"/>
        <v>2035068.5799999984</v>
      </c>
      <c r="Q251" s="15">
        <f t="shared" si="41"/>
        <v>7469725</v>
      </c>
      <c r="R251" s="9">
        <f t="shared" si="42"/>
        <v>17677</v>
      </c>
      <c r="S251" s="9">
        <f t="shared" si="43"/>
        <v>7469725</v>
      </c>
      <c r="T251" s="15">
        <f t="shared" si="44"/>
        <v>16.686436250344954</v>
      </c>
      <c r="U251" s="15">
        <f>IF(O251="Exclude",0,G251*Fuel_Price!$B$2)</f>
        <v>5343.6126280000008</v>
      </c>
      <c r="V251" s="15">
        <f t="shared" si="45"/>
        <v>2989922.7577359979</v>
      </c>
    </row>
    <row r="252" spans="1:22">
      <c r="A252" s="1" t="s">
        <v>556</v>
      </c>
      <c r="B252" s="1" t="s">
        <v>557</v>
      </c>
      <c r="C252" s="1" t="s">
        <v>316</v>
      </c>
      <c r="D252" s="1" t="s">
        <v>12</v>
      </c>
      <c r="E252" s="12">
        <v>13582</v>
      </c>
      <c r="F252" s="12" t="s">
        <v>13</v>
      </c>
      <c r="G252" s="6">
        <v>3157.31</v>
      </c>
      <c r="H252" s="1">
        <v>19.559999999999999</v>
      </c>
      <c r="J252" t="str">
        <f t="shared" si="36"/>
        <v>OK</v>
      </c>
      <c r="K252" t="str">
        <f t="shared" si="37"/>
        <v>OK</v>
      </c>
      <c r="L252">
        <f t="shared" si="46"/>
        <v>12</v>
      </c>
      <c r="M252">
        <f t="shared" si="38"/>
        <v>10</v>
      </c>
      <c r="N252" s="9" t="str">
        <f t="shared" si="47"/>
        <v>Valid</v>
      </c>
      <c r="O252" t="str">
        <f t="shared" si="39"/>
        <v>Include</v>
      </c>
      <c r="P252" s="9">
        <f t="shared" si="40"/>
        <v>2035068.5799999984</v>
      </c>
      <c r="Q252" s="15">
        <f t="shared" si="41"/>
        <v>7469725</v>
      </c>
      <c r="R252" s="9">
        <f t="shared" si="42"/>
        <v>13582</v>
      </c>
      <c r="S252" s="9">
        <f t="shared" si="43"/>
        <v>7469725</v>
      </c>
      <c r="T252" s="15">
        <f t="shared" si="44"/>
        <v>16.686436250344954</v>
      </c>
      <c r="U252" s="15">
        <f>IF(O252="Exclude",0,G252*Fuel_Price!$B$2)</f>
        <v>4638.7198520000002</v>
      </c>
      <c r="V252" s="15">
        <f t="shared" si="45"/>
        <v>2989922.7577359979</v>
      </c>
    </row>
    <row r="253" spans="1:22">
      <c r="A253" s="1" t="s">
        <v>558</v>
      </c>
      <c r="B253" s="1" t="s">
        <v>559</v>
      </c>
      <c r="C253" s="1" t="s">
        <v>221</v>
      </c>
      <c r="D253" s="1" t="s">
        <v>12</v>
      </c>
      <c r="E253" s="12">
        <v>10551</v>
      </c>
      <c r="F253" s="12" t="s">
        <v>13</v>
      </c>
      <c r="G253" s="6">
        <v>2657.37</v>
      </c>
      <c r="H253" s="1">
        <v>18.05</v>
      </c>
      <c r="J253" t="str">
        <f t="shared" si="36"/>
        <v>OK</v>
      </c>
      <c r="K253" t="str">
        <f t="shared" si="37"/>
        <v>OK</v>
      </c>
      <c r="L253">
        <f t="shared" si="46"/>
        <v>12</v>
      </c>
      <c r="M253">
        <f t="shared" si="38"/>
        <v>10</v>
      </c>
      <c r="N253" s="9" t="str">
        <f t="shared" si="47"/>
        <v>Valid</v>
      </c>
      <c r="O253" t="str">
        <f t="shared" si="39"/>
        <v>Include</v>
      </c>
      <c r="P253" s="9">
        <f t="shared" si="40"/>
        <v>2035068.5799999984</v>
      </c>
      <c r="Q253" s="15">
        <f t="shared" si="41"/>
        <v>7469725</v>
      </c>
      <c r="R253" s="9">
        <f t="shared" si="42"/>
        <v>10551</v>
      </c>
      <c r="S253" s="9">
        <f t="shared" si="43"/>
        <v>7469725</v>
      </c>
      <c r="T253" s="15">
        <f t="shared" si="44"/>
        <v>16.686436250344954</v>
      </c>
      <c r="U253" s="15">
        <f>IF(O253="Exclude",0,G253*Fuel_Price!$B$2)</f>
        <v>3904.2080040000001</v>
      </c>
      <c r="V253" s="15">
        <f t="shared" si="45"/>
        <v>2989922.7577359979</v>
      </c>
    </row>
    <row r="254" spans="1:22">
      <c r="A254" s="1" t="s">
        <v>560</v>
      </c>
      <c r="B254" s="1" t="s">
        <v>561</v>
      </c>
      <c r="C254" s="1" t="s">
        <v>221</v>
      </c>
      <c r="D254" s="1" t="s">
        <v>12</v>
      </c>
      <c r="E254" s="12">
        <v>4919</v>
      </c>
      <c r="F254" s="12" t="s">
        <v>13</v>
      </c>
      <c r="G254" s="6">
        <v>1330.03</v>
      </c>
      <c r="H254" s="1">
        <v>16.809999999999999</v>
      </c>
      <c r="J254" t="str">
        <f t="shared" si="36"/>
        <v>OK</v>
      </c>
      <c r="K254" t="str">
        <f t="shared" si="37"/>
        <v>OK</v>
      </c>
      <c r="L254">
        <f t="shared" si="46"/>
        <v>12</v>
      </c>
      <c r="M254">
        <f t="shared" si="38"/>
        <v>10</v>
      </c>
      <c r="N254" s="9" t="str">
        <f t="shared" si="47"/>
        <v>Valid</v>
      </c>
      <c r="O254" t="str">
        <f t="shared" si="39"/>
        <v>Include</v>
      </c>
      <c r="P254" s="9">
        <f t="shared" si="40"/>
        <v>2035068.5799999984</v>
      </c>
      <c r="Q254" s="15">
        <f t="shared" si="41"/>
        <v>7469725</v>
      </c>
      <c r="R254" s="9">
        <f t="shared" si="42"/>
        <v>4919</v>
      </c>
      <c r="S254" s="9">
        <f t="shared" si="43"/>
        <v>7469725</v>
      </c>
      <c r="T254" s="15">
        <f t="shared" si="44"/>
        <v>16.686436250344954</v>
      </c>
      <c r="U254" s="15">
        <f>IF(O254="Exclude",0,G254*Fuel_Price!$B$2)</f>
        <v>1954.080076</v>
      </c>
      <c r="V254" s="15">
        <f t="shared" si="45"/>
        <v>2989922.7577359979</v>
      </c>
    </row>
    <row r="255" spans="1:22">
      <c r="A255" s="1" t="s">
        <v>562</v>
      </c>
      <c r="B255" s="1" t="s">
        <v>563</v>
      </c>
      <c r="C255" s="1" t="s">
        <v>564</v>
      </c>
      <c r="D255" s="1" t="s">
        <v>12</v>
      </c>
      <c r="E255" s="12">
        <v>5944</v>
      </c>
      <c r="F255" s="12" t="s">
        <v>13</v>
      </c>
      <c r="G255" s="6">
        <v>1033.31</v>
      </c>
      <c r="H255" s="1">
        <v>26.15</v>
      </c>
      <c r="J255" t="str">
        <f t="shared" si="36"/>
        <v>OK</v>
      </c>
      <c r="K255" t="str">
        <f t="shared" si="37"/>
        <v>OK</v>
      </c>
      <c r="L255">
        <f t="shared" si="46"/>
        <v>12</v>
      </c>
      <c r="M255">
        <f t="shared" si="38"/>
        <v>10</v>
      </c>
      <c r="N255" s="9" t="str">
        <f t="shared" si="47"/>
        <v>Valid</v>
      </c>
      <c r="O255" t="str">
        <f t="shared" si="39"/>
        <v>Include</v>
      </c>
      <c r="P255" s="9">
        <f t="shared" si="40"/>
        <v>2035068.5799999984</v>
      </c>
      <c r="Q255" s="15">
        <f t="shared" si="41"/>
        <v>7469725</v>
      </c>
      <c r="R255" s="9">
        <f t="shared" si="42"/>
        <v>5944</v>
      </c>
      <c r="S255" s="9">
        <f t="shared" si="43"/>
        <v>7469725</v>
      </c>
      <c r="T255" s="15">
        <f t="shared" si="44"/>
        <v>16.686436250344954</v>
      </c>
      <c r="U255" s="15">
        <f>IF(O255="Exclude",0,G255*Fuel_Price!$B$2)</f>
        <v>1518.139052</v>
      </c>
      <c r="V255" s="15">
        <f t="shared" si="45"/>
        <v>2989922.7577359979</v>
      </c>
    </row>
    <row r="256" spans="1:22">
      <c r="A256" s="1" t="s">
        <v>565</v>
      </c>
      <c r="B256" s="1" t="s">
        <v>566</v>
      </c>
      <c r="C256" s="1" t="s">
        <v>567</v>
      </c>
      <c r="D256" s="1" t="s">
        <v>12</v>
      </c>
      <c r="E256" s="12">
        <v>4315</v>
      </c>
      <c r="F256" s="12" t="s">
        <v>13</v>
      </c>
      <c r="G256" s="6">
        <v>797.3</v>
      </c>
      <c r="H256" s="1">
        <v>24.6</v>
      </c>
      <c r="J256" t="str">
        <f t="shared" si="36"/>
        <v>OK</v>
      </c>
      <c r="K256" t="str">
        <f t="shared" si="37"/>
        <v>OK</v>
      </c>
      <c r="L256">
        <f t="shared" si="46"/>
        <v>12</v>
      </c>
      <c r="M256">
        <f t="shared" si="38"/>
        <v>10</v>
      </c>
      <c r="N256" s="9" t="str">
        <f t="shared" si="47"/>
        <v>Valid</v>
      </c>
      <c r="O256" t="str">
        <f t="shared" si="39"/>
        <v>Include</v>
      </c>
      <c r="P256" s="9">
        <f t="shared" si="40"/>
        <v>2035068.5799999984</v>
      </c>
      <c r="Q256" s="15">
        <f t="shared" si="41"/>
        <v>7469725</v>
      </c>
      <c r="R256" s="9">
        <f t="shared" si="42"/>
        <v>4315</v>
      </c>
      <c r="S256" s="9">
        <f t="shared" si="43"/>
        <v>7469725</v>
      </c>
      <c r="T256" s="15">
        <f t="shared" si="44"/>
        <v>16.686436250344954</v>
      </c>
      <c r="U256" s="15">
        <f>IF(O256="Exclude",0,G256*Fuel_Price!$B$2)</f>
        <v>1171.3931600000001</v>
      </c>
      <c r="V256" s="15">
        <f t="shared" si="45"/>
        <v>2989922.7577359979</v>
      </c>
    </row>
    <row r="257" spans="1:22">
      <c r="A257" s="1" t="s">
        <v>568</v>
      </c>
      <c r="B257" s="1" t="s">
        <v>569</v>
      </c>
      <c r="C257" s="1" t="s">
        <v>570</v>
      </c>
      <c r="D257" s="1" t="s">
        <v>12</v>
      </c>
      <c r="E257" s="12">
        <v>9155</v>
      </c>
      <c r="F257" s="12" t="s">
        <v>13</v>
      </c>
      <c r="G257" s="6">
        <v>1536.68</v>
      </c>
      <c r="H257" s="1">
        <v>27.08</v>
      </c>
      <c r="J257" t="str">
        <f t="shared" si="36"/>
        <v>OK</v>
      </c>
      <c r="K257" t="str">
        <f t="shared" si="37"/>
        <v>OK</v>
      </c>
      <c r="L257">
        <f t="shared" si="46"/>
        <v>12</v>
      </c>
      <c r="M257">
        <f t="shared" si="38"/>
        <v>10</v>
      </c>
      <c r="N257" s="9" t="str">
        <f t="shared" si="47"/>
        <v>Valid</v>
      </c>
      <c r="O257" t="str">
        <f t="shared" si="39"/>
        <v>Include</v>
      </c>
      <c r="P257" s="9">
        <f t="shared" si="40"/>
        <v>2035068.5799999984</v>
      </c>
      <c r="Q257" s="15">
        <f t="shared" si="41"/>
        <v>7469725</v>
      </c>
      <c r="R257" s="9">
        <f t="shared" si="42"/>
        <v>9155</v>
      </c>
      <c r="S257" s="9">
        <f t="shared" si="43"/>
        <v>7469725</v>
      </c>
      <c r="T257" s="15">
        <f t="shared" si="44"/>
        <v>16.686436250344954</v>
      </c>
      <c r="U257" s="15">
        <f>IF(O257="Exclude",0,G257*Fuel_Price!$B$2)</f>
        <v>2257.6902560000003</v>
      </c>
      <c r="V257" s="15">
        <f t="shared" si="45"/>
        <v>2989922.7577359979</v>
      </c>
    </row>
    <row r="258" spans="1:22">
      <c r="A258" s="1" t="s">
        <v>571</v>
      </c>
      <c r="B258" s="1" t="s">
        <v>572</v>
      </c>
      <c r="C258" s="1" t="s">
        <v>573</v>
      </c>
      <c r="D258" s="1" t="s">
        <v>12</v>
      </c>
      <c r="E258" s="12">
        <v>2287</v>
      </c>
      <c r="F258" s="12" t="s">
        <v>13</v>
      </c>
      <c r="G258" s="6">
        <v>429.09</v>
      </c>
      <c r="H258" s="1">
        <v>24.23</v>
      </c>
      <c r="J258" t="str">
        <f t="shared" ref="J258:J321" si="48">IF(OR(H258&lt;=0,H258&gt;100),"Check","OK")</f>
        <v>OK</v>
      </c>
      <c r="K258" t="str">
        <f t="shared" ref="K258:K321" si="49">IF(E258&lt;0,"Check","OK")</f>
        <v>OK</v>
      </c>
      <c r="L258">
        <f t="shared" si="46"/>
        <v>12</v>
      </c>
      <c r="M258">
        <f t="shared" ref="M258:M321" si="50">COUNTIF(K:K,"Check")</f>
        <v>10</v>
      </c>
      <c r="N258" s="9" t="str">
        <f t="shared" si="47"/>
        <v>Valid</v>
      </c>
      <c r="O258" t="str">
        <f t="shared" ref="O258:O321" si="51">IF(N258="Review","Exclude","Include")</f>
        <v>Include</v>
      </c>
      <c r="P258" s="9">
        <f t="shared" ref="P258:P321" si="52">SUMIF(O:O,"Include",G:G)</f>
        <v>2035068.5799999984</v>
      </c>
      <c r="Q258" s="15">
        <f t="shared" ref="Q258:Q321" si="53">SUMIF(O:O,"Include",E:E)</f>
        <v>7469725</v>
      </c>
      <c r="R258" s="9">
        <f t="shared" ref="R258:R321" si="54">IF(O258="Exclude",0,E258)</f>
        <v>2287</v>
      </c>
      <c r="S258" s="9">
        <f t="shared" ref="S258:S321" si="55">SUM(R:R)</f>
        <v>7469725</v>
      </c>
      <c r="T258" s="15">
        <f t="shared" ref="T258:T321" si="56">S258/(P258/4.54609)</f>
        <v>16.686436250344954</v>
      </c>
      <c r="U258" s="15">
        <f>IF(O258="Exclude",0,G258*Fuel_Price!$B$2)</f>
        <v>630.41902800000003</v>
      </c>
      <c r="V258" s="15">
        <f t="shared" ref="V258:V321" si="57">SUM(U:U)</f>
        <v>2989922.7577359979</v>
      </c>
    </row>
    <row r="259" spans="1:22">
      <c r="A259" s="1" t="s">
        <v>574</v>
      </c>
      <c r="B259" s="1" t="s">
        <v>575</v>
      </c>
      <c r="C259" s="1" t="s">
        <v>576</v>
      </c>
      <c r="D259" s="1" t="s">
        <v>12</v>
      </c>
      <c r="E259" s="12">
        <v>8343</v>
      </c>
      <c r="F259" s="12" t="s">
        <v>13</v>
      </c>
      <c r="G259" s="6">
        <v>1455.32</v>
      </c>
      <c r="H259" s="1">
        <v>26.06</v>
      </c>
      <c r="J259" t="str">
        <f t="shared" si="48"/>
        <v>OK</v>
      </c>
      <c r="K259" t="str">
        <f t="shared" si="49"/>
        <v>OK</v>
      </c>
      <c r="L259">
        <f t="shared" ref="L259:L322" si="58">COUNTIF(J:J,"Check")</f>
        <v>12</v>
      </c>
      <c r="M259">
        <f t="shared" si="50"/>
        <v>10</v>
      </c>
      <c r="N259" s="9" t="str">
        <f t="shared" si="47"/>
        <v>Valid</v>
      </c>
      <c r="O259" t="str">
        <f t="shared" si="51"/>
        <v>Include</v>
      </c>
      <c r="P259" s="9">
        <f t="shared" si="52"/>
        <v>2035068.5799999984</v>
      </c>
      <c r="Q259" s="15">
        <f t="shared" si="53"/>
        <v>7469725</v>
      </c>
      <c r="R259" s="9">
        <f t="shared" si="54"/>
        <v>8343</v>
      </c>
      <c r="S259" s="9">
        <f t="shared" si="55"/>
        <v>7469725</v>
      </c>
      <c r="T259" s="15">
        <f t="shared" si="56"/>
        <v>16.686436250344954</v>
      </c>
      <c r="U259" s="15">
        <f>IF(O259="Exclude",0,G259*Fuel_Price!$B$2)</f>
        <v>2138.156144</v>
      </c>
      <c r="V259" s="15">
        <f t="shared" si="57"/>
        <v>2989922.7577359979</v>
      </c>
    </row>
    <row r="260" spans="1:22">
      <c r="A260" s="1" t="s">
        <v>577</v>
      </c>
      <c r="B260" s="1" t="s">
        <v>578</v>
      </c>
      <c r="C260" s="1" t="s">
        <v>579</v>
      </c>
      <c r="D260" s="1" t="s">
        <v>12</v>
      </c>
      <c r="E260" s="12">
        <v>2663</v>
      </c>
      <c r="F260" s="12" t="s">
        <v>13</v>
      </c>
      <c r="G260" s="6">
        <v>503.83</v>
      </c>
      <c r="H260" s="1">
        <v>24.03</v>
      </c>
      <c r="J260" t="str">
        <f t="shared" si="48"/>
        <v>OK</v>
      </c>
      <c r="K260" t="str">
        <f t="shared" si="49"/>
        <v>OK</v>
      </c>
      <c r="L260">
        <f t="shared" si="58"/>
        <v>12</v>
      </c>
      <c r="M260">
        <f t="shared" si="50"/>
        <v>10</v>
      </c>
      <c r="N260" s="9" t="str">
        <f t="shared" si="47"/>
        <v>Valid</v>
      </c>
      <c r="O260" t="str">
        <f t="shared" si="51"/>
        <v>Include</v>
      </c>
      <c r="P260" s="9">
        <f t="shared" si="52"/>
        <v>2035068.5799999984</v>
      </c>
      <c r="Q260" s="15">
        <f t="shared" si="53"/>
        <v>7469725</v>
      </c>
      <c r="R260" s="9">
        <f t="shared" si="54"/>
        <v>2663</v>
      </c>
      <c r="S260" s="9">
        <f t="shared" si="55"/>
        <v>7469725</v>
      </c>
      <c r="T260" s="15">
        <f t="shared" si="56"/>
        <v>16.686436250344954</v>
      </c>
      <c r="U260" s="15">
        <f>IF(O260="Exclude",0,G260*Fuel_Price!$B$2)</f>
        <v>740.227036</v>
      </c>
      <c r="V260" s="15">
        <f t="shared" si="57"/>
        <v>2989922.7577359979</v>
      </c>
    </row>
    <row r="261" spans="1:22">
      <c r="A261" s="1" t="s">
        <v>580</v>
      </c>
      <c r="B261" s="1" t="s">
        <v>581</v>
      </c>
      <c r="C261" s="1" t="s">
        <v>564</v>
      </c>
      <c r="D261" s="1" t="s">
        <v>12</v>
      </c>
      <c r="E261" s="12">
        <v>2272</v>
      </c>
      <c r="F261" s="12" t="s">
        <v>13</v>
      </c>
      <c r="G261" s="6">
        <v>389.9</v>
      </c>
      <c r="H261" s="1">
        <v>26.49</v>
      </c>
      <c r="J261" t="str">
        <f t="shared" si="48"/>
        <v>OK</v>
      </c>
      <c r="K261" t="str">
        <f t="shared" si="49"/>
        <v>OK</v>
      </c>
      <c r="L261">
        <f t="shared" si="58"/>
        <v>12</v>
      </c>
      <c r="M261">
        <f t="shared" si="50"/>
        <v>10</v>
      </c>
      <c r="N261" s="9" t="str">
        <f t="shared" si="47"/>
        <v>Valid</v>
      </c>
      <c r="O261" t="str">
        <f t="shared" si="51"/>
        <v>Include</v>
      </c>
      <c r="P261" s="9">
        <f t="shared" si="52"/>
        <v>2035068.5799999984</v>
      </c>
      <c r="Q261" s="15">
        <f t="shared" si="53"/>
        <v>7469725</v>
      </c>
      <c r="R261" s="9">
        <f t="shared" si="54"/>
        <v>2272</v>
      </c>
      <c r="S261" s="9">
        <f t="shared" si="55"/>
        <v>7469725</v>
      </c>
      <c r="T261" s="15">
        <f t="shared" si="56"/>
        <v>16.686436250344954</v>
      </c>
      <c r="U261" s="15">
        <f>IF(O261="Exclude",0,G261*Fuel_Price!$B$2)</f>
        <v>572.84108000000003</v>
      </c>
      <c r="V261" s="15">
        <f t="shared" si="57"/>
        <v>2989922.7577359979</v>
      </c>
    </row>
    <row r="262" spans="1:22">
      <c r="A262" s="1" t="s">
        <v>582</v>
      </c>
      <c r="B262" s="1" t="s">
        <v>583</v>
      </c>
      <c r="C262" s="1" t="s">
        <v>584</v>
      </c>
      <c r="D262" s="1" t="s">
        <v>12</v>
      </c>
      <c r="E262" s="12">
        <v>684</v>
      </c>
      <c r="F262" s="12" t="s">
        <v>13</v>
      </c>
      <c r="G262" s="6">
        <v>218.81</v>
      </c>
      <c r="H262" s="1">
        <v>14.21</v>
      </c>
      <c r="J262" t="str">
        <f t="shared" si="48"/>
        <v>OK</v>
      </c>
      <c r="K262" t="str">
        <f t="shared" si="49"/>
        <v>OK</v>
      </c>
      <c r="L262">
        <f t="shared" si="58"/>
        <v>12</v>
      </c>
      <c r="M262">
        <f t="shared" si="50"/>
        <v>10</v>
      </c>
      <c r="N262" s="9" t="str">
        <f t="shared" si="47"/>
        <v>Valid</v>
      </c>
      <c r="O262" t="str">
        <f t="shared" si="51"/>
        <v>Include</v>
      </c>
      <c r="P262" s="9">
        <f t="shared" si="52"/>
        <v>2035068.5799999984</v>
      </c>
      <c r="Q262" s="15">
        <f t="shared" si="53"/>
        <v>7469725</v>
      </c>
      <c r="R262" s="9">
        <f t="shared" si="54"/>
        <v>684</v>
      </c>
      <c r="S262" s="9">
        <f t="shared" si="55"/>
        <v>7469725</v>
      </c>
      <c r="T262" s="15">
        <f t="shared" si="56"/>
        <v>16.686436250344954</v>
      </c>
      <c r="U262" s="15">
        <f>IF(O262="Exclude",0,G262*Fuel_Price!$B$2)</f>
        <v>321.47565200000003</v>
      </c>
      <c r="V262" s="15">
        <f t="shared" si="57"/>
        <v>2989922.7577359979</v>
      </c>
    </row>
    <row r="263" spans="1:22">
      <c r="A263" s="1" t="s">
        <v>585</v>
      </c>
      <c r="B263" s="1" t="s">
        <v>586</v>
      </c>
      <c r="C263" s="1" t="s">
        <v>587</v>
      </c>
      <c r="D263" s="1" t="s">
        <v>12</v>
      </c>
      <c r="E263" s="12">
        <v>9399</v>
      </c>
      <c r="F263" s="12" t="s">
        <v>13</v>
      </c>
      <c r="G263" s="6">
        <v>1409.94</v>
      </c>
      <c r="H263" s="1">
        <v>30.31</v>
      </c>
      <c r="J263" t="str">
        <f t="shared" si="48"/>
        <v>OK</v>
      </c>
      <c r="K263" t="str">
        <f t="shared" si="49"/>
        <v>OK</v>
      </c>
      <c r="L263">
        <f t="shared" si="58"/>
        <v>12</v>
      </c>
      <c r="M263">
        <f t="shared" si="50"/>
        <v>10</v>
      </c>
      <c r="N263" s="9" t="str">
        <f t="shared" ref="N263:N326" si="59">IF(OR(H263&lt;=0,H263&gt;100,E263&lt;0),"Review","Valid")</f>
        <v>Valid</v>
      </c>
      <c r="O263" t="str">
        <f t="shared" si="51"/>
        <v>Include</v>
      </c>
      <c r="P263" s="9">
        <f t="shared" si="52"/>
        <v>2035068.5799999984</v>
      </c>
      <c r="Q263" s="15">
        <f t="shared" si="53"/>
        <v>7469725</v>
      </c>
      <c r="R263" s="9">
        <f t="shared" si="54"/>
        <v>9399</v>
      </c>
      <c r="S263" s="9">
        <f t="shared" si="55"/>
        <v>7469725</v>
      </c>
      <c r="T263" s="15">
        <f t="shared" si="56"/>
        <v>16.686436250344954</v>
      </c>
      <c r="U263" s="15">
        <f>IF(O263="Exclude",0,G263*Fuel_Price!$B$2)</f>
        <v>2071.4838480000003</v>
      </c>
      <c r="V263" s="15">
        <f t="shared" si="57"/>
        <v>2989922.7577359979</v>
      </c>
    </row>
    <row r="264" spans="1:22">
      <c r="A264" s="1" t="s">
        <v>588</v>
      </c>
      <c r="B264" s="1" t="s">
        <v>589</v>
      </c>
      <c r="C264" s="1" t="s">
        <v>587</v>
      </c>
      <c r="D264" s="1" t="s">
        <v>12</v>
      </c>
      <c r="E264" s="12">
        <v>1417</v>
      </c>
      <c r="F264" s="12" t="s">
        <v>13</v>
      </c>
      <c r="G264" s="6">
        <v>284</v>
      </c>
      <c r="H264" s="1">
        <v>22.68</v>
      </c>
      <c r="J264" t="str">
        <f t="shared" si="48"/>
        <v>OK</v>
      </c>
      <c r="K264" t="str">
        <f t="shared" si="49"/>
        <v>OK</v>
      </c>
      <c r="L264">
        <f t="shared" si="58"/>
        <v>12</v>
      </c>
      <c r="M264">
        <f t="shared" si="50"/>
        <v>10</v>
      </c>
      <c r="N264" s="9" t="str">
        <f t="shared" si="59"/>
        <v>Valid</v>
      </c>
      <c r="O264" t="str">
        <f t="shared" si="51"/>
        <v>Include</v>
      </c>
      <c r="P264" s="9">
        <f t="shared" si="52"/>
        <v>2035068.5799999984</v>
      </c>
      <c r="Q264" s="15">
        <f t="shared" si="53"/>
        <v>7469725</v>
      </c>
      <c r="R264" s="9">
        <f t="shared" si="54"/>
        <v>1417</v>
      </c>
      <c r="S264" s="9">
        <f t="shared" si="55"/>
        <v>7469725</v>
      </c>
      <c r="T264" s="15">
        <f t="shared" si="56"/>
        <v>16.686436250344954</v>
      </c>
      <c r="U264" s="15">
        <f>IF(O264="Exclude",0,G264*Fuel_Price!$B$2)</f>
        <v>417.25280000000004</v>
      </c>
      <c r="V264" s="15">
        <f t="shared" si="57"/>
        <v>2989922.7577359979</v>
      </c>
    </row>
    <row r="265" spans="1:22">
      <c r="A265" s="1" t="s">
        <v>590</v>
      </c>
      <c r="B265" s="1" t="s">
        <v>591</v>
      </c>
      <c r="C265" s="1" t="s">
        <v>587</v>
      </c>
      <c r="D265" s="1" t="s">
        <v>12</v>
      </c>
      <c r="E265" s="12">
        <v>2222</v>
      </c>
      <c r="F265" s="12" t="s">
        <v>13</v>
      </c>
      <c r="G265" s="6">
        <v>434.24</v>
      </c>
      <c r="H265" s="1">
        <v>23.26</v>
      </c>
      <c r="J265" t="str">
        <f t="shared" si="48"/>
        <v>OK</v>
      </c>
      <c r="K265" t="str">
        <f t="shared" si="49"/>
        <v>OK</v>
      </c>
      <c r="L265">
        <f t="shared" si="58"/>
        <v>12</v>
      </c>
      <c r="M265">
        <f t="shared" si="50"/>
        <v>10</v>
      </c>
      <c r="N265" s="9" t="str">
        <f t="shared" si="59"/>
        <v>Valid</v>
      </c>
      <c r="O265" t="str">
        <f t="shared" si="51"/>
        <v>Include</v>
      </c>
      <c r="P265" s="9">
        <f t="shared" si="52"/>
        <v>2035068.5799999984</v>
      </c>
      <c r="Q265" s="15">
        <f t="shared" si="53"/>
        <v>7469725</v>
      </c>
      <c r="R265" s="9">
        <f t="shared" si="54"/>
        <v>2222</v>
      </c>
      <c r="S265" s="9">
        <f t="shared" si="55"/>
        <v>7469725</v>
      </c>
      <c r="T265" s="15">
        <f t="shared" si="56"/>
        <v>16.686436250344954</v>
      </c>
      <c r="U265" s="15">
        <f>IF(O265="Exclude",0,G265*Fuel_Price!$B$2)</f>
        <v>637.98540800000001</v>
      </c>
      <c r="V265" s="15">
        <f t="shared" si="57"/>
        <v>2989922.7577359979</v>
      </c>
    </row>
    <row r="266" spans="1:22">
      <c r="A266" s="1" t="s">
        <v>592</v>
      </c>
      <c r="B266" s="1" t="s">
        <v>593</v>
      </c>
      <c r="C266" s="1" t="s">
        <v>594</v>
      </c>
      <c r="D266" s="1" t="s">
        <v>12</v>
      </c>
      <c r="E266" s="12">
        <v>4840</v>
      </c>
      <c r="F266" s="12" t="s">
        <v>13</v>
      </c>
      <c r="G266" s="6">
        <v>804.25</v>
      </c>
      <c r="H266" s="1">
        <v>27.36</v>
      </c>
      <c r="J266" t="str">
        <f t="shared" si="48"/>
        <v>OK</v>
      </c>
      <c r="K266" t="str">
        <f t="shared" si="49"/>
        <v>OK</v>
      </c>
      <c r="L266">
        <f t="shared" si="58"/>
        <v>12</v>
      </c>
      <c r="M266">
        <f t="shared" si="50"/>
        <v>10</v>
      </c>
      <c r="N266" s="9" t="str">
        <f t="shared" si="59"/>
        <v>Valid</v>
      </c>
      <c r="O266" t="str">
        <f t="shared" si="51"/>
        <v>Include</v>
      </c>
      <c r="P266" s="9">
        <f t="shared" si="52"/>
        <v>2035068.5799999984</v>
      </c>
      <c r="Q266" s="15">
        <f t="shared" si="53"/>
        <v>7469725</v>
      </c>
      <c r="R266" s="9">
        <f t="shared" si="54"/>
        <v>4840</v>
      </c>
      <c r="S266" s="9">
        <f t="shared" si="55"/>
        <v>7469725</v>
      </c>
      <c r="T266" s="15">
        <f t="shared" si="56"/>
        <v>16.686436250344954</v>
      </c>
      <c r="U266" s="15">
        <f>IF(O266="Exclude",0,G266*Fuel_Price!$B$2)</f>
        <v>1181.6041</v>
      </c>
      <c r="V266" s="15">
        <f t="shared" si="57"/>
        <v>2989922.7577359979</v>
      </c>
    </row>
    <row r="267" spans="1:22">
      <c r="A267" s="1" t="s">
        <v>595</v>
      </c>
      <c r="B267" s="1" t="s">
        <v>596</v>
      </c>
      <c r="C267" s="1" t="s">
        <v>594</v>
      </c>
      <c r="D267" s="1" t="s">
        <v>12</v>
      </c>
      <c r="E267" s="12">
        <v>3587</v>
      </c>
      <c r="F267" s="12" t="s">
        <v>13</v>
      </c>
      <c r="G267" s="6">
        <v>555.96</v>
      </c>
      <c r="H267" s="1">
        <v>29.33</v>
      </c>
      <c r="J267" t="str">
        <f t="shared" si="48"/>
        <v>OK</v>
      </c>
      <c r="K267" t="str">
        <f t="shared" si="49"/>
        <v>OK</v>
      </c>
      <c r="L267">
        <f t="shared" si="58"/>
        <v>12</v>
      </c>
      <c r="M267">
        <f t="shared" si="50"/>
        <v>10</v>
      </c>
      <c r="N267" s="9" t="str">
        <f t="shared" si="59"/>
        <v>Valid</v>
      </c>
      <c r="O267" t="str">
        <f t="shared" si="51"/>
        <v>Include</v>
      </c>
      <c r="P267" s="9">
        <f t="shared" si="52"/>
        <v>2035068.5799999984</v>
      </c>
      <c r="Q267" s="15">
        <f t="shared" si="53"/>
        <v>7469725</v>
      </c>
      <c r="R267" s="9">
        <f t="shared" si="54"/>
        <v>3587</v>
      </c>
      <c r="S267" s="9">
        <f t="shared" si="55"/>
        <v>7469725</v>
      </c>
      <c r="T267" s="15">
        <f t="shared" si="56"/>
        <v>16.686436250344954</v>
      </c>
      <c r="U267" s="15">
        <f>IF(O267="Exclude",0,G267*Fuel_Price!$B$2)</f>
        <v>816.81643200000008</v>
      </c>
      <c r="V267" s="15">
        <f t="shared" si="57"/>
        <v>2989922.7577359979</v>
      </c>
    </row>
    <row r="268" spans="1:22">
      <c r="A268" s="1" t="s">
        <v>597</v>
      </c>
      <c r="B268" s="1" t="s">
        <v>598</v>
      </c>
      <c r="C268" s="1" t="s">
        <v>599</v>
      </c>
      <c r="D268" s="1" t="s">
        <v>12</v>
      </c>
      <c r="E268" s="12">
        <v>1908</v>
      </c>
      <c r="F268" s="12" t="s">
        <v>13</v>
      </c>
      <c r="G268" s="6">
        <v>234.71</v>
      </c>
      <c r="H268" s="1">
        <v>36.96</v>
      </c>
      <c r="J268" t="str">
        <f t="shared" si="48"/>
        <v>OK</v>
      </c>
      <c r="K268" t="str">
        <f t="shared" si="49"/>
        <v>OK</v>
      </c>
      <c r="L268">
        <f t="shared" si="58"/>
        <v>12</v>
      </c>
      <c r="M268">
        <f t="shared" si="50"/>
        <v>10</v>
      </c>
      <c r="N268" s="9" t="str">
        <f t="shared" si="59"/>
        <v>Valid</v>
      </c>
      <c r="O268" t="str">
        <f t="shared" si="51"/>
        <v>Include</v>
      </c>
      <c r="P268" s="9">
        <f t="shared" si="52"/>
        <v>2035068.5799999984</v>
      </c>
      <c r="Q268" s="15">
        <f t="shared" si="53"/>
        <v>7469725</v>
      </c>
      <c r="R268" s="9">
        <f t="shared" si="54"/>
        <v>1908</v>
      </c>
      <c r="S268" s="9">
        <f t="shared" si="55"/>
        <v>7469725</v>
      </c>
      <c r="T268" s="15">
        <f t="shared" si="56"/>
        <v>16.686436250344954</v>
      </c>
      <c r="U268" s="15">
        <f>IF(O268="Exclude",0,G268*Fuel_Price!$B$2)</f>
        <v>344.83593200000001</v>
      </c>
      <c r="V268" s="15">
        <f t="shared" si="57"/>
        <v>2989922.7577359979</v>
      </c>
    </row>
    <row r="269" spans="1:22">
      <c r="A269" s="1" t="s">
        <v>600</v>
      </c>
      <c r="B269" s="1" t="s">
        <v>601</v>
      </c>
      <c r="C269" s="1" t="s">
        <v>599</v>
      </c>
      <c r="D269" s="1" t="s">
        <v>12</v>
      </c>
      <c r="E269" s="12">
        <v>2110</v>
      </c>
      <c r="F269" s="12" t="s">
        <v>13</v>
      </c>
      <c r="G269" s="6">
        <v>233.83</v>
      </c>
      <c r="H269" s="1">
        <v>41.02</v>
      </c>
      <c r="J269" t="str">
        <f t="shared" si="48"/>
        <v>OK</v>
      </c>
      <c r="K269" t="str">
        <f t="shared" si="49"/>
        <v>OK</v>
      </c>
      <c r="L269">
        <f t="shared" si="58"/>
        <v>12</v>
      </c>
      <c r="M269">
        <f t="shared" si="50"/>
        <v>10</v>
      </c>
      <c r="N269" s="9" t="str">
        <f t="shared" si="59"/>
        <v>Valid</v>
      </c>
      <c r="O269" t="str">
        <f t="shared" si="51"/>
        <v>Include</v>
      </c>
      <c r="P269" s="9">
        <f t="shared" si="52"/>
        <v>2035068.5799999984</v>
      </c>
      <c r="Q269" s="15">
        <f t="shared" si="53"/>
        <v>7469725</v>
      </c>
      <c r="R269" s="9">
        <f t="shared" si="54"/>
        <v>2110</v>
      </c>
      <c r="S269" s="9">
        <f t="shared" si="55"/>
        <v>7469725</v>
      </c>
      <c r="T269" s="15">
        <f t="shared" si="56"/>
        <v>16.686436250344954</v>
      </c>
      <c r="U269" s="15">
        <f>IF(O269="Exclude",0,G269*Fuel_Price!$B$2)</f>
        <v>343.54303600000003</v>
      </c>
      <c r="V269" s="15">
        <f t="shared" si="57"/>
        <v>2989922.7577359979</v>
      </c>
    </row>
    <row r="270" spans="1:22">
      <c r="A270" s="1" t="s">
        <v>602</v>
      </c>
      <c r="B270" s="1" t="s">
        <v>603</v>
      </c>
      <c r="C270" s="1" t="s">
        <v>599</v>
      </c>
      <c r="D270" s="1" t="s">
        <v>12</v>
      </c>
      <c r="E270" s="12">
        <v>4805</v>
      </c>
      <c r="F270" s="12" t="s">
        <v>13</v>
      </c>
      <c r="G270" s="6">
        <v>460.13</v>
      </c>
      <c r="H270" s="1">
        <v>47.47</v>
      </c>
      <c r="J270" t="str">
        <f t="shared" si="48"/>
        <v>OK</v>
      </c>
      <c r="K270" t="str">
        <f t="shared" si="49"/>
        <v>OK</v>
      </c>
      <c r="L270">
        <f t="shared" si="58"/>
        <v>12</v>
      </c>
      <c r="M270">
        <f t="shared" si="50"/>
        <v>10</v>
      </c>
      <c r="N270" s="9" t="str">
        <f t="shared" si="59"/>
        <v>Valid</v>
      </c>
      <c r="O270" t="str">
        <f t="shared" si="51"/>
        <v>Include</v>
      </c>
      <c r="P270" s="9">
        <f t="shared" si="52"/>
        <v>2035068.5799999984</v>
      </c>
      <c r="Q270" s="15">
        <f t="shared" si="53"/>
        <v>7469725</v>
      </c>
      <c r="R270" s="9">
        <f t="shared" si="54"/>
        <v>4805</v>
      </c>
      <c r="S270" s="9">
        <f t="shared" si="55"/>
        <v>7469725</v>
      </c>
      <c r="T270" s="15">
        <f t="shared" si="56"/>
        <v>16.686436250344954</v>
      </c>
      <c r="U270" s="15">
        <f>IF(O270="Exclude",0,G270*Fuel_Price!$B$2)</f>
        <v>676.02299600000003</v>
      </c>
      <c r="V270" s="15">
        <f t="shared" si="57"/>
        <v>2989922.7577359979</v>
      </c>
    </row>
    <row r="271" spans="1:22">
      <c r="A271" s="1" t="s">
        <v>604</v>
      </c>
      <c r="B271" s="1" t="s">
        <v>605</v>
      </c>
      <c r="C271" s="1" t="s">
        <v>599</v>
      </c>
      <c r="D271" s="1" t="s">
        <v>12</v>
      </c>
      <c r="E271" s="12">
        <v>4008</v>
      </c>
      <c r="F271" s="12" t="s">
        <v>13</v>
      </c>
      <c r="G271" s="6">
        <v>396.77</v>
      </c>
      <c r="H271" s="1">
        <v>45.92</v>
      </c>
      <c r="J271" t="str">
        <f t="shared" si="48"/>
        <v>OK</v>
      </c>
      <c r="K271" t="str">
        <f t="shared" si="49"/>
        <v>OK</v>
      </c>
      <c r="L271">
        <f t="shared" si="58"/>
        <v>12</v>
      </c>
      <c r="M271">
        <f t="shared" si="50"/>
        <v>10</v>
      </c>
      <c r="N271" s="9" t="str">
        <f t="shared" si="59"/>
        <v>Valid</v>
      </c>
      <c r="O271" t="str">
        <f t="shared" si="51"/>
        <v>Include</v>
      </c>
      <c r="P271" s="9">
        <f t="shared" si="52"/>
        <v>2035068.5799999984</v>
      </c>
      <c r="Q271" s="15">
        <f t="shared" si="53"/>
        <v>7469725</v>
      </c>
      <c r="R271" s="9">
        <f t="shared" si="54"/>
        <v>4008</v>
      </c>
      <c r="S271" s="9">
        <f t="shared" si="55"/>
        <v>7469725</v>
      </c>
      <c r="T271" s="15">
        <f t="shared" si="56"/>
        <v>16.686436250344954</v>
      </c>
      <c r="U271" s="15">
        <f>IF(O271="Exclude",0,G271*Fuel_Price!$B$2)</f>
        <v>582.934484</v>
      </c>
      <c r="V271" s="15">
        <f t="shared" si="57"/>
        <v>2989922.7577359979</v>
      </c>
    </row>
    <row r="272" spans="1:22">
      <c r="A272" s="1" t="s">
        <v>606</v>
      </c>
      <c r="B272" s="1" t="s">
        <v>607</v>
      </c>
      <c r="C272" s="1" t="s">
        <v>599</v>
      </c>
      <c r="D272" s="1" t="s">
        <v>12</v>
      </c>
      <c r="E272" s="12">
        <v>4013</v>
      </c>
      <c r="F272" s="12" t="s">
        <v>13</v>
      </c>
      <c r="G272" s="6">
        <v>348.89</v>
      </c>
      <c r="H272" s="1">
        <v>52.29</v>
      </c>
      <c r="J272" t="str">
        <f t="shared" si="48"/>
        <v>OK</v>
      </c>
      <c r="K272" t="str">
        <f t="shared" si="49"/>
        <v>OK</v>
      </c>
      <c r="L272">
        <f t="shared" si="58"/>
        <v>12</v>
      </c>
      <c r="M272">
        <f t="shared" si="50"/>
        <v>10</v>
      </c>
      <c r="N272" s="9" t="str">
        <f t="shared" si="59"/>
        <v>Valid</v>
      </c>
      <c r="O272" t="str">
        <f t="shared" si="51"/>
        <v>Include</v>
      </c>
      <c r="P272" s="9">
        <f t="shared" si="52"/>
        <v>2035068.5799999984</v>
      </c>
      <c r="Q272" s="15">
        <f t="shared" si="53"/>
        <v>7469725</v>
      </c>
      <c r="R272" s="9">
        <f t="shared" si="54"/>
        <v>4013</v>
      </c>
      <c r="S272" s="9">
        <f t="shared" si="55"/>
        <v>7469725</v>
      </c>
      <c r="T272" s="15">
        <f t="shared" si="56"/>
        <v>16.686436250344954</v>
      </c>
      <c r="U272" s="15">
        <f>IF(O272="Exclude",0,G272*Fuel_Price!$B$2)</f>
        <v>512.58918800000004</v>
      </c>
      <c r="V272" s="15">
        <f t="shared" si="57"/>
        <v>2989922.7577359979</v>
      </c>
    </row>
    <row r="273" spans="1:22">
      <c r="A273" s="1" t="s">
        <v>608</v>
      </c>
      <c r="B273" s="1" t="s">
        <v>609</v>
      </c>
      <c r="C273" s="1" t="s">
        <v>599</v>
      </c>
      <c r="D273" s="1" t="s">
        <v>12</v>
      </c>
      <c r="E273" s="12">
        <v>10919</v>
      </c>
      <c r="F273" s="12" t="s">
        <v>13</v>
      </c>
      <c r="G273" s="6">
        <v>1007.06</v>
      </c>
      <c r="H273" s="1">
        <v>49.29</v>
      </c>
      <c r="J273" t="str">
        <f t="shared" si="48"/>
        <v>OK</v>
      </c>
      <c r="K273" t="str">
        <f t="shared" si="49"/>
        <v>OK</v>
      </c>
      <c r="L273">
        <f t="shared" si="58"/>
        <v>12</v>
      </c>
      <c r="M273">
        <f t="shared" si="50"/>
        <v>10</v>
      </c>
      <c r="N273" s="9" t="str">
        <f t="shared" si="59"/>
        <v>Valid</v>
      </c>
      <c r="O273" t="str">
        <f t="shared" si="51"/>
        <v>Include</v>
      </c>
      <c r="P273" s="9">
        <f t="shared" si="52"/>
        <v>2035068.5799999984</v>
      </c>
      <c r="Q273" s="15">
        <f t="shared" si="53"/>
        <v>7469725</v>
      </c>
      <c r="R273" s="9">
        <f t="shared" si="54"/>
        <v>10919</v>
      </c>
      <c r="S273" s="9">
        <f t="shared" si="55"/>
        <v>7469725</v>
      </c>
      <c r="T273" s="15">
        <f t="shared" si="56"/>
        <v>16.686436250344954</v>
      </c>
      <c r="U273" s="15">
        <f>IF(O273="Exclude",0,G273*Fuel_Price!$B$2)</f>
        <v>1479.5725520000001</v>
      </c>
      <c r="V273" s="15">
        <f t="shared" si="57"/>
        <v>2989922.7577359979</v>
      </c>
    </row>
    <row r="274" spans="1:22">
      <c r="A274" s="1" t="s">
        <v>610</v>
      </c>
      <c r="B274" s="1" t="s">
        <v>611</v>
      </c>
      <c r="C274" s="1" t="s">
        <v>599</v>
      </c>
      <c r="D274" s="1" t="s">
        <v>12</v>
      </c>
      <c r="E274" s="12">
        <v>4570</v>
      </c>
      <c r="F274" s="12" t="s">
        <v>13</v>
      </c>
      <c r="G274" s="6">
        <v>404.49</v>
      </c>
      <c r="H274" s="1">
        <v>51.36</v>
      </c>
      <c r="J274" t="str">
        <f t="shared" si="48"/>
        <v>OK</v>
      </c>
      <c r="K274" t="str">
        <f t="shared" si="49"/>
        <v>OK</v>
      </c>
      <c r="L274">
        <f t="shared" si="58"/>
        <v>12</v>
      </c>
      <c r="M274">
        <f t="shared" si="50"/>
        <v>10</v>
      </c>
      <c r="N274" s="9" t="str">
        <f t="shared" si="59"/>
        <v>Valid</v>
      </c>
      <c r="O274" t="str">
        <f t="shared" si="51"/>
        <v>Include</v>
      </c>
      <c r="P274" s="9">
        <f t="shared" si="52"/>
        <v>2035068.5799999984</v>
      </c>
      <c r="Q274" s="15">
        <f t="shared" si="53"/>
        <v>7469725</v>
      </c>
      <c r="R274" s="9">
        <f t="shared" si="54"/>
        <v>4570</v>
      </c>
      <c r="S274" s="9">
        <f t="shared" si="55"/>
        <v>7469725</v>
      </c>
      <c r="T274" s="15">
        <f t="shared" si="56"/>
        <v>16.686436250344954</v>
      </c>
      <c r="U274" s="15">
        <f>IF(O274="Exclude",0,G274*Fuel_Price!$B$2)</f>
        <v>594.27670799999999</v>
      </c>
      <c r="V274" s="15">
        <f t="shared" si="57"/>
        <v>2989922.7577359979</v>
      </c>
    </row>
    <row r="275" spans="1:22">
      <c r="A275" s="1" t="s">
        <v>612</v>
      </c>
      <c r="B275" s="1" t="s">
        <v>613</v>
      </c>
      <c r="C275" s="1" t="s">
        <v>599</v>
      </c>
      <c r="D275" s="1" t="s">
        <v>12</v>
      </c>
      <c r="E275" s="12">
        <v>1637</v>
      </c>
      <c r="F275" s="12" t="s">
        <v>13</v>
      </c>
      <c r="G275" s="6">
        <v>138.11000000000001</v>
      </c>
      <c r="H275" s="1">
        <v>53.88</v>
      </c>
      <c r="J275" t="str">
        <f t="shared" si="48"/>
        <v>OK</v>
      </c>
      <c r="K275" t="str">
        <f t="shared" si="49"/>
        <v>OK</v>
      </c>
      <c r="L275">
        <f t="shared" si="58"/>
        <v>12</v>
      </c>
      <c r="M275">
        <f t="shared" si="50"/>
        <v>10</v>
      </c>
      <c r="N275" s="9" t="str">
        <f t="shared" si="59"/>
        <v>Valid</v>
      </c>
      <c r="O275" t="str">
        <f t="shared" si="51"/>
        <v>Include</v>
      </c>
      <c r="P275" s="9">
        <f t="shared" si="52"/>
        <v>2035068.5799999984</v>
      </c>
      <c r="Q275" s="15">
        <f t="shared" si="53"/>
        <v>7469725</v>
      </c>
      <c r="R275" s="9">
        <f t="shared" si="54"/>
        <v>1637</v>
      </c>
      <c r="S275" s="9">
        <f t="shared" si="55"/>
        <v>7469725</v>
      </c>
      <c r="T275" s="15">
        <f t="shared" si="56"/>
        <v>16.686436250344954</v>
      </c>
      <c r="U275" s="15">
        <f>IF(O275="Exclude",0,G275*Fuel_Price!$B$2)</f>
        <v>202.91121200000003</v>
      </c>
      <c r="V275" s="15">
        <f t="shared" si="57"/>
        <v>2989922.7577359979</v>
      </c>
    </row>
    <row r="276" spans="1:22">
      <c r="A276" s="1" t="s">
        <v>614</v>
      </c>
      <c r="B276" s="1" t="s">
        <v>615</v>
      </c>
      <c r="C276" s="1" t="s">
        <v>599</v>
      </c>
      <c r="D276" s="1" t="s">
        <v>12</v>
      </c>
      <c r="E276" s="12">
        <v>569</v>
      </c>
      <c r="F276" s="12" t="s">
        <v>13</v>
      </c>
      <c r="G276" s="6">
        <v>78.599999999999994</v>
      </c>
      <c r="H276" s="1">
        <v>32.909999999999997</v>
      </c>
      <c r="J276" t="str">
        <f t="shared" si="48"/>
        <v>OK</v>
      </c>
      <c r="K276" t="str">
        <f t="shared" si="49"/>
        <v>OK</v>
      </c>
      <c r="L276">
        <f t="shared" si="58"/>
        <v>12</v>
      </c>
      <c r="M276">
        <f t="shared" si="50"/>
        <v>10</v>
      </c>
      <c r="N276" s="9" t="str">
        <f t="shared" si="59"/>
        <v>Valid</v>
      </c>
      <c r="O276" t="str">
        <f t="shared" si="51"/>
        <v>Include</v>
      </c>
      <c r="P276" s="9">
        <f t="shared" si="52"/>
        <v>2035068.5799999984</v>
      </c>
      <c r="Q276" s="15">
        <f t="shared" si="53"/>
        <v>7469725</v>
      </c>
      <c r="R276" s="9">
        <f t="shared" si="54"/>
        <v>569</v>
      </c>
      <c r="S276" s="9">
        <f t="shared" si="55"/>
        <v>7469725</v>
      </c>
      <c r="T276" s="15">
        <f t="shared" si="56"/>
        <v>16.686436250344954</v>
      </c>
      <c r="U276" s="15">
        <f>IF(O276="Exclude",0,G276*Fuel_Price!$B$2)</f>
        <v>115.47911999999999</v>
      </c>
      <c r="V276" s="15">
        <f t="shared" si="57"/>
        <v>2989922.7577359979</v>
      </c>
    </row>
    <row r="277" spans="1:22">
      <c r="A277" s="1" t="s">
        <v>616</v>
      </c>
      <c r="B277" s="1" t="s">
        <v>617</v>
      </c>
      <c r="C277" s="1" t="s">
        <v>599</v>
      </c>
      <c r="D277" s="1" t="s">
        <v>12</v>
      </c>
      <c r="E277" s="12">
        <v>2927</v>
      </c>
      <c r="F277" s="12" t="s">
        <v>13</v>
      </c>
      <c r="G277" s="6">
        <v>263.79000000000002</v>
      </c>
      <c r="H277" s="1">
        <v>50.44</v>
      </c>
      <c r="J277" t="str">
        <f t="shared" si="48"/>
        <v>OK</v>
      </c>
      <c r="K277" t="str">
        <f t="shared" si="49"/>
        <v>OK</v>
      </c>
      <c r="L277">
        <f t="shared" si="58"/>
        <v>12</v>
      </c>
      <c r="M277">
        <f t="shared" si="50"/>
        <v>10</v>
      </c>
      <c r="N277" s="9" t="str">
        <f t="shared" si="59"/>
        <v>Valid</v>
      </c>
      <c r="O277" t="str">
        <f t="shared" si="51"/>
        <v>Include</v>
      </c>
      <c r="P277" s="9">
        <f t="shared" si="52"/>
        <v>2035068.5799999984</v>
      </c>
      <c r="Q277" s="15">
        <f t="shared" si="53"/>
        <v>7469725</v>
      </c>
      <c r="R277" s="9">
        <f t="shared" si="54"/>
        <v>2927</v>
      </c>
      <c r="S277" s="9">
        <f t="shared" si="55"/>
        <v>7469725</v>
      </c>
      <c r="T277" s="15">
        <f t="shared" si="56"/>
        <v>16.686436250344954</v>
      </c>
      <c r="U277" s="15">
        <f>IF(O277="Exclude",0,G277*Fuel_Price!$B$2)</f>
        <v>387.56026800000006</v>
      </c>
      <c r="V277" s="15">
        <f t="shared" si="57"/>
        <v>2989922.7577359979</v>
      </c>
    </row>
    <row r="278" spans="1:22">
      <c r="A278" s="1" t="s">
        <v>618</v>
      </c>
      <c r="B278" s="1" t="s">
        <v>619</v>
      </c>
      <c r="C278" s="1" t="s">
        <v>599</v>
      </c>
      <c r="D278" s="1" t="s">
        <v>12</v>
      </c>
      <c r="E278" s="12">
        <v>691</v>
      </c>
      <c r="F278" s="12" t="s">
        <v>13</v>
      </c>
      <c r="G278" s="6">
        <v>74.83</v>
      </c>
      <c r="H278" s="1">
        <v>41.98</v>
      </c>
      <c r="J278" t="str">
        <f t="shared" si="48"/>
        <v>OK</v>
      </c>
      <c r="K278" t="str">
        <f t="shared" si="49"/>
        <v>OK</v>
      </c>
      <c r="L278">
        <f t="shared" si="58"/>
        <v>12</v>
      </c>
      <c r="M278">
        <f t="shared" si="50"/>
        <v>10</v>
      </c>
      <c r="N278" s="9" t="str">
        <f t="shared" si="59"/>
        <v>Valid</v>
      </c>
      <c r="O278" t="str">
        <f t="shared" si="51"/>
        <v>Include</v>
      </c>
      <c r="P278" s="9">
        <f t="shared" si="52"/>
        <v>2035068.5799999984</v>
      </c>
      <c r="Q278" s="15">
        <f t="shared" si="53"/>
        <v>7469725</v>
      </c>
      <c r="R278" s="9">
        <f t="shared" si="54"/>
        <v>691</v>
      </c>
      <c r="S278" s="9">
        <f t="shared" si="55"/>
        <v>7469725</v>
      </c>
      <c r="T278" s="15">
        <f t="shared" si="56"/>
        <v>16.686436250344954</v>
      </c>
      <c r="U278" s="15">
        <f>IF(O278="Exclude",0,G278*Fuel_Price!$B$2)</f>
        <v>109.940236</v>
      </c>
      <c r="V278" s="15">
        <f t="shared" si="57"/>
        <v>2989922.7577359979</v>
      </c>
    </row>
    <row r="279" spans="1:22">
      <c r="A279" s="1" t="s">
        <v>624</v>
      </c>
      <c r="B279" s="1" t="s">
        <v>625</v>
      </c>
      <c r="C279" s="1" t="s">
        <v>599</v>
      </c>
      <c r="D279" s="1" t="s">
        <v>12</v>
      </c>
      <c r="E279" s="12">
        <v>1284</v>
      </c>
      <c r="F279" s="12" t="s">
        <v>13</v>
      </c>
      <c r="G279" s="6">
        <v>125.96</v>
      </c>
      <c r="H279" s="1">
        <v>46.34</v>
      </c>
      <c r="J279" t="str">
        <f t="shared" si="48"/>
        <v>OK</v>
      </c>
      <c r="K279" t="str">
        <f t="shared" si="49"/>
        <v>OK</v>
      </c>
      <c r="L279">
        <f t="shared" si="58"/>
        <v>12</v>
      </c>
      <c r="M279">
        <f t="shared" si="50"/>
        <v>10</v>
      </c>
      <c r="N279" s="9" t="str">
        <f t="shared" si="59"/>
        <v>Valid</v>
      </c>
      <c r="O279" t="str">
        <f t="shared" si="51"/>
        <v>Include</v>
      </c>
      <c r="P279" s="9">
        <f t="shared" si="52"/>
        <v>2035068.5799999984</v>
      </c>
      <c r="Q279" s="15">
        <f t="shared" si="53"/>
        <v>7469725</v>
      </c>
      <c r="R279" s="9">
        <f t="shared" si="54"/>
        <v>1284</v>
      </c>
      <c r="S279" s="9">
        <f t="shared" si="55"/>
        <v>7469725</v>
      </c>
      <c r="T279" s="15">
        <f t="shared" si="56"/>
        <v>16.686436250344954</v>
      </c>
      <c r="U279" s="15">
        <f>IF(O279="Exclude",0,G279*Fuel_Price!$B$2)</f>
        <v>185.06043199999999</v>
      </c>
      <c r="V279" s="15">
        <f t="shared" si="57"/>
        <v>2989922.7577359979</v>
      </c>
    </row>
    <row r="280" spans="1:22">
      <c r="A280" s="1" t="s">
        <v>626</v>
      </c>
      <c r="B280" s="1" t="s">
        <v>627</v>
      </c>
      <c r="C280" s="1" t="s">
        <v>599</v>
      </c>
      <c r="D280" s="1" t="s">
        <v>12</v>
      </c>
      <c r="E280" s="12">
        <v>3812</v>
      </c>
      <c r="F280" s="12" t="s">
        <v>13</v>
      </c>
      <c r="G280" s="6">
        <v>342.67</v>
      </c>
      <c r="H280" s="1">
        <v>50.57</v>
      </c>
      <c r="J280" t="str">
        <f t="shared" si="48"/>
        <v>OK</v>
      </c>
      <c r="K280" t="str">
        <f t="shared" si="49"/>
        <v>OK</v>
      </c>
      <c r="L280">
        <f t="shared" si="58"/>
        <v>12</v>
      </c>
      <c r="M280">
        <f t="shared" si="50"/>
        <v>10</v>
      </c>
      <c r="N280" s="9" t="str">
        <f t="shared" si="59"/>
        <v>Valid</v>
      </c>
      <c r="O280" t="str">
        <f t="shared" si="51"/>
        <v>Include</v>
      </c>
      <c r="P280" s="9">
        <f t="shared" si="52"/>
        <v>2035068.5799999984</v>
      </c>
      <c r="Q280" s="15">
        <f t="shared" si="53"/>
        <v>7469725</v>
      </c>
      <c r="R280" s="9">
        <f t="shared" si="54"/>
        <v>3812</v>
      </c>
      <c r="S280" s="9">
        <f t="shared" si="55"/>
        <v>7469725</v>
      </c>
      <c r="T280" s="15">
        <f t="shared" si="56"/>
        <v>16.686436250344954</v>
      </c>
      <c r="U280" s="15">
        <f>IF(O280="Exclude",0,G280*Fuel_Price!$B$2)</f>
        <v>503.45076400000005</v>
      </c>
      <c r="V280" s="15">
        <f t="shared" si="57"/>
        <v>2989922.7577359979</v>
      </c>
    </row>
    <row r="281" spans="1:22">
      <c r="A281" s="1" t="s">
        <v>628</v>
      </c>
      <c r="B281" s="1" t="s">
        <v>629</v>
      </c>
      <c r="C281" s="1" t="s">
        <v>599</v>
      </c>
      <c r="D281" s="1" t="s">
        <v>12</v>
      </c>
      <c r="E281" s="12">
        <v>2611</v>
      </c>
      <c r="F281" s="12" t="s">
        <v>13</v>
      </c>
      <c r="G281" s="6">
        <v>280.11</v>
      </c>
      <c r="H281" s="1">
        <v>42.38</v>
      </c>
      <c r="J281" t="str">
        <f t="shared" si="48"/>
        <v>OK</v>
      </c>
      <c r="K281" t="str">
        <f t="shared" si="49"/>
        <v>OK</v>
      </c>
      <c r="L281">
        <f t="shared" si="58"/>
        <v>12</v>
      </c>
      <c r="M281">
        <f t="shared" si="50"/>
        <v>10</v>
      </c>
      <c r="N281" s="9" t="str">
        <f t="shared" si="59"/>
        <v>Valid</v>
      </c>
      <c r="O281" t="str">
        <f t="shared" si="51"/>
        <v>Include</v>
      </c>
      <c r="P281" s="9">
        <f t="shared" si="52"/>
        <v>2035068.5799999984</v>
      </c>
      <c r="Q281" s="15">
        <f t="shared" si="53"/>
        <v>7469725</v>
      </c>
      <c r="R281" s="9">
        <f t="shared" si="54"/>
        <v>2611</v>
      </c>
      <c r="S281" s="9">
        <f t="shared" si="55"/>
        <v>7469725</v>
      </c>
      <c r="T281" s="15">
        <f t="shared" si="56"/>
        <v>16.686436250344954</v>
      </c>
      <c r="U281" s="15">
        <f>IF(O281="Exclude",0,G281*Fuel_Price!$B$2)</f>
        <v>411.53761200000002</v>
      </c>
      <c r="V281" s="15">
        <f t="shared" si="57"/>
        <v>2989922.7577359979</v>
      </c>
    </row>
    <row r="282" spans="1:22">
      <c r="A282" s="1" t="s">
        <v>630</v>
      </c>
      <c r="B282" s="1" t="s">
        <v>631</v>
      </c>
      <c r="C282" s="1" t="s">
        <v>599</v>
      </c>
      <c r="D282" s="1" t="s">
        <v>12</v>
      </c>
      <c r="E282" s="12">
        <v>2343</v>
      </c>
      <c r="F282" s="12" t="s">
        <v>13</v>
      </c>
      <c r="G282" s="6">
        <v>220.58</v>
      </c>
      <c r="H282" s="1">
        <v>48.29</v>
      </c>
      <c r="J282" t="str">
        <f t="shared" si="48"/>
        <v>OK</v>
      </c>
      <c r="K282" t="str">
        <f t="shared" si="49"/>
        <v>OK</v>
      </c>
      <c r="L282">
        <f t="shared" si="58"/>
        <v>12</v>
      </c>
      <c r="M282">
        <f t="shared" si="50"/>
        <v>10</v>
      </c>
      <c r="N282" s="9" t="str">
        <f t="shared" si="59"/>
        <v>Valid</v>
      </c>
      <c r="O282" t="str">
        <f t="shared" si="51"/>
        <v>Include</v>
      </c>
      <c r="P282" s="9">
        <f t="shared" si="52"/>
        <v>2035068.5799999984</v>
      </c>
      <c r="Q282" s="15">
        <f t="shared" si="53"/>
        <v>7469725</v>
      </c>
      <c r="R282" s="9">
        <f t="shared" si="54"/>
        <v>2343</v>
      </c>
      <c r="S282" s="9">
        <f t="shared" si="55"/>
        <v>7469725</v>
      </c>
      <c r="T282" s="15">
        <f t="shared" si="56"/>
        <v>16.686436250344954</v>
      </c>
      <c r="U282" s="15">
        <f>IF(O282="Exclude",0,G282*Fuel_Price!$B$2)</f>
        <v>324.07613600000002</v>
      </c>
      <c r="V282" s="15">
        <f t="shared" si="57"/>
        <v>2989922.7577359979</v>
      </c>
    </row>
    <row r="283" spans="1:22">
      <c r="A283" s="1" t="s">
        <v>632</v>
      </c>
      <c r="B283" s="1" t="s">
        <v>633</v>
      </c>
      <c r="C283" s="1" t="s">
        <v>599</v>
      </c>
      <c r="D283" s="1" t="s">
        <v>12</v>
      </c>
      <c r="E283" s="12">
        <v>3951</v>
      </c>
      <c r="F283" s="12" t="s">
        <v>13</v>
      </c>
      <c r="G283" s="6">
        <v>427.57</v>
      </c>
      <c r="H283" s="1">
        <v>42.01</v>
      </c>
      <c r="J283" t="str">
        <f t="shared" si="48"/>
        <v>OK</v>
      </c>
      <c r="K283" t="str">
        <f t="shared" si="49"/>
        <v>OK</v>
      </c>
      <c r="L283">
        <f t="shared" si="58"/>
        <v>12</v>
      </c>
      <c r="M283">
        <f t="shared" si="50"/>
        <v>10</v>
      </c>
      <c r="N283" s="9" t="str">
        <f t="shared" si="59"/>
        <v>Valid</v>
      </c>
      <c r="O283" t="str">
        <f t="shared" si="51"/>
        <v>Include</v>
      </c>
      <c r="P283" s="9">
        <f t="shared" si="52"/>
        <v>2035068.5799999984</v>
      </c>
      <c r="Q283" s="15">
        <f t="shared" si="53"/>
        <v>7469725</v>
      </c>
      <c r="R283" s="9">
        <f t="shared" si="54"/>
        <v>3951</v>
      </c>
      <c r="S283" s="9">
        <f t="shared" si="55"/>
        <v>7469725</v>
      </c>
      <c r="T283" s="15">
        <f t="shared" si="56"/>
        <v>16.686436250344954</v>
      </c>
      <c r="U283" s="15">
        <f>IF(O283="Exclude",0,G283*Fuel_Price!$B$2)</f>
        <v>628.18584399999997</v>
      </c>
      <c r="V283" s="15">
        <f t="shared" si="57"/>
        <v>2989922.7577359979</v>
      </c>
    </row>
    <row r="284" spans="1:22">
      <c r="A284" s="1" t="s">
        <v>634</v>
      </c>
      <c r="B284" s="1" t="s">
        <v>635</v>
      </c>
      <c r="C284" s="1" t="s">
        <v>599</v>
      </c>
      <c r="D284" s="1" t="s">
        <v>12</v>
      </c>
      <c r="E284" s="12">
        <v>7306</v>
      </c>
      <c r="F284" s="12" t="s">
        <v>13</v>
      </c>
      <c r="G284" s="6">
        <v>510.45</v>
      </c>
      <c r="H284" s="1">
        <v>65.069999999999993</v>
      </c>
      <c r="J284" t="str">
        <f t="shared" si="48"/>
        <v>OK</v>
      </c>
      <c r="K284" t="str">
        <f t="shared" si="49"/>
        <v>OK</v>
      </c>
      <c r="L284">
        <f t="shared" si="58"/>
        <v>12</v>
      </c>
      <c r="M284">
        <f t="shared" si="50"/>
        <v>10</v>
      </c>
      <c r="N284" s="9" t="str">
        <f t="shared" si="59"/>
        <v>Valid</v>
      </c>
      <c r="O284" t="str">
        <f t="shared" si="51"/>
        <v>Include</v>
      </c>
      <c r="P284" s="9">
        <f t="shared" si="52"/>
        <v>2035068.5799999984</v>
      </c>
      <c r="Q284" s="15">
        <f t="shared" si="53"/>
        <v>7469725</v>
      </c>
      <c r="R284" s="9">
        <f t="shared" si="54"/>
        <v>7306</v>
      </c>
      <c r="S284" s="9">
        <f t="shared" si="55"/>
        <v>7469725</v>
      </c>
      <c r="T284" s="15">
        <f t="shared" si="56"/>
        <v>16.686436250344954</v>
      </c>
      <c r="U284" s="15">
        <f>IF(O284="Exclude",0,G284*Fuel_Price!$B$2)</f>
        <v>749.95313999999996</v>
      </c>
      <c r="V284" s="15">
        <f t="shared" si="57"/>
        <v>2989922.7577359979</v>
      </c>
    </row>
    <row r="285" spans="1:22">
      <c r="A285" s="1" t="s">
        <v>636</v>
      </c>
      <c r="B285" s="1" t="s">
        <v>637</v>
      </c>
      <c r="C285" s="1" t="s">
        <v>11</v>
      </c>
      <c r="D285" s="1" t="s">
        <v>12</v>
      </c>
      <c r="E285" s="12">
        <v>345</v>
      </c>
      <c r="F285" s="12" t="s">
        <v>13</v>
      </c>
      <c r="G285" s="6">
        <v>64.61</v>
      </c>
      <c r="H285" s="1">
        <v>24.27</v>
      </c>
      <c r="J285" t="str">
        <f t="shared" si="48"/>
        <v>OK</v>
      </c>
      <c r="K285" t="str">
        <f t="shared" si="49"/>
        <v>OK</v>
      </c>
      <c r="L285">
        <f t="shared" si="58"/>
        <v>12</v>
      </c>
      <c r="M285">
        <f t="shared" si="50"/>
        <v>10</v>
      </c>
      <c r="N285" s="9" t="str">
        <f t="shared" si="59"/>
        <v>Valid</v>
      </c>
      <c r="O285" t="str">
        <f t="shared" si="51"/>
        <v>Include</v>
      </c>
      <c r="P285" s="9">
        <f t="shared" si="52"/>
        <v>2035068.5799999984</v>
      </c>
      <c r="Q285" s="15">
        <f t="shared" si="53"/>
        <v>7469725</v>
      </c>
      <c r="R285" s="9">
        <f t="shared" si="54"/>
        <v>345</v>
      </c>
      <c r="S285" s="9">
        <f t="shared" si="55"/>
        <v>7469725</v>
      </c>
      <c r="T285" s="15">
        <f t="shared" si="56"/>
        <v>16.686436250344954</v>
      </c>
      <c r="U285" s="15">
        <f>IF(O285="Exclude",0,G285*Fuel_Price!$B$2)</f>
        <v>94.925012000000009</v>
      </c>
      <c r="V285" s="15">
        <f t="shared" si="57"/>
        <v>2989922.7577359979</v>
      </c>
    </row>
    <row r="286" spans="1:22">
      <c r="A286" s="1" t="s">
        <v>638</v>
      </c>
      <c r="B286" s="1" t="s">
        <v>639</v>
      </c>
      <c r="C286" s="1" t="s">
        <v>11</v>
      </c>
      <c r="D286" s="1" t="s">
        <v>12</v>
      </c>
      <c r="E286" s="12">
        <v>8959</v>
      </c>
      <c r="F286" s="12" t="s">
        <v>13</v>
      </c>
      <c r="G286" s="6">
        <v>718.72</v>
      </c>
      <c r="H286" s="1">
        <v>56.67</v>
      </c>
      <c r="J286" t="str">
        <f t="shared" si="48"/>
        <v>OK</v>
      </c>
      <c r="K286" t="str">
        <f t="shared" si="49"/>
        <v>OK</v>
      </c>
      <c r="L286">
        <f t="shared" si="58"/>
        <v>12</v>
      </c>
      <c r="M286">
        <f t="shared" si="50"/>
        <v>10</v>
      </c>
      <c r="N286" s="9" t="str">
        <f t="shared" si="59"/>
        <v>Valid</v>
      </c>
      <c r="O286" t="str">
        <f t="shared" si="51"/>
        <v>Include</v>
      </c>
      <c r="P286" s="9">
        <f t="shared" si="52"/>
        <v>2035068.5799999984</v>
      </c>
      <c r="Q286" s="15">
        <f t="shared" si="53"/>
        <v>7469725</v>
      </c>
      <c r="R286" s="9">
        <f t="shared" si="54"/>
        <v>8959</v>
      </c>
      <c r="S286" s="9">
        <f t="shared" si="55"/>
        <v>7469725</v>
      </c>
      <c r="T286" s="15">
        <f t="shared" si="56"/>
        <v>16.686436250344954</v>
      </c>
      <c r="U286" s="15">
        <f>IF(O286="Exclude",0,G286*Fuel_Price!$B$2)</f>
        <v>1055.9434240000001</v>
      </c>
      <c r="V286" s="15">
        <f t="shared" si="57"/>
        <v>2989922.7577359979</v>
      </c>
    </row>
    <row r="287" spans="1:22">
      <c r="A287" s="1" t="s">
        <v>640</v>
      </c>
      <c r="B287" s="1" t="s">
        <v>641</v>
      </c>
      <c r="C287" s="1" t="s">
        <v>11</v>
      </c>
      <c r="D287" s="1" t="s">
        <v>12</v>
      </c>
      <c r="E287" s="12">
        <v>10397</v>
      </c>
      <c r="F287" s="12" t="s">
        <v>13</v>
      </c>
      <c r="G287" s="6">
        <v>839.07</v>
      </c>
      <c r="H287" s="1">
        <v>56.33</v>
      </c>
      <c r="J287" t="str">
        <f t="shared" si="48"/>
        <v>OK</v>
      </c>
      <c r="K287" t="str">
        <f t="shared" si="49"/>
        <v>OK</v>
      </c>
      <c r="L287">
        <f t="shared" si="58"/>
        <v>12</v>
      </c>
      <c r="M287">
        <f t="shared" si="50"/>
        <v>10</v>
      </c>
      <c r="N287" s="9" t="str">
        <f t="shared" si="59"/>
        <v>Valid</v>
      </c>
      <c r="O287" t="str">
        <f t="shared" si="51"/>
        <v>Include</v>
      </c>
      <c r="P287" s="9">
        <f t="shared" si="52"/>
        <v>2035068.5799999984</v>
      </c>
      <c r="Q287" s="15">
        <f t="shared" si="53"/>
        <v>7469725</v>
      </c>
      <c r="R287" s="9">
        <f t="shared" si="54"/>
        <v>10397</v>
      </c>
      <c r="S287" s="9">
        <f t="shared" si="55"/>
        <v>7469725</v>
      </c>
      <c r="T287" s="15">
        <f t="shared" si="56"/>
        <v>16.686436250344954</v>
      </c>
      <c r="U287" s="15">
        <f>IF(O287="Exclude",0,G287*Fuel_Price!$B$2)</f>
        <v>1232.7616440000002</v>
      </c>
      <c r="V287" s="15">
        <f t="shared" si="57"/>
        <v>2989922.7577359979</v>
      </c>
    </row>
    <row r="288" spans="1:22">
      <c r="A288" s="1" t="s">
        <v>642</v>
      </c>
      <c r="B288" s="1" t="s">
        <v>643</v>
      </c>
      <c r="C288" s="1" t="s">
        <v>117</v>
      </c>
      <c r="D288" s="1" t="s">
        <v>12</v>
      </c>
      <c r="E288" s="12">
        <v>6635</v>
      </c>
      <c r="F288" s="12" t="s">
        <v>13</v>
      </c>
      <c r="G288" s="6">
        <v>548.87</v>
      </c>
      <c r="H288" s="1">
        <v>54.96</v>
      </c>
      <c r="J288" t="str">
        <f t="shared" si="48"/>
        <v>OK</v>
      </c>
      <c r="K288" t="str">
        <f t="shared" si="49"/>
        <v>OK</v>
      </c>
      <c r="L288">
        <f t="shared" si="58"/>
        <v>12</v>
      </c>
      <c r="M288">
        <f t="shared" si="50"/>
        <v>10</v>
      </c>
      <c r="N288" s="9" t="str">
        <f t="shared" si="59"/>
        <v>Valid</v>
      </c>
      <c r="O288" t="str">
        <f t="shared" si="51"/>
        <v>Include</v>
      </c>
      <c r="P288" s="9">
        <f t="shared" si="52"/>
        <v>2035068.5799999984</v>
      </c>
      <c r="Q288" s="15">
        <f t="shared" si="53"/>
        <v>7469725</v>
      </c>
      <c r="R288" s="9">
        <f t="shared" si="54"/>
        <v>6635</v>
      </c>
      <c r="S288" s="9">
        <f t="shared" si="55"/>
        <v>7469725</v>
      </c>
      <c r="T288" s="15">
        <f t="shared" si="56"/>
        <v>16.686436250344954</v>
      </c>
      <c r="U288" s="15">
        <f>IF(O288="Exclude",0,G288*Fuel_Price!$B$2)</f>
        <v>806.39980400000002</v>
      </c>
      <c r="V288" s="15">
        <f t="shared" si="57"/>
        <v>2989922.7577359979</v>
      </c>
    </row>
    <row r="289" spans="1:22">
      <c r="A289" s="1" t="s">
        <v>644</v>
      </c>
      <c r="B289" s="1" t="s">
        <v>645</v>
      </c>
      <c r="C289" s="1" t="s">
        <v>117</v>
      </c>
      <c r="D289" s="1" t="s">
        <v>12</v>
      </c>
      <c r="E289" s="12">
        <v>4589</v>
      </c>
      <c r="F289" s="12" t="s">
        <v>13</v>
      </c>
      <c r="G289" s="6">
        <v>333.19</v>
      </c>
      <c r="H289" s="1">
        <v>62.61</v>
      </c>
      <c r="J289" t="str">
        <f t="shared" si="48"/>
        <v>OK</v>
      </c>
      <c r="K289" t="str">
        <f t="shared" si="49"/>
        <v>OK</v>
      </c>
      <c r="L289">
        <f t="shared" si="58"/>
        <v>12</v>
      </c>
      <c r="M289">
        <f t="shared" si="50"/>
        <v>10</v>
      </c>
      <c r="N289" s="9" t="str">
        <f t="shared" si="59"/>
        <v>Valid</v>
      </c>
      <c r="O289" t="str">
        <f t="shared" si="51"/>
        <v>Include</v>
      </c>
      <c r="P289" s="9">
        <f t="shared" si="52"/>
        <v>2035068.5799999984</v>
      </c>
      <c r="Q289" s="15">
        <f t="shared" si="53"/>
        <v>7469725</v>
      </c>
      <c r="R289" s="9">
        <f t="shared" si="54"/>
        <v>4589</v>
      </c>
      <c r="S289" s="9">
        <f t="shared" si="55"/>
        <v>7469725</v>
      </c>
      <c r="T289" s="15">
        <f t="shared" si="56"/>
        <v>16.686436250344954</v>
      </c>
      <c r="U289" s="15">
        <f>IF(O289="Exclude",0,G289*Fuel_Price!$B$2)</f>
        <v>489.52274800000004</v>
      </c>
      <c r="V289" s="15">
        <f t="shared" si="57"/>
        <v>2989922.7577359979</v>
      </c>
    </row>
    <row r="290" spans="1:22">
      <c r="A290" s="1" t="s">
        <v>646</v>
      </c>
      <c r="B290" s="1" t="s">
        <v>647</v>
      </c>
      <c r="C290" s="1" t="s">
        <v>122</v>
      </c>
      <c r="D290" s="1" t="s">
        <v>12</v>
      </c>
      <c r="E290" s="12">
        <v>4934</v>
      </c>
      <c r="F290" s="12" t="s">
        <v>13</v>
      </c>
      <c r="G290" s="6">
        <v>379</v>
      </c>
      <c r="H290" s="1">
        <v>59.18</v>
      </c>
      <c r="J290" t="str">
        <f t="shared" si="48"/>
        <v>OK</v>
      </c>
      <c r="K290" t="str">
        <f t="shared" si="49"/>
        <v>OK</v>
      </c>
      <c r="L290">
        <f t="shared" si="58"/>
        <v>12</v>
      </c>
      <c r="M290">
        <f t="shared" si="50"/>
        <v>10</v>
      </c>
      <c r="N290" s="9" t="str">
        <f t="shared" si="59"/>
        <v>Valid</v>
      </c>
      <c r="O290" t="str">
        <f t="shared" si="51"/>
        <v>Include</v>
      </c>
      <c r="P290" s="9">
        <f t="shared" si="52"/>
        <v>2035068.5799999984</v>
      </c>
      <c r="Q290" s="15">
        <f t="shared" si="53"/>
        <v>7469725</v>
      </c>
      <c r="R290" s="9">
        <f t="shared" si="54"/>
        <v>4934</v>
      </c>
      <c r="S290" s="9">
        <f t="shared" si="55"/>
        <v>7469725</v>
      </c>
      <c r="T290" s="15">
        <f t="shared" si="56"/>
        <v>16.686436250344954</v>
      </c>
      <c r="U290" s="15">
        <f>IF(O290="Exclude",0,G290*Fuel_Price!$B$2)</f>
        <v>556.82680000000005</v>
      </c>
      <c r="V290" s="15">
        <f t="shared" si="57"/>
        <v>2989922.7577359979</v>
      </c>
    </row>
    <row r="291" spans="1:22">
      <c r="A291" s="1" t="s">
        <v>648</v>
      </c>
      <c r="B291" s="1" t="s">
        <v>649</v>
      </c>
      <c r="C291" s="1" t="s">
        <v>117</v>
      </c>
      <c r="D291" s="1" t="s">
        <v>12</v>
      </c>
      <c r="E291" s="12">
        <v>5944</v>
      </c>
      <c r="F291" s="12" t="s">
        <v>13</v>
      </c>
      <c r="G291" s="6">
        <v>558.53</v>
      </c>
      <c r="H291" s="1">
        <v>48.38</v>
      </c>
      <c r="J291" t="str">
        <f t="shared" si="48"/>
        <v>OK</v>
      </c>
      <c r="K291" t="str">
        <f t="shared" si="49"/>
        <v>OK</v>
      </c>
      <c r="L291">
        <f t="shared" si="58"/>
        <v>12</v>
      </c>
      <c r="M291">
        <f t="shared" si="50"/>
        <v>10</v>
      </c>
      <c r="N291" s="9" t="str">
        <f t="shared" si="59"/>
        <v>Valid</v>
      </c>
      <c r="O291" t="str">
        <f t="shared" si="51"/>
        <v>Include</v>
      </c>
      <c r="P291" s="9">
        <f t="shared" si="52"/>
        <v>2035068.5799999984</v>
      </c>
      <c r="Q291" s="15">
        <f t="shared" si="53"/>
        <v>7469725</v>
      </c>
      <c r="R291" s="9">
        <f t="shared" si="54"/>
        <v>5944</v>
      </c>
      <c r="S291" s="9">
        <f t="shared" si="55"/>
        <v>7469725</v>
      </c>
      <c r="T291" s="15">
        <f t="shared" si="56"/>
        <v>16.686436250344954</v>
      </c>
      <c r="U291" s="15">
        <f>IF(O291="Exclude",0,G291*Fuel_Price!$B$2)</f>
        <v>820.59227599999997</v>
      </c>
      <c r="V291" s="15">
        <f t="shared" si="57"/>
        <v>2989922.7577359979</v>
      </c>
    </row>
    <row r="292" spans="1:22">
      <c r="A292" s="1" t="s">
        <v>650</v>
      </c>
      <c r="B292" s="1" t="s">
        <v>651</v>
      </c>
      <c r="C292" s="1" t="s">
        <v>599</v>
      </c>
      <c r="D292" s="1" t="s">
        <v>12</v>
      </c>
      <c r="E292" s="12">
        <v>4629</v>
      </c>
      <c r="F292" s="12" t="s">
        <v>13</v>
      </c>
      <c r="G292" s="6">
        <v>403.55</v>
      </c>
      <c r="H292" s="1">
        <v>52.15</v>
      </c>
      <c r="J292" t="str">
        <f t="shared" si="48"/>
        <v>OK</v>
      </c>
      <c r="K292" t="str">
        <f t="shared" si="49"/>
        <v>OK</v>
      </c>
      <c r="L292">
        <f t="shared" si="58"/>
        <v>12</v>
      </c>
      <c r="M292">
        <f t="shared" si="50"/>
        <v>10</v>
      </c>
      <c r="N292" s="9" t="str">
        <f t="shared" si="59"/>
        <v>Valid</v>
      </c>
      <c r="O292" t="str">
        <f t="shared" si="51"/>
        <v>Include</v>
      </c>
      <c r="P292" s="9">
        <f t="shared" si="52"/>
        <v>2035068.5799999984</v>
      </c>
      <c r="Q292" s="15">
        <f t="shared" si="53"/>
        <v>7469725</v>
      </c>
      <c r="R292" s="9">
        <f t="shared" si="54"/>
        <v>4629</v>
      </c>
      <c r="S292" s="9">
        <f t="shared" si="55"/>
        <v>7469725</v>
      </c>
      <c r="T292" s="15">
        <f t="shared" si="56"/>
        <v>16.686436250344954</v>
      </c>
      <c r="U292" s="15">
        <f>IF(O292="Exclude",0,G292*Fuel_Price!$B$2)</f>
        <v>592.89566000000002</v>
      </c>
      <c r="V292" s="15">
        <f t="shared" si="57"/>
        <v>2989922.7577359979</v>
      </c>
    </row>
    <row r="293" spans="1:22">
      <c r="A293" s="1" t="s">
        <v>652</v>
      </c>
      <c r="B293" s="1" t="s">
        <v>653</v>
      </c>
      <c r="C293" s="1" t="s">
        <v>599</v>
      </c>
      <c r="D293" s="1" t="s">
        <v>12</v>
      </c>
      <c r="E293" s="12">
        <v>2669</v>
      </c>
      <c r="F293" s="12" t="s">
        <v>13</v>
      </c>
      <c r="G293" s="6">
        <v>241.2</v>
      </c>
      <c r="H293" s="1">
        <v>50.3</v>
      </c>
      <c r="J293" t="str">
        <f t="shared" si="48"/>
        <v>OK</v>
      </c>
      <c r="K293" t="str">
        <f t="shared" si="49"/>
        <v>OK</v>
      </c>
      <c r="L293">
        <f t="shared" si="58"/>
        <v>12</v>
      </c>
      <c r="M293">
        <f t="shared" si="50"/>
        <v>10</v>
      </c>
      <c r="N293" s="9" t="str">
        <f t="shared" si="59"/>
        <v>Valid</v>
      </c>
      <c r="O293" t="str">
        <f t="shared" si="51"/>
        <v>Include</v>
      </c>
      <c r="P293" s="9">
        <f t="shared" si="52"/>
        <v>2035068.5799999984</v>
      </c>
      <c r="Q293" s="15">
        <f t="shared" si="53"/>
        <v>7469725</v>
      </c>
      <c r="R293" s="9">
        <f t="shared" si="54"/>
        <v>2669</v>
      </c>
      <c r="S293" s="9">
        <f t="shared" si="55"/>
        <v>7469725</v>
      </c>
      <c r="T293" s="15">
        <f t="shared" si="56"/>
        <v>16.686436250344954</v>
      </c>
      <c r="U293" s="15">
        <f>IF(O293="Exclude",0,G293*Fuel_Price!$B$2)</f>
        <v>354.37103999999999</v>
      </c>
      <c r="V293" s="15">
        <f t="shared" si="57"/>
        <v>2989922.7577359979</v>
      </c>
    </row>
    <row r="294" spans="1:22">
      <c r="A294" s="1" t="s">
        <v>654</v>
      </c>
      <c r="B294" s="1" t="s">
        <v>655</v>
      </c>
      <c r="C294" s="1" t="s">
        <v>599</v>
      </c>
      <c r="D294" s="1" t="s">
        <v>12</v>
      </c>
      <c r="E294" s="12">
        <v>8563</v>
      </c>
      <c r="F294" s="12" t="s">
        <v>13</v>
      </c>
      <c r="G294" s="6">
        <v>808.2</v>
      </c>
      <c r="H294" s="1">
        <v>48.17</v>
      </c>
      <c r="J294" t="str">
        <f t="shared" si="48"/>
        <v>OK</v>
      </c>
      <c r="K294" t="str">
        <f t="shared" si="49"/>
        <v>OK</v>
      </c>
      <c r="L294">
        <f t="shared" si="58"/>
        <v>12</v>
      </c>
      <c r="M294">
        <f t="shared" si="50"/>
        <v>10</v>
      </c>
      <c r="N294" s="9" t="str">
        <f t="shared" si="59"/>
        <v>Valid</v>
      </c>
      <c r="O294" t="str">
        <f t="shared" si="51"/>
        <v>Include</v>
      </c>
      <c r="P294" s="9">
        <f t="shared" si="52"/>
        <v>2035068.5799999984</v>
      </c>
      <c r="Q294" s="15">
        <f t="shared" si="53"/>
        <v>7469725</v>
      </c>
      <c r="R294" s="9">
        <f t="shared" si="54"/>
        <v>8563</v>
      </c>
      <c r="S294" s="9">
        <f t="shared" si="55"/>
        <v>7469725</v>
      </c>
      <c r="T294" s="15">
        <f t="shared" si="56"/>
        <v>16.686436250344954</v>
      </c>
      <c r="U294" s="15">
        <f>IF(O294="Exclude",0,G294*Fuel_Price!$B$2)</f>
        <v>1187.4074400000002</v>
      </c>
      <c r="V294" s="15">
        <f t="shared" si="57"/>
        <v>2989922.7577359979</v>
      </c>
    </row>
    <row r="295" spans="1:22">
      <c r="A295" s="1" t="s">
        <v>656</v>
      </c>
      <c r="B295" s="1" t="s">
        <v>657</v>
      </c>
      <c r="C295" s="1" t="s">
        <v>599</v>
      </c>
      <c r="D295" s="1" t="s">
        <v>12</v>
      </c>
      <c r="E295" s="12">
        <v>7841</v>
      </c>
      <c r="F295" s="12" t="s">
        <v>13</v>
      </c>
      <c r="G295" s="6">
        <v>625.89</v>
      </c>
      <c r="H295" s="1">
        <v>56.95</v>
      </c>
      <c r="J295" t="str">
        <f t="shared" si="48"/>
        <v>OK</v>
      </c>
      <c r="K295" t="str">
        <f t="shared" si="49"/>
        <v>OK</v>
      </c>
      <c r="L295">
        <f t="shared" si="58"/>
        <v>12</v>
      </c>
      <c r="M295">
        <f t="shared" si="50"/>
        <v>10</v>
      </c>
      <c r="N295" s="9" t="str">
        <f t="shared" si="59"/>
        <v>Valid</v>
      </c>
      <c r="O295" t="str">
        <f t="shared" si="51"/>
        <v>Include</v>
      </c>
      <c r="P295" s="9">
        <f t="shared" si="52"/>
        <v>2035068.5799999984</v>
      </c>
      <c r="Q295" s="15">
        <f t="shared" si="53"/>
        <v>7469725</v>
      </c>
      <c r="R295" s="9">
        <f t="shared" si="54"/>
        <v>7841</v>
      </c>
      <c r="S295" s="9">
        <f t="shared" si="55"/>
        <v>7469725</v>
      </c>
      <c r="T295" s="15">
        <f t="shared" si="56"/>
        <v>16.686436250344954</v>
      </c>
      <c r="U295" s="15">
        <f>IF(O295="Exclude",0,G295*Fuel_Price!$B$2)</f>
        <v>919.55758800000001</v>
      </c>
      <c r="V295" s="15">
        <f t="shared" si="57"/>
        <v>2989922.7577359979</v>
      </c>
    </row>
    <row r="296" spans="1:22">
      <c r="A296" s="1" t="s">
        <v>658</v>
      </c>
      <c r="B296" s="1" t="s">
        <v>659</v>
      </c>
      <c r="C296" s="1" t="s">
        <v>660</v>
      </c>
      <c r="D296" s="1" t="s">
        <v>12</v>
      </c>
      <c r="E296" s="12">
        <v>5916</v>
      </c>
      <c r="F296" s="12" t="s">
        <v>13</v>
      </c>
      <c r="G296" s="6">
        <v>500.74</v>
      </c>
      <c r="H296" s="1">
        <v>53.71</v>
      </c>
      <c r="J296" t="str">
        <f t="shared" si="48"/>
        <v>OK</v>
      </c>
      <c r="K296" t="str">
        <f t="shared" si="49"/>
        <v>OK</v>
      </c>
      <c r="L296">
        <f t="shared" si="58"/>
        <v>12</v>
      </c>
      <c r="M296">
        <f t="shared" si="50"/>
        <v>10</v>
      </c>
      <c r="N296" s="9" t="str">
        <f t="shared" si="59"/>
        <v>Valid</v>
      </c>
      <c r="O296" t="str">
        <f t="shared" si="51"/>
        <v>Include</v>
      </c>
      <c r="P296" s="9">
        <f t="shared" si="52"/>
        <v>2035068.5799999984</v>
      </c>
      <c r="Q296" s="15">
        <f t="shared" si="53"/>
        <v>7469725</v>
      </c>
      <c r="R296" s="9">
        <f t="shared" si="54"/>
        <v>5916</v>
      </c>
      <c r="S296" s="9">
        <f t="shared" si="55"/>
        <v>7469725</v>
      </c>
      <c r="T296" s="15">
        <f t="shared" si="56"/>
        <v>16.686436250344954</v>
      </c>
      <c r="U296" s="15">
        <f>IF(O296="Exclude",0,G296*Fuel_Price!$B$2)</f>
        <v>735.68720800000006</v>
      </c>
      <c r="V296" s="15">
        <f t="shared" si="57"/>
        <v>2989922.7577359979</v>
      </c>
    </row>
    <row r="297" spans="1:22">
      <c r="A297" s="1" t="s">
        <v>661</v>
      </c>
      <c r="B297" s="1" t="s">
        <v>662</v>
      </c>
      <c r="C297" s="1" t="s">
        <v>122</v>
      </c>
      <c r="D297" s="1" t="s">
        <v>12</v>
      </c>
      <c r="E297" s="12">
        <v>5854</v>
      </c>
      <c r="F297" s="12" t="s">
        <v>13</v>
      </c>
      <c r="G297" s="6">
        <v>478.94</v>
      </c>
      <c r="H297" s="1">
        <v>55.57</v>
      </c>
      <c r="J297" t="str">
        <f t="shared" si="48"/>
        <v>OK</v>
      </c>
      <c r="K297" t="str">
        <f t="shared" si="49"/>
        <v>OK</v>
      </c>
      <c r="L297">
        <f t="shared" si="58"/>
        <v>12</v>
      </c>
      <c r="M297">
        <f t="shared" si="50"/>
        <v>10</v>
      </c>
      <c r="N297" s="9" t="str">
        <f t="shared" si="59"/>
        <v>Valid</v>
      </c>
      <c r="O297" t="str">
        <f t="shared" si="51"/>
        <v>Include</v>
      </c>
      <c r="P297" s="9">
        <f t="shared" si="52"/>
        <v>2035068.5799999984</v>
      </c>
      <c r="Q297" s="15">
        <f t="shared" si="53"/>
        <v>7469725</v>
      </c>
      <c r="R297" s="9">
        <f t="shared" si="54"/>
        <v>5854</v>
      </c>
      <c r="S297" s="9">
        <f t="shared" si="55"/>
        <v>7469725</v>
      </c>
      <c r="T297" s="15">
        <f t="shared" si="56"/>
        <v>16.686436250344954</v>
      </c>
      <c r="U297" s="15">
        <f>IF(O297="Exclude",0,G297*Fuel_Price!$B$2)</f>
        <v>703.65864799999997</v>
      </c>
      <c r="V297" s="15">
        <f t="shared" si="57"/>
        <v>2989922.7577359979</v>
      </c>
    </row>
    <row r="298" spans="1:22">
      <c r="A298" s="1" t="s">
        <v>663</v>
      </c>
      <c r="B298" s="1" t="s">
        <v>664</v>
      </c>
      <c r="C298" s="1" t="s">
        <v>117</v>
      </c>
      <c r="D298" s="1" t="s">
        <v>12</v>
      </c>
      <c r="E298" s="12">
        <v>9872</v>
      </c>
      <c r="F298" s="12" t="s">
        <v>13</v>
      </c>
      <c r="G298" s="6">
        <v>750.7</v>
      </c>
      <c r="H298" s="1">
        <v>59.78</v>
      </c>
      <c r="J298" t="str">
        <f t="shared" si="48"/>
        <v>OK</v>
      </c>
      <c r="K298" t="str">
        <f t="shared" si="49"/>
        <v>OK</v>
      </c>
      <c r="L298">
        <f t="shared" si="58"/>
        <v>12</v>
      </c>
      <c r="M298">
        <f t="shared" si="50"/>
        <v>10</v>
      </c>
      <c r="N298" s="9" t="str">
        <f t="shared" si="59"/>
        <v>Valid</v>
      </c>
      <c r="O298" t="str">
        <f t="shared" si="51"/>
        <v>Include</v>
      </c>
      <c r="P298" s="9">
        <f t="shared" si="52"/>
        <v>2035068.5799999984</v>
      </c>
      <c r="Q298" s="15">
        <f t="shared" si="53"/>
        <v>7469725</v>
      </c>
      <c r="R298" s="9">
        <f t="shared" si="54"/>
        <v>9872</v>
      </c>
      <c r="S298" s="9">
        <f t="shared" si="55"/>
        <v>7469725</v>
      </c>
      <c r="T298" s="15">
        <f t="shared" si="56"/>
        <v>16.686436250344954</v>
      </c>
      <c r="U298" s="15">
        <f>IF(O298="Exclude",0,G298*Fuel_Price!$B$2)</f>
        <v>1102.9284400000001</v>
      </c>
      <c r="V298" s="15">
        <f t="shared" si="57"/>
        <v>2989922.7577359979</v>
      </c>
    </row>
    <row r="299" spans="1:22">
      <c r="A299" s="1" t="s">
        <v>665</v>
      </c>
      <c r="B299" s="1" t="s">
        <v>666</v>
      </c>
      <c r="C299" s="1" t="s">
        <v>122</v>
      </c>
      <c r="D299" s="1" t="s">
        <v>12</v>
      </c>
      <c r="E299" s="12">
        <v>5112</v>
      </c>
      <c r="F299" s="12" t="s">
        <v>13</v>
      </c>
      <c r="G299" s="6">
        <v>421.3</v>
      </c>
      <c r="H299" s="1">
        <v>55.16</v>
      </c>
      <c r="J299" t="str">
        <f t="shared" si="48"/>
        <v>OK</v>
      </c>
      <c r="K299" t="str">
        <f t="shared" si="49"/>
        <v>OK</v>
      </c>
      <c r="L299">
        <f t="shared" si="58"/>
        <v>12</v>
      </c>
      <c r="M299">
        <f t="shared" si="50"/>
        <v>10</v>
      </c>
      <c r="N299" s="9" t="str">
        <f t="shared" si="59"/>
        <v>Valid</v>
      </c>
      <c r="O299" t="str">
        <f t="shared" si="51"/>
        <v>Include</v>
      </c>
      <c r="P299" s="9">
        <f t="shared" si="52"/>
        <v>2035068.5799999984</v>
      </c>
      <c r="Q299" s="15">
        <f t="shared" si="53"/>
        <v>7469725</v>
      </c>
      <c r="R299" s="9">
        <f t="shared" si="54"/>
        <v>5112</v>
      </c>
      <c r="S299" s="9">
        <f t="shared" si="55"/>
        <v>7469725</v>
      </c>
      <c r="T299" s="15">
        <f t="shared" si="56"/>
        <v>16.686436250344954</v>
      </c>
      <c r="U299" s="15">
        <f>IF(O299="Exclude",0,G299*Fuel_Price!$B$2)</f>
        <v>618.97396000000003</v>
      </c>
      <c r="V299" s="15">
        <f t="shared" si="57"/>
        <v>2989922.7577359979</v>
      </c>
    </row>
    <row r="300" spans="1:22">
      <c r="A300" s="1" t="s">
        <v>676</v>
      </c>
      <c r="B300" s="1" t="s">
        <v>677</v>
      </c>
      <c r="C300" s="1" t="s">
        <v>678</v>
      </c>
      <c r="D300" s="1" t="s">
        <v>12</v>
      </c>
      <c r="E300" s="12">
        <v>8726</v>
      </c>
      <c r="F300" s="12" t="s">
        <v>13</v>
      </c>
      <c r="G300" s="6">
        <v>851.6</v>
      </c>
      <c r="H300" s="1">
        <v>46.58</v>
      </c>
      <c r="J300" t="str">
        <f t="shared" si="48"/>
        <v>OK</v>
      </c>
      <c r="K300" t="str">
        <f t="shared" si="49"/>
        <v>OK</v>
      </c>
      <c r="L300">
        <f t="shared" si="58"/>
        <v>12</v>
      </c>
      <c r="M300">
        <f t="shared" si="50"/>
        <v>10</v>
      </c>
      <c r="N300" s="9" t="str">
        <f t="shared" si="59"/>
        <v>Valid</v>
      </c>
      <c r="O300" t="str">
        <f t="shared" si="51"/>
        <v>Include</v>
      </c>
      <c r="P300" s="9">
        <f t="shared" si="52"/>
        <v>2035068.5799999984</v>
      </c>
      <c r="Q300" s="15">
        <f t="shared" si="53"/>
        <v>7469725</v>
      </c>
      <c r="R300" s="9">
        <f t="shared" si="54"/>
        <v>8726</v>
      </c>
      <c r="S300" s="9">
        <f t="shared" si="55"/>
        <v>7469725</v>
      </c>
      <c r="T300" s="15">
        <f t="shared" si="56"/>
        <v>16.686436250344954</v>
      </c>
      <c r="U300" s="15">
        <f>IF(O300="Exclude",0,G300*Fuel_Price!$B$2)</f>
        <v>1251.1707200000001</v>
      </c>
      <c r="V300" s="15">
        <f t="shared" si="57"/>
        <v>2989922.7577359979</v>
      </c>
    </row>
    <row r="301" spans="1:22">
      <c r="A301" s="1" t="s">
        <v>679</v>
      </c>
      <c r="B301" s="1" t="s">
        <v>680</v>
      </c>
      <c r="C301" s="1" t="s">
        <v>681</v>
      </c>
      <c r="D301" s="1" t="s">
        <v>12</v>
      </c>
      <c r="E301" s="12">
        <v>660</v>
      </c>
      <c r="F301" s="12" t="s">
        <v>13</v>
      </c>
      <c r="G301" s="6">
        <v>3644.06</v>
      </c>
      <c r="H301" s="1">
        <v>0.82</v>
      </c>
      <c r="J301" t="str">
        <f t="shared" si="48"/>
        <v>OK</v>
      </c>
      <c r="K301" t="str">
        <f t="shared" si="49"/>
        <v>OK</v>
      </c>
      <c r="L301">
        <f t="shared" si="58"/>
        <v>12</v>
      </c>
      <c r="M301">
        <f t="shared" si="50"/>
        <v>10</v>
      </c>
      <c r="N301" s="9" t="str">
        <f t="shared" si="59"/>
        <v>Valid</v>
      </c>
      <c r="O301" t="str">
        <f t="shared" si="51"/>
        <v>Include</v>
      </c>
      <c r="P301" s="9">
        <f t="shared" si="52"/>
        <v>2035068.5799999984</v>
      </c>
      <c r="Q301" s="15">
        <f t="shared" si="53"/>
        <v>7469725</v>
      </c>
      <c r="R301" s="9">
        <f t="shared" si="54"/>
        <v>660</v>
      </c>
      <c r="S301" s="9">
        <f t="shared" si="55"/>
        <v>7469725</v>
      </c>
      <c r="T301" s="15">
        <f t="shared" si="56"/>
        <v>16.686436250344954</v>
      </c>
      <c r="U301" s="15">
        <f>IF(O301="Exclude",0,G301*Fuel_Price!$B$2)</f>
        <v>5353.8529520000002</v>
      </c>
      <c r="V301" s="15">
        <f t="shared" si="57"/>
        <v>2989922.7577359979</v>
      </c>
    </row>
    <row r="302" spans="1:22">
      <c r="A302" s="1" t="s">
        <v>682</v>
      </c>
      <c r="B302" s="1" t="s">
        <v>683</v>
      </c>
      <c r="C302" s="1" t="s">
        <v>678</v>
      </c>
      <c r="D302" s="1" t="s">
        <v>12</v>
      </c>
      <c r="E302" s="12">
        <v>2560</v>
      </c>
      <c r="F302" s="12" t="s">
        <v>13</v>
      </c>
      <c r="G302" s="6">
        <v>281.23</v>
      </c>
      <c r="H302" s="1">
        <v>41.38</v>
      </c>
      <c r="J302" t="str">
        <f t="shared" si="48"/>
        <v>OK</v>
      </c>
      <c r="K302" t="str">
        <f t="shared" si="49"/>
        <v>OK</v>
      </c>
      <c r="L302">
        <f t="shared" si="58"/>
        <v>12</v>
      </c>
      <c r="M302">
        <f t="shared" si="50"/>
        <v>10</v>
      </c>
      <c r="N302" s="9" t="str">
        <f t="shared" si="59"/>
        <v>Valid</v>
      </c>
      <c r="O302" t="str">
        <f t="shared" si="51"/>
        <v>Include</v>
      </c>
      <c r="P302" s="9">
        <f t="shared" si="52"/>
        <v>2035068.5799999984</v>
      </c>
      <c r="Q302" s="15">
        <f t="shared" si="53"/>
        <v>7469725</v>
      </c>
      <c r="R302" s="9">
        <f t="shared" si="54"/>
        <v>2560</v>
      </c>
      <c r="S302" s="9">
        <f t="shared" si="55"/>
        <v>7469725</v>
      </c>
      <c r="T302" s="15">
        <f t="shared" si="56"/>
        <v>16.686436250344954</v>
      </c>
      <c r="U302" s="15">
        <f>IF(O302="Exclude",0,G302*Fuel_Price!$B$2)</f>
        <v>413.18311600000004</v>
      </c>
      <c r="V302" s="15">
        <f t="shared" si="57"/>
        <v>2989922.7577359979</v>
      </c>
    </row>
    <row r="303" spans="1:22">
      <c r="A303" s="1" t="s">
        <v>684</v>
      </c>
      <c r="B303" s="1" t="s">
        <v>685</v>
      </c>
      <c r="C303" s="1" t="s">
        <v>678</v>
      </c>
      <c r="D303" s="1" t="s">
        <v>12</v>
      </c>
      <c r="E303" s="12">
        <v>341</v>
      </c>
      <c r="F303" s="12" t="s">
        <v>13</v>
      </c>
      <c r="G303" s="6">
        <v>82.88</v>
      </c>
      <c r="H303" s="1">
        <v>18.7</v>
      </c>
      <c r="J303" t="str">
        <f t="shared" si="48"/>
        <v>OK</v>
      </c>
      <c r="K303" t="str">
        <f t="shared" si="49"/>
        <v>OK</v>
      </c>
      <c r="L303">
        <f t="shared" si="58"/>
        <v>12</v>
      </c>
      <c r="M303">
        <f t="shared" si="50"/>
        <v>10</v>
      </c>
      <c r="N303" s="9" t="str">
        <f t="shared" si="59"/>
        <v>Valid</v>
      </c>
      <c r="O303" t="str">
        <f t="shared" si="51"/>
        <v>Include</v>
      </c>
      <c r="P303" s="9">
        <f t="shared" si="52"/>
        <v>2035068.5799999984</v>
      </c>
      <c r="Q303" s="15">
        <f t="shared" si="53"/>
        <v>7469725</v>
      </c>
      <c r="R303" s="9">
        <f t="shared" si="54"/>
        <v>341</v>
      </c>
      <c r="S303" s="9">
        <f t="shared" si="55"/>
        <v>7469725</v>
      </c>
      <c r="T303" s="15">
        <f t="shared" si="56"/>
        <v>16.686436250344954</v>
      </c>
      <c r="U303" s="15">
        <f>IF(O303="Exclude",0,G303*Fuel_Price!$B$2)</f>
        <v>121.767296</v>
      </c>
      <c r="V303" s="15">
        <f t="shared" si="57"/>
        <v>2989922.7577359979</v>
      </c>
    </row>
    <row r="304" spans="1:22">
      <c r="A304" s="1" t="s">
        <v>686</v>
      </c>
      <c r="B304" s="1" t="s">
        <v>687</v>
      </c>
      <c r="C304" s="1" t="s">
        <v>678</v>
      </c>
      <c r="D304" s="1" t="s">
        <v>12</v>
      </c>
      <c r="E304" s="12">
        <v>7044</v>
      </c>
      <c r="F304" s="12" t="s">
        <v>13</v>
      </c>
      <c r="G304" s="6">
        <v>779.07</v>
      </c>
      <c r="H304" s="1">
        <v>41.1</v>
      </c>
      <c r="J304" t="str">
        <f t="shared" si="48"/>
        <v>OK</v>
      </c>
      <c r="K304" t="str">
        <f t="shared" si="49"/>
        <v>OK</v>
      </c>
      <c r="L304">
        <f t="shared" si="58"/>
        <v>12</v>
      </c>
      <c r="M304">
        <f t="shared" si="50"/>
        <v>10</v>
      </c>
      <c r="N304" s="9" t="str">
        <f t="shared" si="59"/>
        <v>Valid</v>
      </c>
      <c r="O304" t="str">
        <f t="shared" si="51"/>
        <v>Include</v>
      </c>
      <c r="P304" s="9">
        <f t="shared" si="52"/>
        <v>2035068.5799999984</v>
      </c>
      <c r="Q304" s="15">
        <f t="shared" si="53"/>
        <v>7469725</v>
      </c>
      <c r="R304" s="9">
        <f t="shared" si="54"/>
        <v>7044</v>
      </c>
      <c r="S304" s="9">
        <f t="shared" si="55"/>
        <v>7469725</v>
      </c>
      <c r="T304" s="15">
        <f t="shared" si="56"/>
        <v>16.686436250344954</v>
      </c>
      <c r="U304" s="15">
        <f>IF(O304="Exclude",0,G304*Fuel_Price!$B$2)</f>
        <v>1144.6096440000001</v>
      </c>
      <c r="V304" s="15">
        <f t="shared" si="57"/>
        <v>2989922.7577359979</v>
      </c>
    </row>
    <row r="305" spans="1:22">
      <c r="A305" s="1" t="s">
        <v>688</v>
      </c>
      <c r="B305" s="1" t="s">
        <v>689</v>
      </c>
      <c r="C305" s="1" t="s">
        <v>678</v>
      </c>
      <c r="D305" s="1" t="s">
        <v>12</v>
      </c>
      <c r="E305" s="12">
        <v>1102</v>
      </c>
      <c r="F305" s="12" t="s">
        <v>13</v>
      </c>
      <c r="G305" s="6">
        <v>154.97</v>
      </c>
      <c r="H305" s="1">
        <v>32.33</v>
      </c>
      <c r="J305" t="str">
        <f t="shared" si="48"/>
        <v>OK</v>
      </c>
      <c r="K305" t="str">
        <f t="shared" si="49"/>
        <v>OK</v>
      </c>
      <c r="L305">
        <f t="shared" si="58"/>
        <v>12</v>
      </c>
      <c r="M305">
        <f t="shared" si="50"/>
        <v>10</v>
      </c>
      <c r="N305" s="9" t="str">
        <f t="shared" si="59"/>
        <v>Valid</v>
      </c>
      <c r="O305" t="str">
        <f t="shared" si="51"/>
        <v>Include</v>
      </c>
      <c r="P305" s="9">
        <f t="shared" si="52"/>
        <v>2035068.5799999984</v>
      </c>
      <c r="Q305" s="15">
        <f t="shared" si="53"/>
        <v>7469725</v>
      </c>
      <c r="R305" s="9">
        <f t="shared" si="54"/>
        <v>1102</v>
      </c>
      <c r="S305" s="9">
        <f t="shared" si="55"/>
        <v>7469725</v>
      </c>
      <c r="T305" s="15">
        <f t="shared" si="56"/>
        <v>16.686436250344954</v>
      </c>
      <c r="U305" s="15">
        <f>IF(O305="Exclude",0,G305*Fuel_Price!$B$2)</f>
        <v>227.68192400000001</v>
      </c>
      <c r="V305" s="15">
        <f t="shared" si="57"/>
        <v>2989922.7577359979</v>
      </c>
    </row>
    <row r="306" spans="1:22">
      <c r="A306" s="1" t="s">
        <v>690</v>
      </c>
      <c r="B306" s="1" t="s">
        <v>691</v>
      </c>
      <c r="C306" s="1" t="s">
        <v>692</v>
      </c>
      <c r="D306" s="1" t="s">
        <v>12</v>
      </c>
      <c r="E306" s="12">
        <v>5461</v>
      </c>
      <c r="F306" s="12" t="s">
        <v>13</v>
      </c>
      <c r="G306" s="6">
        <v>577.17999999999995</v>
      </c>
      <c r="H306" s="1">
        <v>43.01</v>
      </c>
      <c r="J306" t="str">
        <f t="shared" si="48"/>
        <v>OK</v>
      </c>
      <c r="K306" t="str">
        <f t="shared" si="49"/>
        <v>OK</v>
      </c>
      <c r="L306">
        <f t="shared" si="58"/>
        <v>12</v>
      </c>
      <c r="M306">
        <f t="shared" si="50"/>
        <v>10</v>
      </c>
      <c r="N306" s="9" t="str">
        <f t="shared" si="59"/>
        <v>Valid</v>
      </c>
      <c r="O306" t="str">
        <f t="shared" si="51"/>
        <v>Include</v>
      </c>
      <c r="P306" s="9">
        <f t="shared" si="52"/>
        <v>2035068.5799999984</v>
      </c>
      <c r="Q306" s="15">
        <f t="shared" si="53"/>
        <v>7469725</v>
      </c>
      <c r="R306" s="9">
        <f t="shared" si="54"/>
        <v>5461</v>
      </c>
      <c r="S306" s="9">
        <f t="shared" si="55"/>
        <v>7469725</v>
      </c>
      <c r="T306" s="15">
        <f t="shared" si="56"/>
        <v>16.686436250344954</v>
      </c>
      <c r="U306" s="15">
        <f>IF(O306="Exclude",0,G306*Fuel_Price!$B$2)</f>
        <v>847.99285599999996</v>
      </c>
      <c r="V306" s="15">
        <f t="shared" si="57"/>
        <v>2989922.7577359979</v>
      </c>
    </row>
    <row r="307" spans="1:22">
      <c r="A307" s="1" t="s">
        <v>696</v>
      </c>
      <c r="B307" s="1" t="s">
        <v>697</v>
      </c>
      <c r="C307" s="1" t="s">
        <v>698</v>
      </c>
      <c r="D307" s="1" t="s">
        <v>12</v>
      </c>
      <c r="E307" s="12">
        <v>8512</v>
      </c>
      <c r="F307" s="12" t="s">
        <v>13</v>
      </c>
      <c r="G307" s="6">
        <v>903.11</v>
      </c>
      <c r="H307" s="1">
        <v>42.85</v>
      </c>
      <c r="J307" t="str">
        <f t="shared" si="48"/>
        <v>OK</v>
      </c>
      <c r="K307" t="str">
        <f t="shared" si="49"/>
        <v>OK</v>
      </c>
      <c r="L307">
        <f t="shared" si="58"/>
        <v>12</v>
      </c>
      <c r="M307">
        <f t="shared" si="50"/>
        <v>10</v>
      </c>
      <c r="N307" s="9" t="str">
        <f t="shared" si="59"/>
        <v>Valid</v>
      </c>
      <c r="O307" t="str">
        <f t="shared" si="51"/>
        <v>Include</v>
      </c>
      <c r="P307" s="9">
        <f t="shared" si="52"/>
        <v>2035068.5799999984</v>
      </c>
      <c r="Q307" s="15">
        <f t="shared" si="53"/>
        <v>7469725</v>
      </c>
      <c r="R307" s="9">
        <f t="shared" si="54"/>
        <v>8512</v>
      </c>
      <c r="S307" s="9">
        <f t="shared" si="55"/>
        <v>7469725</v>
      </c>
      <c r="T307" s="15">
        <f t="shared" si="56"/>
        <v>16.686436250344954</v>
      </c>
      <c r="U307" s="15">
        <f>IF(O307="Exclude",0,G307*Fuel_Price!$B$2)</f>
        <v>1326.8492120000001</v>
      </c>
      <c r="V307" s="15">
        <f t="shared" si="57"/>
        <v>2989922.7577359979</v>
      </c>
    </row>
    <row r="308" spans="1:22">
      <c r="A308" s="1" t="s">
        <v>703</v>
      </c>
      <c r="B308" s="1" t="s">
        <v>704</v>
      </c>
      <c r="C308" s="1" t="s">
        <v>705</v>
      </c>
      <c r="D308" s="1" t="s">
        <v>12</v>
      </c>
      <c r="E308" s="12">
        <v>6070</v>
      </c>
      <c r="F308" s="12" t="s">
        <v>13</v>
      </c>
      <c r="G308" s="6">
        <v>753.46</v>
      </c>
      <c r="H308" s="1">
        <v>36.619999999999997</v>
      </c>
      <c r="J308" t="str">
        <f t="shared" si="48"/>
        <v>OK</v>
      </c>
      <c r="K308" t="str">
        <f t="shared" si="49"/>
        <v>OK</v>
      </c>
      <c r="L308">
        <f t="shared" si="58"/>
        <v>12</v>
      </c>
      <c r="M308">
        <f t="shared" si="50"/>
        <v>10</v>
      </c>
      <c r="N308" s="9" t="str">
        <f t="shared" si="59"/>
        <v>Valid</v>
      </c>
      <c r="O308" t="str">
        <f t="shared" si="51"/>
        <v>Include</v>
      </c>
      <c r="P308" s="9">
        <f t="shared" si="52"/>
        <v>2035068.5799999984</v>
      </c>
      <c r="Q308" s="15">
        <f t="shared" si="53"/>
        <v>7469725</v>
      </c>
      <c r="R308" s="9">
        <f t="shared" si="54"/>
        <v>6070</v>
      </c>
      <c r="S308" s="9">
        <f t="shared" si="55"/>
        <v>7469725</v>
      </c>
      <c r="T308" s="15">
        <f t="shared" si="56"/>
        <v>16.686436250344954</v>
      </c>
      <c r="U308" s="15">
        <f>IF(O308="Exclude",0,G308*Fuel_Price!$B$2)</f>
        <v>1106.983432</v>
      </c>
      <c r="V308" s="15">
        <f t="shared" si="57"/>
        <v>2989922.7577359979</v>
      </c>
    </row>
    <row r="309" spans="1:22">
      <c r="A309" s="1" t="s">
        <v>716</v>
      </c>
      <c r="B309" s="1" t="s">
        <v>717</v>
      </c>
      <c r="C309" s="1" t="s">
        <v>678</v>
      </c>
      <c r="D309" s="1" t="s">
        <v>12</v>
      </c>
      <c r="E309" s="12">
        <v>9660</v>
      </c>
      <c r="F309" s="12" t="s">
        <v>13</v>
      </c>
      <c r="G309" s="6">
        <v>1134.68</v>
      </c>
      <c r="H309" s="1">
        <v>38.700000000000003</v>
      </c>
      <c r="J309" t="str">
        <f t="shared" si="48"/>
        <v>OK</v>
      </c>
      <c r="K309" t="str">
        <f t="shared" si="49"/>
        <v>OK</v>
      </c>
      <c r="L309">
        <f t="shared" si="58"/>
        <v>12</v>
      </c>
      <c r="M309">
        <f t="shared" si="50"/>
        <v>10</v>
      </c>
      <c r="N309" s="9" t="str">
        <f t="shared" si="59"/>
        <v>Valid</v>
      </c>
      <c r="O309" t="str">
        <f t="shared" si="51"/>
        <v>Include</v>
      </c>
      <c r="P309" s="9">
        <f t="shared" si="52"/>
        <v>2035068.5799999984</v>
      </c>
      <c r="Q309" s="15">
        <f t="shared" si="53"/>
        <v>7469725</v>
      </c>
      <c r="R309" s="9">
        <f t="shared" si="54"/>
        <v>9660</v>
      </c>
      <c r="S309" s="9">
        <f t="shared" si="55"/>
        <v>7469725</v>
      </c>
      <c r="T309" s="15">
        <f t="shared" si="56"/>
        <v>16.686436250344954</v>
      </c>
      <c r="U309" s="15">
        <f>IF(O309="Exclude",0,G309*Fuel_Price!$B$2)</f>
        <v>1667.0718560000003</v>
      </c>
      <c r="V309" s="15">
        <f t="shared" si="57"/>
        <v>2989922.7577359979</v>
      </c>
    </row>
    <row r="310" spans="1:22">
      <c r="A310" s="1" t="s">
        <v>722</v>
      </c>
      <c r="B310" s="1" t="s">
        <v>723</v>
      </c>
      <c r="C310" s="1" t="s">
        <v>678</v>
      </c>
      <c r="D310" s="1" t="s">
        <v>12</v>
      </c>
      <c r="E310" s="12">
        <v>4142</v>
      </c>
      <c r="F310" s="12" t="s">
        <v>13</v>
      </c>
      <c r="G310" s="6">
        <v>503.92</v>
      </c>
      <c r="H310" s="1">
        <v>37.369999999999997</v>
      </c>
      <c r="J310" t="str">
        <f t="shared" si="48"/>
        <v>OK</v>
      </c>
      <c r="K310" t="str">
        <f t="shared" si="49"/>
        <v>OK</v>
      </c>
      <c r="L310">
        <f t="shared" si="58"/>
        <v>12</v>
      </c>
      <c r="M310">
        <f t="shared" si="50"/>
        <v>10</v>
      </c>
      <c r="N310" s="9" t="str">
        <f t="shared" si="59"/>
        <v>Valid</v>
      </c>
      <c r="O310" t="str">
        <f t="shared" si="51"/>
        <v>Include</v>
      </c>
      <c r="P310" s="9">
        <f t="shared" si="52"/>
        <v>2035068.5799999984</v>
      </c>
      <c r="Q310" s="15">
        <f t="shared" si="53"/>
        <v>7469725</v>
      </c>
      <c r="R310" s="9">
        <f t="shared" si="54"/>
        <v>4142</v>
      </c>
      <c r="S310" s="9">
        <f t="shared" si="55"/>
        <v>7469725</v>
      </c>
      <c r="T310" s="15">
        <f t="shared" si="56"/>
        <v>16.686436250344954</v>
      </c>
      <c r="U310" s="15">
        <f>IF(O310="Exclude",0,G310*Fuel_Price!$B$2)</f>
        <v>740.35926400000005</v>
      </c>
      <c r="V310" s="15">
        <f t="shared" si="57"/>
        <v>2989922.7577359979</v>
      </c>
    </row>
    <row r="311" spans="1:22">
      <c r="A311" s="1" t="s">
        <v>724</v>
      </c>
      <c r="B311" s="1" t="s">
        <v>725</v>
      </c>
      <c r="C311" s="1" t="s">
        <v>678</v>
      </c>
      <c r="D311" s="1" t="s">
        <v>12</v>
      </c>
      <c r="E311" s="12">
        <v>5661</v>
      </c>
      <c r="F311" s="12" t="s">
        <v>13</v>
      </c>
      <c r="G311" s="6">
        <v>624.41999999999996</v>
      </c>
      <c r="H311" s="1">
        <v>41.21</v>
      </c>
      <c r="J311" t="str">
        <f t="shared" si="48"/>
        <v>OK</v>
      </c>
      <c r="K311" t="str">
        <f t="shared" si="49"/>
        <v>OK</v>
      </c>
      <c r="L311">
        <f t="shared" si="58"/>
        <v>12</v>
      </c>
      <c r="M311">
        <f t="shared" si="50"/>
        <v>10</v>
      </c>
      <c r="N311" s="9" t="str">
        <f t="shared" si="59"/>
        <v>Valid</v>
      </c>
      <c r="O311" t="str">
        <f t="shared" si="51"/>
        <v>Include</v>
      </c>
      <c r="P311" s="9">
        <f t="shared" si="52"/>
        <v>2035068.5799999984</v>
      </c>
      <c r="Q311" s="15">
        <f t="shared" si="53"/>
        <v>7469725</v>
      </c>
      <c r="R311" s="9">
        <f t="shared" si="54"/>
        <v>5661</v>
      </c>
      <c r="S311" s="9">
        <f t="shared" si="55"/>
        <v>7469725</v>
      </c>
      <c r="T311" s="15">
        <f t="shared" si="56"/>
        <v>16.686436250344954</v>
      </c>
      <c r="U311" s="15">
        <f>IF(O311="Exclude",0,G311*Fuel_Price!$B$2)</f>
        <v>917.39786400000003</v>
      </c>
      <c r="V311" s="15">
        <f t="shared" si="57"/>
        <v>2989922.7577359979</v>
      </c>
    </row>
    <row r="312" spans="1:22">
      <c r="A312" s="1" t="s">
        <v>726</v>
      </c>
      <c r="B312" s="1" t="s">
        <v>727</v>
      </c>
      <c r="C312" s="1" t="s">
        <v>678</v>
      </c>
      <c r="D312" s="1" t="s">
        <v>12</v>
      </c>
      <c r="E312" s="12">
        <v>5750</v>
      </c>
      <c r="F312" s="12" t="s">
        <v>13</v>
      </c>
      <c r="G312" s="6">
        <v>749.13</v>
      </c>
      <c r="H312" s="1">
        <v>34.89</v>
      </c>
      <c r="J312" t="str">
        <f t="shared" si="48"/>
        <v>OK</v>
      </c>
      <c r="K312" t="str">
        <f t="shared" si="49"/>
        <v>OK</v>
      </c>
      <c r="L312">
        <f t="shared" si="58"/>
        <v>12</v>
      </c>
      <c r="M312">
        <f t="shared" si="50"/>
        <v>10</v>
      </c>
      <c r="N312" s="9" t="str">
        <f t="shared" si="59"/>
        <v>Valid</v>
      </c>
      <c r="O312" t="str">
        <f t="shared" si="51"/>
        <v>Include</v>
      </c>
      <c r="P312" s="9">
        <f t="shared" si="52"/>
        <v>2035068.5799999984</v>
      </c>
      <c r="Q312" s="15">
        <f t="shared" si="53"/>
        <v>7469725</v>
      </c>
      <c r="R312" s="9">
        <f t="shared" si="54"/>
        <v>5750</v>
      </c>
      <c r="S312" s="9">
        <f t="shared" si="55"/>
        <v>7469725</v>
      </c>
      <c r="T312" s="15">
        <f t="shared" si="56"/>
        <v>16.686436250344954</v>
      </c>
      <c r="U312" s="15">
        <f>IF(O312="Exclude",0,G312*Fuel_Price!$B$2)</f>
        <v>1100.6217960000001</v>
      </c>
      <c r="V312" s="15">
        <f t="shared" si="57"/>
        <v>2989922.7577359979</v>
      </c>
    </row>
    <row r="313" spans="1:22">
      <c r="A313" s="1" t="s">
        <v>728</v>
      </c>
      <c r="B313" s="1" t="s">
        <v>729</v>
      </c>
      <c r="C313" s="1" t="s">
        <v>678</v>
      </c>
      <c r="D313" s="1" t="s">
        <v>12</v>
      </c>
      <c r="E313" s="12">
        <v>3735</v>
      </c>
      <c r="F313" s="12" t="s">
        <v>13</v>
      </c>
      <c r="G313" s="6">
        <v>384.44</v>
      </c>
      <c r="H313" s="1">
        <v>44.17</v>
      </c>
      <c r="J313" t="str">
        <f t="shared" si="48"/>
        <v>OK</v>
      </c>
      <c r="K313" t="str">
        <f t="shared" si="49"/>
        <v>OK</v>
      </c>
      <c r="L313">
        <f t="shared" si="58"/>
        <v>12</v>
      </c>
      <c r="M313">
        <f t="shared" si="50"/>
        <v>10</v>
      </c>
      <c r="N313" s="9" t="str">
        <f t="shared" si="59"/>
        <v>Valid</v>
      </c>
      <c r="O313" t="str">
        <f t="shared" si="51"/>
        <v>Include</v>
      </c>
      <c r="P313" s="9">
        <f t="shared" si="52"/>
        <v>2035068.5799999984</v>
      </c>
      <c r="Q313" s="15">
        <f t="shared" si="53"/>
        <v>7469725</v>
      </c>
      <c r="R313" s="9">
        <f t="shared" si="54"/>
        <v>3735</v>
      </c>
      <c r="S313" s="9">
        <f t="shared" si="55"/>
        <v>7469725</v>
      </c>
      <c r="T313" s="15">
        <f t="shared" si="56"/>
        <v>16.686436250344954</v>
      </c>
      <c r="U313" s="15">
        <f>IF(O313="Exclude",0,G313*Fuel_Price!$B$2)</f>
        <v>564.81924800000002</v>
      </c>
      <c r="V313" s="15">
        <f t="shared" si="57"/>
        <v>2989922.7577359979</v>
      </c>
    </row>
    <row r="314" spans="1:22">
      <c r="A314" s="1" t="s">
        <v>730</v>
      </c>
      <c r="B314" s="1" t="s">
        <v>731</v>
      </c>
      <c r="C314" s="1" t="s">
        <v>678</v>
      </c>
      <c r="D314" s="1" t="s">
        <v>12</v>
      </c>
      <c r="E314" s="12">
        <v>12766</v>
      </c>
      <c r="F314" s="12" t="s">
        <v>13</v>
      </c>
      <c r="G314" s="6">
        <v>1253.1099999999999</v>
      </c>
      <c r="H314" s="1">
        <v>46.31</v>
      </c>
      <c r="J314" t="str">
        <f t="shared" si="48"/>
        <v>OK</v>
      </c>
      <c r="K314" t="str">
        <f t="shared" si="49"/>
        <v>OK</v>
      </c>
      <c r="L314">
        <f t="shared" si="58"/>
        <v>12</v>
      </c>
      <c r="M314">
        <f t="shared" si="50"/>
        <v>10</v>
      </c>
      <c r="N314" s="9" t="str">
        <f t="shared" si="59"/>
        <v>Valid</v>
      </c>
      <c r="O314" t="str">
        <f t="shared" si="51"/>
        <v>Include</v>
      </c>
      <c r="P314" s="9">
        <f t="shared" si="52"/>
        <v>2035068.5799999984</v>
      </c>
      <c r="Q314" s="15">
        <f t="shared" si="53"/>
        <v>7469725</v>
      </c>
      <c r="R314" s="9">
        <f t="shared" si="54"/>
        <v>12766</v>
      </c>
      <c r="S314" s="9">
        <f t="shared" si="55"/>
        <v>7469725</v>
      </c>
      <c r="T314" s="15">
        <f t="shared" si="56"/>
        <v>16.686436250344954</v>
      </c>
      <c r="U314" s="15">
        <f>IF(O314="Exclude",0,G314*Fuel_Price!$B$2)</f>
        <v>1841.0692119999999</v>
      </c>
      <c r="V314" s="15">
        <f t="shared" si="57"/>
        <v>2989922.7577359979</v>
      </c>
    </row>
    <row r="315" spans="1:22">
      <c r="A315" s="1" t="s">
        <v>732</v>
      </c>
      <c r="B315" s="1" t="s">
        <v>733</v>
      </c>
      <c r="C315" s="1" t="s">
        <v>734</v>
      </c>
      <c r="D315" s="1" t="s">
        <v>12</v>
      </c>
      <c r="E315" s="12">
        <v>4192</v>
      </c>
      <c r="F315" s="12" t="s">
        <v>13</v>
      </c>
      <c r="G315" s="6">
        <v>354.11</v>
      </c>
      <c r="H315" s="1">
        <v>53.82</v>
      </c>
      <c r="J315" t="str">
        <f t="shared" si="48"/>
        <v>OK</v>
      </c>
      <c r="K315" t="str">
        <f t="shared" si="49"/>
        <v>OK</v>
      </c>
      <c r="L315">
        <f t="shared" si="58"/>
        <v>12</v>
      </c>
      <c r="M315">
        <f t="shared" si="50"/>
        <v>10</v>
      </c>
      <c r="N315" s="9" t="str">
        <f t="shared" si="59"/>
        <v>Valid</v>
      </c>
      <c r="O315" t="str">
        <f t="shared" si="51"/>
        <v>Include</v>
      </c>
      <c r="P315" s="9">
        <f t="shared" si="52"/>
        <v>2035068.5799999984</v>
      </c>
      <c r="Q315" s="15">
        <f t="shared" si="53"/>
        <v>7469725</v>
      </c>
      <c r="R315" s="9">
        <f t="shared" si="54"/>
        <v>4192</v>
      </c>
      <c r="S315" s="9">
        <f t="shared" si="55"/>
        <v>7469725</v>
      </c>
      <c r="T315" s="15">
        <f t="shared" si="56"/>
        <v>16.686436250344954</v>
      </c>
      <c r="U315" s="15">
        <f>IF(O315="Exclude",0,G315*Fuel_Price!$B$2)</f>
        <v>520.25841200000002</v>
      </c>
      <c r="V315" s="15">
        <f t="shared" si="57"/>
        <v>2989922.7577359979</v>
      </c>
    </row>
    <row r="316" spans="1:22">
      <c r="A316" s="1" t="s">
        <v>735</v>
      </c>
      <c r="B316" s="1" t="s">
        <v>736</v>
      </c>
      <c r="C316" s="1" t="s">
        <v>737</v>
      </c>
      <c r="D316" s="1" t="s">
        <v>12</v>
      </c>
      <c r="E316" s="12">
        <v>10945</v>
      </c>
      <c r="F316" s="12" t="s">
        <v>13</v>
      </c>
      <c r="G316" s="6">
        <v>1027.08</v>
      </c>
      <c r="H316" s="1">
        <v>48.45</v>
      </c>
      <c r="J316" t="str">
        <f t="shared" si="48"/>
        <v>OK</v>
      </c>
      <c r="K316" t="str">
        <f t="shared" si="49"/>
        <v>OK</v>
      </c>
      <c r="L316">
        <f t="shared" si="58"/>
        <v>12</v>
      </c>
      <c r="M316">
        <f t="shared" si="50"/>
        <v>10</v>
      </c>
      <c r="N316" s="9" t="str">
        <f t="shared" si="59"/>
        <v>Valid</v>
      </c>
      <c r="O316" t="str">
        <f t="shared" si="51"/>
        <v>Include</v>
      </c>
      <c r="P316" s="9">
        <f t="shared" si="52"/>
        <v>2035068.5799999984</v>
      </c>
      <c r="Q316" s="15">
        <f t="shared" si="53"/>
        <v>7469725</v>
      </c>
      <c r="R316" s="9">
        <f t="shared" si="54"/>
        <v>10945</v>
      </c>
      <c r="S316" s="9">
        <f t="shared" si="55"/>
        <v>7469725</v>
      </c>
      <c r="T316" s="15">
        <f t="shared" si="56"/>
        <v>16.686436250344954</v>
      </c>
      <c r="U316" s="15">
        <f>IF(O316="Exclude",0,G316*Fuel_Price!$B$2)</f>
        <v>1508.985936</v>
      </c>
      <c r="V316" s="15">
        <f t="shared" si="57"/>
        <v>2989922.7577359979</v>
      </c>
    </row>
    <row r="317" spans="1:22">
      <c r="A317" s="1" t="s">
        <v>738</v>
      </c>
      <c r="B317" s="1" t="s">
        <v>739</v>
      </c>
      <c r="C317" s="1" t="s">
        <v>737</v>
      </c>
      <c r="D317" s="1" t="s">
        <v>12</v>
      </c>
      <c r="E317" s="12">
        <v>6800</v>
      </c>
      <c r="F317" s="12" t="s">
        <v>13</v>
      </c>
      <c r="G317" s="6">
        <v>595.39</v>
      </c>
      <c r="H317" s="1">
        <v>51.92</v>
      </c>
      <c r="J317" t="str">
        <f t="shared" si="48"/>
        <v>OK</v>
      </c>
      <c r="K317" t="str">
        <f t="shared" si="49"/>
        <v>OK</v>
      </c>
      <c r="L317">
        <f t="shared" si="58"/>
        <v>12</v>
      </c>
      <c r="M317">
        <f t="shared" si="50"/>
        <v>10</v>
      </c>
      <c r="N317" s="9" t="str">
        <f t="shared" si="59"/>
        <v>Valid</v>
      </c>
      <c r="O317" t="str">
        <f t="shared" si="51"/>
        <v>Include</v>
      </c>
      <c r="P317" s="9">
        <f t="shared" si="52"/>
        <v>2035068.5799999984</v>
      </c>
      <c r="Q317" s="15">
        <f t="shared" si="53"/>
        <v>7469725</v>
      </c>
      <c r="R317" s="9">
        <f t="shared" si="54"/>
        <v>6800</v>
      </c>
      <c r="S317" s="9">
        <f t="shared" si="55"/>
        <v>7469725</v>
      </c>
      <c r="T317" s="15">
        <f t="shared" si="56"/>
        <v>16.686436250344954</v>
      </c>
      <c r="U317" s="15">
        <f>IF(O317="Exclude",0,G317*Fuel_Price!$B$2)</f>
        <v>874.74698799999999</v>
      </c>
      <c r="V317" s="15">
        <f t="shared" si="57"/>
        <v>2989922.7577359979</v>
      </c>
    </row>
    <row r="318" spans="1:22">
      <c r="A318" s="1" t="s">
        <v>740</v>
      </c>
      <c r="B318" s="1" t="s">
        <v>741</v>
      </c>
      <c r="C318" s="1" t="s">
        <v>737</v>
      </c>
      <c r="D318" s="1" t="s">
        <v>12</v>
      </c>
      <c r="E318" s="12">
        <v>8918</v>
      </c>
      <c r="F318" s="12" t="s">
        <v>13</v>
      </c>
      <c r="G318" s="6">
        <v>819.82</v>
      </c>
      <c r="H318" s="1">
        <v>49.45</v>
      </c>
      <c r="J318" t="str">
        <f t="shared" si="48"/>
        <v>OK</v>
      </c>
      <c r="K318" t="str">
        <f t="shared" si="49"/>
        <v>OK</v>
      </c>
      <c r="L318">
        <f t="shared" si="58"/>
        <v>12</v>
      </c>
      <c r="M318">
        <f t="shared" si="50"/>
        <v>10</v>
      </c>
      <c r="N318" s="9" t="str">
        <f t="shared" si="59"/>
        <v>Valid</v>
      </c>
      <c r="O318" t="str">
        <f t="shared" si="51"/>
        <v>Include</v>
      </c>
      <c r="P318" s="9">
        <f t="shared" si="52"/>
        <v>2035068.5799999984</v>
      </c>
      <c r="Q318" s="15">
        <f t="shared" si="53"/>
        <v>7469725</v>
      </c>
      <c r="R318" s="9">
        <f t="shared" si="54"/>
        <v>8918</v>
      </c>
      <c r="S318" s="9">
        <f t="shared" si="55"/>
        <v>7469725</v>
      </c>
      <c r="T318" s="15">
        <f t="shared" si="56"/>
        <v>16.686436250344954</v>
      </c>
      <c r="U318" s="15">
        <f>IF(O318="Exclude",0,G318*Fuel_Price!$B$2)</f>
        <v>1204.479544</v>
      </c>
      <c r="V318" s="15">
        <f t="shared" si="57"/>
        <v>2989922.7577359979</v>
      </c>
    </row>
    <row r="319" spans="1:22">
      <c r="A319" s="1" t="s">
        <v>742</v>
      </c>
      <c r="B319" s="1" t="s">
        <v>743</v>
      </c>
      <c r="C319" s="1" t="s">
        <v>737</v>
      </c>
      <c r="D319" s="1" t="s">
        <v>12</v>
      </c>
      <c r="E319" s="12">
        <v>13437</v>
      </c>
      <c r="F319" s="12" t="s">
        <v>13</v>
      </c>
      <c r="G319" s="6">
        <v>1177.49</v>
      </c>
      <c r="H319" s="1">
        <v>51.88</v>
      </c>
      <c r="J319" t="str">
        <f t="shared" si="48"/>
        <v>OK</v>
      </c>
      <c r="K319" t="str">
        <f t="shared" si="49"/>
        <v>OK</v>
      </c>
      <c r="L319">
        <f t="shared" si="58"/>
        <v>12</v>
      </c>
      <c r="M319">
        <f t="shared" si="50"/>
        <v>10</v>
      </c>
      <c r="N319" s="9" t="str">
        <f t="shared" si="59"/>
        <v>Valid</v>
      </c>
      <c r="O319" t="str">
        <f t="shared" si="51"/>
        <v>Include</v>
      </c>
      <c r="P319" s="9">
        <f t="shared" si="52"/>
        <v>2035068.5799999984</v>
      </c>
      <c r="Q319" s="15">
        <f t="shared" si="53"/>
        <v>7469725</v>
      </c>
      <c r="R319" s="9">
        <f t="shared" si="54"/>
        <v>13437</v>
      </c>
      <c r="S319" s="9">
        <f t="shared" si="55"/>
        <v>7469725</v>
      </c>
      <c r="T319" s="15">
        <f t="shared" si="56"/>
        <v>16.686436250344954</v>
      </c>
      <c r="U319" s="15">
        <f>IF(O319="Exclude",0,G319*Fuel_Price!$B$2)</f>
        <v>1729.968308</v>
      </c>
      <c r="V319" s="15">
        <f t="shared" si="57"/>
        <v>2989922.7577359979</v>
      </c>
    </row>
    <row r="320" spans="1:22">
      <c r="A320" s="1" t="s">
        <v>744</v>
      </c>
      <c r="B320" s="1" t="s">
        <v>745</v>
      </c>
      <c r="C320" s="1" t="s">
        <v>737</v>
      </c>
      <c r="D320" s="1" t="s">
        <v>12</v>
      </c>
      <c r="E320" s="12">
        <v>6771</v>
      </c>
      <c r="F320" s="12" t="s">
        <v>13</v>
      </c>
      <c r="G320" s="6">
        <v>618.01</v>
      </c>
      <c r="H320" s="1">
        <v>49.81</v>
      </c>
      <c r="J320" t="str">
        <f t="shared" si="48"/>
        <v>OK</v>
      </c>
      <c r="K320" t="str">
        <f t="shared" si="49"/>
        <v>OK</v>
      </c>
      <c r="L320">
        <f t="shared" si="58"/>
        <v>12</v>
      </c>
      <c r="M320">
        <f t="shared" si="50"/>
        <v>10</v>
      </c>
      <c r="N320" s="9" t="str">
        <f t="shared" si="59"/>
        <v>Valid</v>
      </c>
      <c r="O320" t="str">
        <f t="shared" si="51"/>
        <v>Include</v>
      </c>
      <c r="P320" s="9">
        <f t="shared" si="52"/>
        <v>2035068.5799999984</v>
      </c>
      <c r="Q320" s="15">
        <f t="shared" si="53"/>
        <v>7469725</v>
      </c>
      <c r="R320" s="9">
        <f t="shared" si="54"/>
        <v>6771</v>
      </c>
      <c r="S320" s="9">
        <f t="shared" si="55"/>
        <v>7469725</v>
      </c>
      <c r="T320" s="15">
        <f t="shared" si="56"/>
        <v>16.686436250344954</v>
      </c>
      <c r="U320" s="15">
        <f>IF(O320="Exclude",0,G320*Fuel_Price!$B$2)</f>
        <v>907.98029200000008</v>
      </c>
      <c r="V320" s="15">
        <f t="shared" si="57"/>
        <v>2989922.7577359979</v>
      </c>
    </row>
    <row r="321" spans="1:22">
      <c r="A321" s="1" t="s">
        <v>746</v>
      </c>
      <c r="B321" s="1" t="s">
        <v>747</v>
      </c>
      <c r="C321" s="1" t="s">
        <v>737</v>
      </c>
      <c r="D321" s="1" t="s">
        <v>12</v>
      </c>
      <c r="E321" s="12">
        <v>15141</v>
      </c>
      <c r="F321" s="12" t="s">
        <v>13</v>
      </c>
      <c r="G321" s="6">
        <v>1308.04</v>
      </c>
      <c r="H321" s="1">
        <v>52.62</v>
      </c>
      <c r="J321" t="str">
        <f t="shared" si="48"/>
        <v>OK</v>
      </c>
      <c r="K321" t="str">
        <f t="shared" si="49"/>
        <v>OK</v>
      </c>
      <c r="L321">
        <f t="shared" si="58"/>
        <v>12</v>
      </c>
      <c r="M321">
        <f t="shared" si="50"/>
        <v>10</v>
      </c>
      <c r="N321" s="9" t="str">
        <f t="shared" si="59"/>
        <v>Valid</v>
      </c>
      <c r="O321" t="str">
        <f t="shared" si="51"/>
        <v>Include</v>
      </c>
      <c r="P321" s="9">
        <f t="shared" si="52"/>
        <v>2035068.5799999984</v>
      </c>
      <c r="Q321" s="15">
        <f t="shared" si="53"/>
        <v>7469725</v>
      </c>
      <c r="R321" s="9">
        <f t="shared" si="54"/>
        <v>15141</v>
      </c>
      <c r="S321" s="9">
        <f t="shared" si="55"/>
        <v>7469725</v>
      </c>
      <c r="T321" s="15">
        <f t="shared" si="56"/>
        <v>16.686436250344954</v>
      </c>
      <c r="U321" s="15">
        <f>IF(O321="Exclude",0,G321*Fuel_Price!$B$2)</f>
        <v>1921.7723679999999</v>
      </c>
      <c r="V321" s="15">
        <f t="shared" si="57"/>
        <v>2989922.7577359979</v>
      </c>
    </row>
    <row r="322" spans="1:22">
      <c r="A322" s="1" t="s">
        <v>748</v>
      </c>
      <c r="B322" s="1" t="s">
        <v>749</v>
      </c>
      <c r="C322" s="1" t="s">
        <v>750</v>
      </c>
      <c r="D322" s="1" t="s">
        <v>12</v>
      </c>
      <c r="E322" s="12">
        <v>7661</v>
      </c>
      <c r="F322" s="12" t="s">
        <v>13</v>
      </c>
      <c r="G322" s="6">
        <v>881.99</v>
      </c>
      <c r="H322" s="1">
        <v>39.49</v>
      </c>
      <c r="J322" t="str">
        <f t="shared" ref="J322:J385" si="60">IF(OR(H322&lt;=0,H322&gt;100),"Check","OK")</f>
        <v>OK</v>
      </c>
      <c r="K322" t="str">
        <f t="shared" ref="K322:K385" si="61">IF(E322&lt;0,"Check","OK")</f>
        <v>OK</v>
      </c>
      <c r="L322">
        <f t="shared" si="58"/>
        <v>12</v>
      </c>
      <c r="M322">
        <f t="shared" ref="M322:M385" si="62">COUNTIF(K:K,"Check")</f>
        <v>10</v>
      </c>
      <c r="N322" s="9" t="str">
        <f t="shared" si="59"/>
        <v>Valid</v>
      </c>
      <c r="O322" t="str">
        <f t="shared" ref="O322:O385" si="63">IF(N322="Review","Exclude","Include")</f>
        <v>Include</v>
      </c>
      <c r="P322" s="9">
        <f t="shared" ref="P322:P385" si="64">SUMIF(O:O,"Include",G:G)</f>
        <v>2035068.5799999984</v>
      </c>
      <c r="Q322" s="15">
        <f t="shared" ref="Q322:Q385" si="65">SUMIF(O:O,"Include",E:E)</f>
        <v>7469725</v>
      </c>
      <c r="R322" s="9">
        <f t="shared" ref="R322:R385" si="66">IF(O322="Exclude",0,E322)</f>
        <v>7661</v>
      </c>
      <c r="S322" s="9">
        <f t="shared" ref="S322:S385" si="67">SUM(R:R)</f>
        <v>7469725</v>
      </c>
      <c r="T322" s="15">
        <f t="shared" ref="T322:T385" si="68">S322/(P322/4.54609)</f>
        <v>16.686436250344954</v>
      </c>
      <c r="U322" s="15">
        <f>IF(O322="Exclude",0,G322*Fuel_Price!$B$2)</f>
        <v>1295.819708</v>
      </c>
      <c r="V322" s="15">
        <f t="shared" ref="V322:V385" si="69">SUM(U:U)</f>
        <v>2989922.7577359979</v>
      </c>
    </row>
    <row r="323" spans="1:22">
      <c r="A323" s="1" t="s">
        <v>751</v>
      </c>
      <c r="B323" s="1" t="s">
        <v>752</v>
      </c>
      <c r="C323" s="1" t="s">
        <v>678</v>
      </c>
      <c r="D323" s="1" t="s">
        <v>12</v>
      </c>
      <c r="E323" s="12">
        <v>10668</v>
      </c>
      <c r="F323" s="12" t="s">
        <v>13</v>
      </c>
      <c r="G323" s="6">
        <v>1047.68</v>
      </c>
      <c r="H323" s="1">
        <v>46.29</v>
      </c>
      <c r="J323" t="str">
        <f t="shared" si="60"/>
        <v>OK</v>
      </c>
      <c r="K323" t="str">
        <f t="shared" si="61"/>
        <v>OK</v>
      </c>
      <c r="L323">
        <f t="shared" ref="L323:L386" si="70">COUNTIF(J:J,"Check")</f>
        <v>12</v>
      </c>
      <c r="M323">
        <f t="shared" si="62"/>
        <v>10</v>
      </c>
      <c r="N323" s="9" t="str">
        <f t="shared" si="59"/>
        <v>Valid</v>
      </c>
      <c r="O323" t="str">
        <f t="shared" si="63"/>
        <v>Include</v>
      </c>
      <c r="P323" s="9">
        <f t="shared" si="64"/>
        <v>2035068.5799999984</v>
      </c>
      <c r="Q323" s="15">
        <f t="shared" si="65"/>
        <v>7469725</v>
      </c>
      <c r="R323" s="9">
        <f t="shared" si="66"/>
        <v>10668</v>
      </c>
      <c r="S323" s="9">
        <f t="shared" si="67"/>
        <v>7469725</v>
      </c>
      <c r="T323" s="15">
        <f t="shared" si="68"/>
        <v>16.686436250344954</v>
      </c>
      <c r="U323" s="15">
        <f>IF(O323="Exclude",0,G323*Fuel_Price!$B$2)</f>
        <v>1539.2514560000002</v>
      </c>
      <c r="V323" s="15">
        <f t="shared" si="69"/>
        <v>2989922.7577359979</v>
      </c>
    </row>
    <row r="324" spans="1:22">
      <c r="A324" s="1" t="s">
        <v>759</v>
      </c>
      <c r="B324" s="1" t="s">
        <v>760</v>
      </c>
      <c r="C324" s="1" t="s">
        <v>758</v>
      </c>
      <c r="D324" s="1" t="s">
        <v>12</v>
      </c>
      <c r="E324" s="12">
        <v>5885</v>
      </c>
      <c r="F324" s="12" t="s">
        <v>13</v>
      </c>
      <c r="G324" s="6">
        <v>827.88</v>
      </c>
      <c r="H324" s="1">
        <v>32.32</v>
      </c>
      <c r="J324" t="str">
        <f t="shared" si="60"/>
        <v>OK</v>
      </c>
      <c r="K324" t="str">
        <f t="shared" si="61"/>
        <v>OK</v>
      </c>
      <c r="L324">
        <f t="shared" si="70"/>
        <v>12</v>
      </c>
      <c r="M324">
        <f t="shared" si="62"/>
        <v>10</v>
      </c>
      <c r="N324" s="9" t="str">
        <f t="shared" si="59"/>
        <v>Valid</v>
      </c>
      <c r="O324" t="str">
        <f t="shared" si="63"/>
        <v>Include</v>
      </c>
      <c r="P324" s="9">
        <f t="shared" si="64"/>
        <v>2035068.5799999984</v>
      </c>
      <c r="Q324" s="15">
        <f t="shared" si="65"/>
        <v>7469725</v>
      </c>
      <c r="R324" s="9">
        <f t="shared" si="66"/>
        <v>5885</v>
      </c>
      <c r="S324" s="9">
        <f t="shared" si="67"/>
        <v>7469725</v>
      </c>
      <c r="T324" s="15">
        <f t="shared" si="68"/>
        <v>16.686436250344954</v>
      </c>
      <c r="U324" s="15">
        <f>IF(O324="Exclude",0,G324*Fuel_Price!$B$2)</f>
        <v>1216.3212960000001</v>
      </c>
      <c r="V324" s="15">
        <f t="shared" si="69"/>
        <v>2989922.7577359979</v>
      </c>
    </row>
    <row r="325" spans="1:22">
      <c r="A325" s="1" t="s">
        <v>761</v>
      </c>
      <c r="B325" s="1" t="s">
        <v>762</v>
      </c>
      <c r="C325" s="1" t="s">
        <v>678</v>
      </c>
      <c r="D325" s="1" t="s">
        <v>12</v>
      </c>
      <c r="E325" s="12">
        <v>2258</v>
      </c>
      <c r="F325" s="12" t="s">
        <v>13</v>
      </c>
      <c r="G325" s="6">
        <v>279.14</v>
      </c>
      <c r="H325" s="1">
        <v>36.770000000000003</v>
      </c>
      <c r="J325" t="str">
        <f t="shared" si="60"/>
        <v>OK</v>
      </c>
      <c r="K325" t="str">
        <f t="shared" si="61"/>
        <v>OK</v>
      </c>
      <c r="L325">
        <f t="shared" si="70"/>
        <v>12</v>
      </c>
      <c r="M325">
        <f t="shared" si="62"/>
        <v>10</v>
      </c>
      <c r="N325" s="9" t="str">
        <f t="shared" si="59"/>
        <v>Valid</v>
      </c>
      <c r="O325" t="str">
        <f t="shared" si="63"/>
        <v>Include</v>
      </c>
      <c r="P325" s="9">
        <f t="shared" si="64"/>
        <v>2035068.5799999984</v>
      </c>
      <c r="Q325" s="15">
        <f t="shared" si="65"/>
        <v>7469725</v>
      </c>
      <c r="R325" s="9">
        <f t="shared" si="66"/>
        <v>2258</v>
      </c>
      <c r="S325" s="9">
        <f t="shared" si="67"/>
        <v>7469725</v>
      </c>
      <c r="T325" s="15">
        <f t="shared" si="68"/>
        <v>16.686436250344954</v>
      </c>
      <c r="U325" s="15">
        <f>IF(O325="Exclude",0,G325*Fuel_Price!$B$2)</f>
        <v>410.11248799999998</v>
      </c>
      <c r="V325" s="15">
        <f t="shared" si="69"/>
        <v>2989922.7577359979</v>
      </c>
    </row>
    <row r="326" spans="1:22">
      <c r="A326" s="1" t="s">
        <v>763</v>
      </c>
      <c r="B326" s="1" t="s">
        <v>764</v>
      </c>
      <c r="C326" s="1" t="s">
        <v>678</v>
      </c>
      <c r="D326" s="1" t="s">
        <v>12</v>
      </c>
      <c r="E326" s="12">
        <v>4707</v>
      </c>
      <c r="F326" s="12" t="s">
        <v>13</v>
      </c>
      <c r="G326" s="6">
        <v>529.41999999999996</v>
      </c>
      <c r="H326" s="1">
        <v>40.42</v>
      </c>
      <c r="J326" t="str">
        <f t="shared" si="60"/>
        <v>OK</v>
      </c>
      <c r="K326" t="str">
        <f t="shared" si="61"/>
        <v>OK</v>
      </c>
      <c r="L326">
        <f t="shared" si="70"/>
        <v>12</v>
      </c>
      <c r="M326">
        <f t="shared" si="62"/>
        <v>10</v>
      </c>
      <c r="N326" s="9" t="str">
        <f t="shared" si="59"/>
        <v>Valid</v>
      </c>
      <c r="O326" t="str">
        <f t="shared" si="63"/>
        <v>Include</v>
      </c>
      <c r="P326" s="9">
        <f t="shared" si="64"/>
        <v>2035068.5799999984</v>
      </c>
      <c r="Q326" s="15">
        <f t="shared" si="65"/>
        <v>7469725</v>
      </c>
      <c r="R326" s="9">
        <f t="shared" si="66"/>
        <v>4707</v>
      </c>
      <c r="S326" s="9">
        <f t="shared" si="67"/>
        <v>7469725</v>
      </c>
      <c r="T326" s="15">
        <f t="shared" si="68"/>
        <v>16.686436250344954</v>
      </c>
      <c r="U326" s="15">
        <f>IF(O326="Exclude",0,G326*Fuel_Price!$B$2)</f>
        <v>777.82386399999996</v>
      </c>
      <c r="V326" s="15">
        <f t="shared" si="69"/>
        <v>2989922.7577359979</v>
      </c>
    </row>
    <row r="327" spans="1:22">
      <c r="A327" s="1" t="s">
        <v>765</v>
      </c>
      <c r="B327" s="1" t="s">
        <v>766</v>
      </c>
      <c r="C327" s="1" t="s">
        <v>678</v>
      </c>
      <c r="D327" s="1" t="s">
        <v>12</v>
      </c>
      <c r="E327" s="12">
        <v>12106</v>
      </c>
      <c r="F327" s="12" t="s">
        <v>13</v>
      </c>
      <c r="G327" s="6">
        <v>1209.67</v>
      </c>
      <c r="H327" s="1">
        <v>45.5</v>
      </c>
      <c r="J327" t="str">
        <f t="shared" si="60"/>
        <v>OK</v>
      </c>
      <c r="K327" t="str">
        <f t="shared" si="61"/>
        <v>OK</v>
      </c>
      <c r="L327">
        <f t="shared" si="70"/>
        <v>12</v>
      </c>
      <c r="M327">
        <f t="shared" si="62"/>
        <v>10</v>
      </c>
      <c r="N327" s="9" t="str">
        <f t="shared" ref="N327:N390" si="71">IF(OR(H327&lt;=0,H327&gt;100,E327&lt;0),"Review","Valid")</f>
        <v>Valid</v>
      </c>
      <c r="O327" t="str">
        <f t="shared" si="63"/>
        <v>Include</v>
      </c>
      <c r="P327" s="9">
        <f t="shared" si="64"/>
        <v>2035068.5799999984</v>
      </c>
      <c r="Q327" s="15">
        <f t="shared" si="65"/>
        <v>7469725</v>
      </c>
      <c r="R327" s="9">
        <f t="shared" si="66"/>
        <v>12106</v>
      </c>
      <c r="S327" s="9">
        <f t="shared" si="67"/>
        <v>7469725</v>
      </c>
      <c r="T327" s="15">
        <f t="shared" si="68"/>
        <v>16.686436250344954</v>
      </c>
      <c r="U327" s="15">
        <f>IF(O327="Exclude",0,G327*Fuel_Price!$B$2)</f>
        <v>1777.2471640000001</v>
      </c>
      <c r="V327" s="15">
        <f t="shared" si="69"/>
        <v>2989922.7577359979</v>
      </c>
    </row>
    <row r="328" spans="1:22">
      <c r="A328" s="1" t="s">
        <v>767</v>
      </c>
      <c r="B328" s="1" t="s">
        <v>768</v>
      </c>
      <c r="C328" s="1" t="s">
        <v>678</v>
      </c>
      <c r="D328" s="1" t="s">
        <v>12</v>
      </c>
      <c r="E328" s="12">
        <v>3419</v>
      </c>
      <c r="F328" s="12" t="s">
        <v>13</v>
      </c>
      <c r="G328" s="6">
        <v>368.16</v>
      </c>
      <c r="H328" s="1">
        <v>42.22</v>
      </c>
      <c r="J328" t="str">
        <f t="shared" si="60"/>
        <v>OK</v>
      </c>
      <c r="K328" t="str">
        <f t="shared" si="61"/>
        <v>OK</v>
      </c>
      <c r="L328">
        <f t="shared" si="70"/>
        <v>12</v>
      </c>
      <c r="M328">
        <f t="shared" si="62"/>
        <v>10</v>
      </c>
      <c r="N328" s="9" t="str">
        <f t="shared" si="71"/>
        <v>Valid</v>
      </c>
      <c r="O328" t="str">
        <f t="shared" si="63"/>
        <v>Include</v>
      </c>
      <c r="P328" s="9">
        <f t="shared" si="64"/>
        <v>2035068.5799999984</v>
      </c>
      <c r="Q328" s="15">
        <f t="shared" si="65"/>
        <v>7469725</v>
      </c>
      <c r="R328" s="9">
        <f t="shared" si="66"/>
        <v>3419</v>
      </c>
      <c r="S328" s="9">
        <f t="shared" si="67"/>
        <v>7469725</v>
      </c>
      <c r="T328" s="15">
        <f t="shared" si="68"/>
        <v>16.686436250344954</v>
      </c>
      <c r="U328" s="15">
        <f>IF(O328="Exclude",0,G328*Fuel_Price!$B$2)</f>
        <v>540.9006720000001</v>
      </c>
      <c r="V328" s="15">
        <f t="shared" si="69"/>
        <v>2989922.7577359979</v>
      </c>
    </row>
    <row r="329" spans="1:22">
      <c r="A329" s="1" t="s">
        <v>769</v>
      </c>
      <c r="B329" s="1" t="s">
        <v>770</v>
      </c>
      <c r="C329" s="1" t="s">
        <v>678</v>
      </c>
      <c r="D329" s="1" t="s">
        <v>12</v>
      </c>
      <c r="E329" s="12">
        <v>9146</v>
      </c>
      <c r="F329" s="12" t="s">
        <v>13</v>
      </c>
      <c r="G329" s="6">
        <v>865.9</v>
      </c>
      <c r="H329" s="1">
        <v>48.02</v>
      </c>
      <c r="J329" t="str">
        <f t="shared" si="60"/>
        <v>OK</v>
      </c>
      <c r="K329" t="str">
        <f t="shared" si="61"/>
        <v>OK</v>
      </c>
      <c r="L329">
        <f t="shared" si="70"/>
        <v>12</v>
      </c>
      <c r="M329">
        <f t="shared" si="62"/>
        <v>10</v>
      </c>
      <c r="N329" s="9" t="str">
        <f t="shared" si="71"/>
        <v>Valid</v>
      </c>
      <c r="O329" t="str">
        <f t="shared" si="63"/>
        <v>Include</v>
      </c>
      <c r="P329" s="9">
        <f t="shared" si="64"/>
        <v>2035068.5799999984</v>
      </c>
      <c r="Q329" s="15">
        <f t="shared" si="65"/>
        <v>7469725</v>
      </c>
      <c r="R329" s="9">
        <f t="shared" si="66"/>
        <v>9146</v>
      </c>
      <c r="S329" s="9">
        <f t="shared" si="67"/>
        <v>7469725</v>
      </c>
      <c r="T329" s="15">
        <f t="shared" si="68"/>
        <v>16.686436250344954</v>
      </c>
      <c r="U329" s="15">
        <f>IF(O329="Exclude",0,G329*Fuel_Price!$B$2)</f>
        <v>1272.18028</v>
      </c>
      <c r="V329" s="15">
        <f t="shared" si="69"/>
        <v>2989922.7577359979</v>
      </c>
    </row>
    <row r="330" spans="1:22">
      <c r="A330" s="1" t="s">
        <v>771</v>
      </c>
      <c r="B330" s="1" t="s">
        <v>772</v>
      </c>
      <c r="C330" s="1" t="s">
        <v>678</v>
      </c>
      <c r="D330" s="1" t="s">
        <v>12</v>
      </c>
      <c r="E330" s="12">
        <v>6272</v>
      </c>
      <c r="F330" s="12" t="s">
        <v>13</v>
      </c>
      <c r="G330" s="6">
        <v>794.97</v>
      </c>
      <c r="H330" s="1">
        <v>35.869999999999997</v>
      </c>
      <c r="J330" t="str">
        <f t="shared" si="60"/>
        <v>OK</v>
      </c>
      <c r="K330" t="str">
        <f t="shared" si="61"/>
        <v>OK</v>
      </c>
      <c r="L330">
        <f t="shared" si="70"/>
        <v>12</v>
      </c>
      <c r="M330">
        <f t="shared" si="62"/>
        <v>10</v>
      </c>
      <c r="N330" s="9" t="str">
        <f t="shared" si="71"/>
        <v>Valid</v>
      </c>
      <c r="O330" t="str">
        <f t="shared" si="63"/>
        <v>Include</v>
      </c>
      <c r="P330" s="9">
        <f t="shared" si="64"/>
        <v>2035068.5799999984</v>
      </c>
      <c r="Q330" s="15">
        <f t="shared" si="65"/>
        <v>7469725</v>
      </c>
      <c r="R330" s="9">
        <f t="shared" si="66"/>
        <v>6272</v>
      </c>
      <c r="S330" s="9">
        <f t="shared" si="67"/>
        <v>7469725</v>
      </c>
      <c r="T330" s="15">
        <f t="shared" si="68"/>
        <v>16.686436250344954</v>
      </c>
      <c r="U330" s="15">
        <f>IF(O330="Exclude",0,G330*Fuel_Price!$B$2)</f>
        <v>1167.969924</v>
      </c>
      <c r="V330" s="15">
        <f t="shared" si="69"/>
        <v>2989922.7577359979</v>
      </c>
    </row>
    <row r="331" spans="1:22">
      <c r="A331" s="1" t="s">
        <v>773</v>
      </c>
      <c r="B331" s="1" t="s">
        <v>774</v>
      </c>
      <c r="C331" s="1" t="s">
        <v>678</v>
      </c>
      <c r="D331" s="1" t="s">
        <v>12</v>
      </c>
      <c r="E331" s="12">
        <v>9289</v>
      </c>
      <c r="F331" s="12" t="s">
        <v>13</v>
      </c>
      <c r="G331" s="6">
        <v>1020.84</v>
      </c>
      <c r="H331" s="1">
        <v>41.37</v>
      </c>
      <c r="J331" t="str">
        <f t="shared" si="60"/>
        <v>OK</v>
      </c>
      <c r="K331" t="str">
        <f t="shared" si="61"/>
        <v>OK</v>
      </c>
      <c r="L331">
        <f t="shared" si="70"/>
        <v>12</v>
      </c>
      <c r="M331">
        <f t="shared" si="62"/>
        <v>10</v>
      </c>
      <c r="N331" s="9" t="str">
        <f t="shared" si="71"/>
        <v>Valid</v>
      </c>
      <c r="O331" t="str">
        <f t="shared" si="63"/>
        <v>Include</v>
      </c>
      <c r="P331" s="9">
        <f t="shared" si="64"/>
        <v>2035068.5799999984</v>
      </c>
      <c r="Q331" s="15">
        <f t="shared" si="65"/>
        <v>7469725</v>
      </c>
      <c r="R331" s="9">
        <f t="shared" si="66"/>
        <v>9289</v>
      </c>
      <c r="S331" s="9">
        <f t="shared" si="67"/>
        <v>7469725</v>
      </c>
      <c r="T331" s="15">
        <f t="shared" si="68"/>
        <v>16.686436250344954</v>
      </c>
      <c r="U331" s="15">
        <f>IF(O331="Exclude",0,G331*Fuel_Price!$B$2)</f>
        <v>1499.8181280000001</v>
      </c>
      <c r="V331" s="15">
        <f t="shared" si="69"/>
        <v>2989922.7577359979</v>
      </c>
    </row>
    <row r="332" spans="1:22">
      <c r="A332" s="1" t="s">
        <v>775</v>
      </c>
      <c r="B332" s="1" t="s">
        <v>776</v>
      </c>
      <c r="C332" s="1" t="s">
        <v>678</v>
      </c>
      <c r="D332" s="1" t="s">
        <v>12</v>
      </c>
      <c r="E332" s="12">
        <v>6762</v>
      </c>
      <c r="F332" s="12" t="s">
        <v>13</v>
      </c>
      <c r="G332" s="6">
        <v>796.42</v>
      </c>
      <c r="H332" s="1">
        <v>38.6</v>
      </c>
      <c r="J332" t="str">
        <f t="shared" si="60"/>
        <v>OK</v>
      </c>
      <c r="K332" t="str">
        <f t="shared" si="61"/>
        <v>OK</v>
      </c>
      <c r="L332">
        <f t="shared" si="70"/>
        <v>12</v>
      </c>
      <c r="M332">
        <f t="shared" si="62"/>
        <v>10</v>
      </c>
      <c r="N332" s="9" t="str">
        <f t="shared" si="71"/>
        <v>Valid</v>
      </c>
      <c r="O332" t="str">
        <f t="shared" si="63"/>
        <v>Include</v>
      </c>
      <c r="P332" s="9">
        <f t="shared" si="64"/>
        <v>2035068.5799999984</v>
      </c>
      <c r="Q332" s="15">
        <f t="shared" si="65"/>
        <v>7469725</v>
      </c>
      <c r="R332" s="9">
        <f t="shared" si="66"/>
        <v>6762</v>
      </c>
      <c r="S332" s="9">
        <f t="shared" si="67"/>
        <v>7469725</v>
      </c>
      <c r="T332" s="15">
        <f t="shared" si="68"/>
        <v>16.686436250344954</v>
      </c>
      <c r="U332" s="15">
        <f>IF(O332="Exclude",0,G332*Fuel_Price!$B$2)</f>
        <v>1170.1002639999999</v>
      </c>
      <c r="V332" s="15">
        <f t="shared" si="69"/>
        <v>2989922.7577359979</v>
      </c>
    </row>
    <row r="333" spans="1:22">
      <c r="A333" s="1" t="s">
        <v>777</v>
      </c>
      <c r="B333" s="1" t="s">
        <v>778</v>
      </c>
      <c r="C333" s="1" t="s">
        <v>678</v>
      </c>
      <c r="D333" s="1" t="s">
        <v>12</v>
      </c>
      <c r="E333" s="12">
        <v>7901</v>
      </c>
      <c r="F333" s="12" t="s">
        <v>13</v>
      </c>
      <c r="G333" s="6">
        <v>810.39</v>
      </c>
      <c r="H333" s="1">
        <v>44.32</v>
      </c>
      <c r="J333" t="str">
        <f t="shared" si="60"/>
        <v>OK</v>
      </c>
      <c r="K333" t="str">
        <f t="shared" si="61"/>
        <v>OK</v>
      </c>
      <c r="L333">
        <f t="shared" si="70"/>
        <v>12</v>
      </c>
      <c r="M333">
        <f t="shared" si="62"/>
        <v>10</v>
      </c>
      <c r="N333" s="9" t="str">
        <f t="shared" si="71"/>
        <v>Valid</v>
      </c>
      <c r="O333" t="str">
        <f t="shared" si="63"/>
        <v>Include</v>
      </c>
      <c r="P333" s="9">
        <f t="shared" si="64"/>
        <v>2035068.5799999984</v>
      </c>
      <c r="Q333" s="15">
        <f t="shared" si="65"/>
        <v>7469725</v>
      </c>
      <c r="R333" s="9">
        <f t="shared" si="66"/>
        <v>7901</v>
      </c>
      <c r="S333" s="9">
        <f t="shared" si="67"/>
        <v>7469725</v>
      </c>
      <c r="T333" s="15">
        <f t="shared" si="68"/>
        <v>16.686436250344954</v>
      </c>
      <c r="U333" s="15">
        <f>IF(O333="Exclude",0,G333*Fuel_Price!$B$2)</f>
        <v>1190.624988</v>
      </c>
      <c r="V333" s="15">
        <f t="shared" si="69"/>
        <v>2989922.7577359979</v>
      </c>
    </row>
    <row r="334" spans="1:22">
      <c r="A334" s="1" t="s">
        <v>779</v>
      </c>
      <c r="B334" s="1" t="s">
        <v>780</v>
      </c>
      <c r="C334" s="1" t="s">
        <v>678</v>
      </c>
      <c r="D334" s="1" t="s">
        <v>12</v>
      </c>
      <c r="E334" s="12">
        <v>3541</v>
      </c>
      <c r="F334" s="12" t="s">
        <v>13</v>
      </c>
      <c r="G334" s="6">
        <v>419.67</v>
      </c>
      <c r="H334" s="1">
        <v>38.36</v>
      </c>
      <c r="J334" t="str">
        <f t="shared" si="60"/>
        <v>OK</v>
      </c>
      <c r="K334" t="str">
        <f t="shared" si="61"/>
        <v>OK</v>
      </c>
      <c r="L334">
        <f t="shared" si="70"/>
        <v>12</v>
      </c>
      <c r="M334">
        <f t="shared" si="62"/>
        <v>10</v>
      </c>
      <c r="N334" s="9" t="str">
        <f t="shared" si="71"/>
        <v>Valid</v>
      </c>
      <c r="O334" t="str">
        <f t="shared" si="63"/>
        <v>Include</v>
      </c>
      <c r="P334" s="9">
        <f t="shared" si="64"/>
        <v>2035068.5799999984</v>
      </c>
      <c r="Q334" s="15">
        <f t="shared" si="65"/>
        <v>7469725</v>
      </c>
      <c r="R334" s="9">
        <f t="shared" si="66"/>
        <v>3541</v>
      </c>
      <c r="S334" s="9">
        <f t="shared" si="67"/>
        <v>7469725</v>
      </c>
      <c r="T334" s="15">
        <f t="shared" si="68"/>
        <v>16.686436250344954</v>
      </c>
      <c r="U334" s="15">
        <f>IF(O334="Exclude",0,G334*Fuel_Price!$B$2)</f>
        <v>616.57916400000011</v>
      </c>
      <c r="V334" s="15">
        <f t="shared" si="69"/>
        <v>2989922.7577359979</v>
      </c>
    </row>
    <row r="335" spans="1:22">
      <c r="A335" s="1" t="s">
        <v>781</v>
      </c>
      <c r="B335" s="1" t="s">
        <v>782</v>
      </c>
      <c r="C335" s="1" t="s">
        <v>678</v>
      </c>
      <c r="D335" s="1" t="s">
        <v>12</v>
      </c>
      <c r="E335" s="12">
        <v>1307</v>
      </c>
      <c r="F335" s="12" t="s">
        <v>13</v>
      </c>
      <c r="G335" s="6">
        <v>188.48</v>
      </c>
      <c r="H335" s="1">
        <v>31.52</v>
      </c>
      <c r="J335" t="str">
        <f t="shared" si="60"/>
        <v>OK</v>
      </c>
      <c r="K335" t="str">
        <f t="shared" si="61"/>
        <v>OK</v>
      </c>
      <c r="L335">
        <f t="shared" si="70"/>
        <v>12</v>
      </c>
      <c r="M335">
        <f t="shared" si="62"/>
        <v>10</v>
      </c>
      <c r="N335" s="9" t="str">
        <f t="shared" si="71"/>
        <v>Valid</v>
      </c>
      <c r="O335" t="str">
        <f t="shared" si="63"/>
        <v>Include</v>
      </c>
      <c r="P335" s="9">
        <f t="shared" si="64"/>
        <v>2035068.5799999984</v>
      </c>
      <c r="Q335" s="15">
        <f t="shared" si="65"/>
        <v>7469725</v>
      </c>
      <c r="R335" s="9">
        <f t="shared" si="66"/>
        <v>1307</v>
      </c>
      <c r="S335" s="9">
        <f t="shared" si="67"/>
        <v>7469725</v>
      </c>
      <c r="T335" s="15">
        <f t="shared" si="68"/>
        <v>16.686436250344954</v>
      </c>
      <c r="U335" s="15">
        <f>IF(O335="Exclude",0,G335*Fuel_Price!$B$2)</f>
        <v>276.91481599999997</v>
      </c>
      <c r="V335" s="15">
        <f t="shared" si="69"/>
        <v>2989922.7577359979</v>
      </c>
    </row>
    <row r="336" spans="1:22">
      <c r="A336" s="1" t="s">
        <v>783</v>
      </c>
      <c r="B336" s="1" t="s">
        <v>784</v>
      </c>
      <c r="C336" s="1" t="s">
        <v>678</v>
      </c>
      <c r="D336" s="1" t="s">
        <v>12</v>
      </c>
      <c r="E336" s="12">
        <v>4881</v>
      </c>
      <c r="F336" s="12" t="s">
        <v>13</v>
      </c>
      <c r="G336" s="6">
        <v>489.86</v>
      </c>
      <c r="H336" s="1">
        <v>45.3</v>
      </c>
      <c r="J336" t="str">
        <f t="shared" si="60"/>
        <v>OK</v>
      </c>
      <c r="K336" t="str">
        <f t="shared" si="61"/>
        <v>OK</v>
      </c>
      <c r="L336">
        <f t="shared" si="70"/>
        <v>12</v>
      </c>
      <c r="M336">
        <f t="shared" si="62"/>
        <v>10</v>
      </c>
      <c r="N336" s="9" t="str">
        <f t="shared" si="71"/>
        <v>Valid</v>
      </c>
      <c r="O336" t="str">
        <f t="shared" si="63"/>
        <v>Include</v>
      </c>
      <c r="P336" s="9">
        <f t="shared" si="64"/>
        <v>2035068.5799999984</v>
      </c>
      <c r="Q336" s="15">
        <f t="shared" si="65"/>
        <v>7469725</v>
      </c>
      <c r="R336" s="9">
        <f t="shared" si="66"/>
        <v>4881</v>
      </c>
      <c r="S336" s="9">
        <f t="shared" si="67"/>
        <v>7469725</v>
      </c>
      <c r="T336" s="15">
        <f t="shared" si="68"/>
        <v>16.686436250344954</v>
      </c>
      <c r="U336" s="15">
        <f>IF(O336="Exclude",0,G336*Fuel_Price!$B$2)</f>
        <v>719.70231200000001</v>
      </c>
      <c r="V336" s="15">
        <f t="shared" si="69"/>
        <v>2989922.7577359979</v>
      </c>
    </row>
    <row r="337" spans="1:22">
      <c r="A337" s="1" t="s">
        <v>785</v>
      </c>
      <c r="B337" s="1" t="s">
        <v>786</v>
      </c>
      <c r="C337" s="1" t="s">
        <v>678</v>
      </c>
      <c r="D337" s="1" t="s">
        <v>12</v>
      </c>
      <c r="E337" s="12">
        <v>9264</v>
      </c>
      <c r="F337" s="12" t="s">
        <v>13</v>
      </c>
      <c r="G337" s="6">
        <v>959.39</v>
      </c>
      <c r="H337" s="1">
        <v>43.9</v>
      </c>
      <c r="J337" t="str">
        <f t="shared" si="60"/>
        <v>OK</v>
      </c>
      <c r="K337" t="str">
        <f t="shared" si="61"/>
        <v>OK</v>
      </c>
      <c r="L337">
        <f t="shared" si="70"/>
        <v>12</v>
      </c>
      <c r="M337">
        <f t="shared" si="62"/>
        <v>10</v>
      </c>
      <c r="N337" s="9" t="str">
        <f t="shared" si="71"/>
        <v>Valid</v>
      </c>
      <c r="O337" t="str">
        <f t="shared" si="63"/>
        <v>Include</v>
      </c>
      <c r="P337" s="9">
        <f t="shared" si="64"/>
        <v>2035068.5799999984</v>
      </c>
      <c r="Q337" s="15">
        <f t="shared" si="65"/>
        <v>7469725</v>
      </c>
      <c r="R337" s="9">
        <f t="shared" si="66"/>
        <v>9264</v>
      </c>
      <c r="S337" s="9">
        <f t="shared" si="67"/>
        <v>7469725</v>
      </c>
      <c r="T337" s="15">
        <f t="shared" si="68"/>
        <v>16.686436250344954</v>
      </c>
      <c r="U337" s="15">
        <f>IF(O337="Exclude",0,G337*Fuel_Price!$B$2)</f>
        <v>1409.5357880000001</v>
      </c>
      <c r="V337" s="15">
        <f t="shared" si="69"/>
        <v>2989922.7577359979</v>
      </c>
    </row>
    <row r="338" spans="1:22">
      <c r="A338" s="1" t="s">
        <v>787</v>
      </c>
      <c r="B338" s="1" t="s">
        <v>788</v>
      </c>
      <c r="C338" s="1" t="s">
        <v>678</v>
      </c>
      <c r="D338" s="1" t="s">
        <v>12</v>
      </c>
      <c r="E338" s="12">
        <v>4533</v>
      </c>
      <c r="F338" s="12" t="s">
        <v>13</v>
      </c>
      <c r="G338" s="6">
        <v>573.48</v>
      </c>
      <c r="H338" s="1">
        <v>35.93</v>
      </c>
      <c r="J338" t="str">
        <f t="shared" si="60"/>
        <v>OK</v>
      </c>
      <c r="K338" t="str">
        <f t="shared" si="61"/>
        <v>OK</v>
      </c>
      <c r="L338">
        <f t="shared" si="70"/>
        <v>12</v>
      </c>
      <c r="M338">
        <f t="shared" si="62"/>
        <v>10</v>
      </c>
      <c r="N338" s="9" t="str">
        <f t="shared" si="71"/>
        <v>Valid</v>
      </c>
      <c r="O338" t="str">
        <f t="shared" si="63"/>
        <v>Include</v>
      </c>
      <c r="P338" s="9">
        <f t="shared" si="64"/>
        <v>2035068.5799999984</v>
      </c>
      <c r="Q338" s="15">
        <f t="shared" si="65"/>
        <v>7469725</v>
      </c>
      <c r="R338" s="9">
        <f t="shared" si="66"/>
        <v>4533</v>
      </c>
      <c r="S338" s="9">
        <f t="shared" si="67"/>
        <v>7469725</v>
      </c>
      <c r="T338" s="15">
        <f t="shared" si="68"/>
        <v>16.686436250344954</v>
      </c>
      <c r="U338" s="15">
        <f>IF(O338="Exclude",0,G338*Fuel_Price!$B$2)</f>
        <v>842.55681600000003</v>
      </c>
      <c r="V338" s="15">
        <f t="shared" si="69"/>
        <v>2989922.7577359979</v>
      </c>
    </row>
    <row r="339" spans="1:22">
      <c r="A339" s="1" t="s">
        <v>789</v>
      </c>
      <c r="B339" s="1" t="s">
        <v>790</v>
      </c>
      <c r="C339" s="1" t="s">
        <v>678</v>
      </c>
      <c r="D339" s="1" t="s">
        <v>12</v>
      </c>
      <c r="E339" s="12">
        <v>4313</v>
      </c>
      <c r="F339" s="12" t="s">
        <v>13</v>
      </c>
      <c r="G339" s="6">
        <v>471.35</v>
      </c>
      <c r="H339" s="1">
        <v>41.6</v>
      </c>
      <c r="J339" t="str">
        <f t="shared" si="60"/>
        <v>OK</v>
      </c>
      <c r="K339" t="str">
        <f t="shared" si="61"/>
        <v>OK</v>
      </c>
      <c r="L339">
        <f t="shared" si="70"/>
        <v>12</v>
      </c>
      <c r="M339">
        <f t="shared" si="62"/>
        <v>10</v>
      </c>
      <c r="N339" s="9" t="str">
        <f t="shared" si="71"/>
        <v>Valid</v>
      </c>
      <c r="O339" t="str">
        <f t="shared" si="63"/>
        <v>Include</v>
      </c>
      <c r="P339" s="9">
        <f t="shared" si="64"/>
        <v>2035068.5799999984</v>
      </c>
      <c r="Q339" s="15">
        <f t="shared" si="65"/>
        <v>7469725</v>
      </c>
      <c r="R339" s="9">
        <f t="shared" si="66"/>
        <v>4313</v>
      </c>
      <c r="S339" s="9">
        <f t="shared" si="67"/>
        <v>7469725</v>
      </c>
      <c r="T339" s="15">
        <f t="shared" si="68"/>
        <v>16.686436250344954</v>
      </c>
      <c r="U339" s="15">
        <f>IF(O339="Exclude",0,G339*Fuel_Price!$B$2)</f>
        <v>692.50742000000002</v>
      </c>
      <c r="V339" s="15">
        <f t="shared" si="69"/>
        <v>2989922.7577359979</v>
      </c>
    </row>
    <row r="340" spans="1:22">
      <c r="A340" s="1" t="s">
        <v>791</v>
      </c>
      <c r="B340" s="1" t="s">
        <v>792</v>
      </c>
      <c r="C340" s="1" t="s">
        <v>678</v>
      </c>
      <c r="D340" s="1" t="s">
        <v>12</v>
      </c>
      <c r="E340" s="12">
        <v>6114</v>
      </c>
      <c r="F340" s="12" t="s">
        <v>13</v>
      </c>
      <c r="G340" s="6">
        <v>571.78</v>
      </c>
      <c r="H340" s="1">
        <v>48.61</v>
      </c>
      <c r="J340" t="str">
        <f t="shared" si="60"/>
        <v>OK</v>
      </c>
      <c r="K340" t="str">
        <f t="shared" si="61"/>
        <v>OK</v>
      </c>
      <c r="L340">
        <f t="shared" si="70"/>
        <v>12</v>
      </c>
      <c r="M340">
        <f t="shared" si="62"/>
        <v>10</v>
      </c>
      <c r="N340" s="9" t="str">
        <f t="shared" si="71"/>
        <v>Valid</v>
      </c>
      <c r="O340" t="str">
        <f t="shared" si="63"/>
        <v>Include</v>
      </c>
      <c r="P340" s="9">
        <f t="shared" si="64"/>
        <v>2035068.5799999984</v>
      </c>
      <c r="Q340" s="15">
        <f t="shared" si="65"/>
        <v>7469725</v>
      </c>
      <c r="R340" s="9">
        <f t="shared" si="66"/>
        <v>6114</v>
      </c>
      <c r="S340" s="9">
        <f t="shared" si="67"/>
        <v>7469725</v>
      </c>
      <c r="T340" s="15">
        <f t="shared" si="68"/>
        <v>16.686436250344954</v>
      </c>
      <c r="U340" s="15">
        <f>IF(O340="Exclude",0,G340*Fuel_Price!$B$2)</f>
        <v>840.05917599999998</v>
      </c>
      <c r="V340" s="15">
        <f t="shared" si="69"/>
        <v>2989922.7577359979</v>
      </c>
    </row>
    <row r="341" spans="1:22">
      <c r="A341" s="1" t="s">
        <v>793</v>
      </c>
      <c r="B341" s="1" t="s">
        <v>794</v>
      </c>
      <c r="C341" s="1" t="s">
        <v>678</v>
      </c>
      <c r="D341" s="1" t="s">
        <v>12</v>
      </c>
      <c r="E341" s="12">
        <v>5726</v>
      </c>
      <c r="F341" s="12" t="s">
        <v>13</v>
      </c>
      <c r="G341" s="6">
        <v>550.53</v>
      </c>
      <c r="H341" s="1">
        <v>47.28</v>
      </c>
      <c r="J341" t="str">
        <f t="shared" si="60"/>
        <v>OK</v>
      </c>
      <c r="K341" t="str">
        <f t="shared" si="61"/>
        <v>OK</v>
      </c>
      <c r="L341">
        <f t="shared" si="70"/>
        <v>12</v>
      </c>
      <c r="M341">
        <f t="shared" si="62"/>
        <v>10</v>
      </c>
      <c r="N341" s="9" t="str">
        <f t="shared" si="71"/>
        <v>Valid</v>
      </c>
      <c r="O341" t="str">
        <f t="shared" si="63"/>
        <v>Include</v>
      </c>
      <c r="P341" s="9">
        <f t="shared" si="64"/>
        <v>2035068.5799999984</v>
      </c>
      <c r="Q341" s="15">
        <f t="shared" si="65"/>
        <v>7469725</v>
      </c>
      <c r="R341" s="9">
        <f t="shared" si="66"/>
        <v>5726</v>
      </c>
      <c r="S341" s="9">
        <f t="shared" si="67"/>
        <v>7469725</v>
      </c>
      <c r="T341" s="15">
        <f t="shared" si="68"/>
        <v>16.686436250344954</v>
      </c>
      <c r="U341" s="15">
        <f>IF(O341="Exclude",0,G341*Fuel_Price!$B$2)</f>
        <v>808.83867599999996</v>
      </c>
      <c r="V341" s="15">
        <f t="shared" si="69"/>
        <v>2989922.7577359979</v>
      </c>
    </row>
    <row r="342" spans="1:22">
      <c r="A342" s="1" t="s">
        <v>795</v>
      </c>
      <c r="B342" s="1" t="s">
        <v>796</v>
      </c>
      <c r="C342" s="1" t="s">
        <v>678</v>
      </c>
      <c r="D342" s="1" t="s">
        <v>12</v>
      </c>
      <c r="E342" s="12">
        <v>4601</v>
      </c>
      <c r="F342" s="12" t="s">
        <v>13</v>
      </c>
      <c r="G342" s="6">
        <v>490.28</v>
      </c>
      <c r="H342" s="1">
        <v>42.66</v>
      </c>
      <c r="J342" t="str">
        <f t="shared" si="60"/>
        <v>OK</v>
      </c>
      <c r="K342" t="str">
        <f t="shared" si="61"/>
        <v>OK</v>
      </c>
      <c r="L342">
        <f t="shared" si="70"/>
        <v>12</v>
      </c>
      <c r="M342">
        <f t="shared" si="62"/>
        <v>10</v>
      </c>
      <c r="N342" s="9" t="str">
        <f t="shared" si="71"/>
        <v>Valid</v>
      </c>
      <c r="O342" t="str">
        <f t="shared" si="63"/>
        <v>Include</v>
      </c>
      <c r="P342" s="9">
        <f t="shared" si="64"/>
        <v>2035068.5799999984</v>
      </c>
      <c r="Q342" s="15">
        <f t="shared" si="65"/>
        <v>7469725</v>
      </c>
      <c r="R342" s="9">
        <f t="shared" si="66"/>
        <v>4601</v>
      </c>
      <c r="S342" s="9">
        <f t="shared" si="67"/>
        <v>7469725</v>
      </c>
      <c r="T342" s="15">
        <f t="shared" si="68"/>
        <v>16.686436250344954</v>
      </c>
      <c r="U342" s="15">
        <f>IF(O342="Exclude",0,G342*Fuel_Price!$B$2)</f>
        <v>720.31937600000003</v>
      </c>
      <c r="V342" s="15">
        <f t="shared" si="69"/>
        <v>2989922.7577359979</v>
      </c>
    </row>
    <row r="343" spans="1:22">
      <c r="A343" s="1" t="s">
        <v>797</v>
      </c>
      <c r="B343" s="1" t="s">
        <v>798</v>
      </c>
      <c r="C343" s="1" t="s">
        <v>678</v>
      </c>
      <c r="D343" s="1" t="s">
        <v>12</v>
      </c>
      <c r="E343" s="12">
        <v>4930</v>
      </c>
      <c r="F343" s="12" t="s">
        <v>13</v>
      </c>
      <c r="G343" s="6">
        <v>514.11</v>
      </c>
      <c r="H343" s="1">
        <v>43.59</v>
      </c>
      <c r="J343" t="str">
        <f t="shared" si="60"/>
        <v>OK</v>
      </c>
      <c r="K343" t="str">
        <f t="shared" si="61"/>
        <v>OK</v>
      </c>
      <c r="L343">
        <f t="shared" si="70"/>
        <v>12</v>
      </c>
      <c r="M343">
        <f t="shared" si="62"/>
        <v>10</v>
      </c>
      <c r="N343" s="9" t="str">
        <f t="shared" si="71"/>
        <v>Valid</v>
      </c>
      <c r="O343" t="str">
        <f t="shared" si="63"/>
        <v>Include</v>
      </c>
      <c r="P343" s="9">
        <f t="shared" si="64"/>
        <v>2035068.5799999984</v>
      </c>
      <c r="Q343" s="15">
        <f t="shared" si="65"/>
        <v>7469725</v>
      </c>
      <c r="R343" s="9">
        <f t="shared" si="66"/>
        <v>4930</v>
      </c>
      <c r="S343" s="9">
        <f t="shared" si="67"/>
        <v>7469725</v>
      </c>
      <c r="T343" s="15">
        <f t="shared" si="68"/>
        <v>16.686436250344954</v>
      </c>
      <c r="U343" s="15">
        <f>IF(O343="Exclude",0,G343*Fuel_Price!$B$2)</f>
        <v>755.33041200000002</v>
      </c>
      <c r="V343" s="15">
        <f t="shared" si="69"/>
        <v>2989922.7577359979</v>
      </c>
    </row>
    <row r="344" spans="1:22">
      <c r="A344" s="1" t="s">
        <v>799</v>
      </c>
      <c r="B344" s="1" t="s">
        <v>800</v>
      </c>
      <c r="C344" s="1" t="s">
        <v>678</v>
      </c>
      <c r="D344" s="1" t="s">
        <v>12</v>
      </c>
      <c r="E344" s="12">
        <v>7539</v>
      </c>
      <c r="F344" s="12" t="s">
        <v>13</v>
      </c>
      <c r="G344" s="6">
        <v>754.6</v>
      </c>
      <c r="H344" s="1">
        <v>45.42</v>
      </c>
      <c r="J344" t="str">
        <f t="shared" si="60"/>
        <v>OK</v>
      </c>
      <c r="K344" t="str">
        <f t="shared" si="61"/>
        <v>OK</v>
      </c>
      <c r="L344">
        <f t="shared" si="70"/>
        <v>12</v>
      </c>
      <c r="M344">
        <f t="shared" si="62"/>
        <v>10</v>
      </c>
      <c r="N344" s="9" t="str">
        <f t="shared" si="71"/>
        <v>Valid</v>
      </c>
      <c r="O344" t="str">
        <f t="shared" si="63"/>
        <v>Include</v>
      </c>
      <c r="P344" s="9">
        <f t="shared" si="64"/>
        <v>2035068.5799999984</v>
      </c>
      <c r="Q344" s="15">
        <f t="shared" si="65"/>
        <v>7469725</v>
      </c>
      <c r="R344" s="9">
        <f t="shared" si="66"/>
        <v>7539</v>
      </c>
      <c r="S344" s="9">
        <f t="shared" si="67"/>
        <v>7469725</v>
      </c>
      <c r="T344" s="15">
        <f t="shared" si="68"/>
        <v>16.686436250344954</v>
      </c>
      <c r="U344" s="15">
        <f>IF(O344="Exclude",0,G344*Fuel_Price!$B$2)</f>
        <v>1108.65832</v>
      </c>
      <c r="V344" s="15">
        <f t="shared" si="69"/>
        <v>2989922.7577359979</v>
      </c>
    </row>
    <row r="345" spans="1:22">
      <c r="A345" s="1" t="s">
        <v>801</v>
      </c>
      <c r="B345" s="1" t="s">
        <v>802</v>
      </c>
      <c r="C345" s="1" t="s">
        <v>678</v>
      </c>
      <c r="D345" s="1" t="s">
        <v>12</v>
      </c>
      <c r="E345" s="12">
        <v>10180</v>
      </c>
      <c r="F345" s="12" t="s">
        <v>13</v>
      </c>
      <c r="G345" s="6">
        <v>978.93</v>
      </c>
      <c r="H345" s="1">
        <v>47.28</v>
      </c>
      <c r="J345" t="str">
        <f t="shared" si="60"/>
        <v>OK</v>
      </c>
      <c r="K345" t="str">
        <f t="shared" si="61"/>
        <v>OK</v>
      </c>
      <c r="L345">
        <f t="shared" si="70"/>
        <v>12</v>
      </c>
      <c r="M345">
        <f t="shared" si="62"/>
        <v>10</v>
      </c>
      <c r="N345" s="9" t="str">
        <f t="shared" si="71"/>
        <v>Valid</v>
      </c>
      <c r="O345" t="str">
        <f t="shared" si="63"/>
        <v>Include</v>
      </c>
      <c r="P345" s="9">
        <f t="shared" si="64"/>
        <v>2035068.5799999984</v>
      </c>
      <c r="Q345" s="15">
        <f t="shared" si="65"/>
        <v>7469725</v>
      </c>
      <c r="R345" s="9">
        <f t="shared" si="66"/>
        <v>10180</v>
      </c>
      <c r="S345" s="9">
        <f t="shared" si="67"/>
        <v>7469725</v>
      </c>
      <c r="T345" s="15">
        <f t="shared" si="68"/>
        <v>16.686436250344954</v>
      </c>
      <c r="U345" s="15">
        <f>IF(O345="Exclude",0,G345*Fuel_Price!$B$2)</f>
        <v>1438.243956</v>
      </c>
      <c r="V345" s="15">
        <f t="shared" si="69"/>
        <v>2989922.7577359979</v>
      </c>
    </row>
    <row r="346" spans="1:22">
      <c r="A346" s="1" t="s">
        <v>803</v>
      </c>
      <c r="B346" s="1" t="s">
        <v>804</v>
      </c>
      <c r="C346" s="1" t="s">
        <v>678</v>
      </c>
      <c r="D346" s="1" t="s">
        <v>12</v>
      </c>
      <c r="E346" s="12">
        <v>4873</v>
      </c>
      <c r="F346" s="12" t="s">
        <v>13</v>
      </c>
      <c r="G346" s="6">
        <v>477</v>
      </c>
      <c r="H346" s="1">
        <v>46.44</v>
      </c>
      <c r="J346" t="str">
        <f t="shared" si="60"/>
        <v>OK</v>
      </c>
      <c r="K346" t="str">
        <f t="shared" si="61"/>
        <v>OK</v>
      </c>
      <c r="L346">
        <f t="shared" si="70"/>
        <v>12</v>
      </c>
      <c r="M346">
        <f t="shared" si="62"/>
        <v>10</v>
      </c>
      <c r="N346" s="9" t="str">
        <f t="shared" si="71"/>
        <v>Valid</v>
      </c>
      <c r="O346" t="str">
        <f t="shared" si="63"/>
        <v>Include</v>
      </c>
      <c r="P346" s="9">
        <f t="shared" si="64"/>
        <v>2035068.5799999984</v>
      </c>
      <c r="Q346" s="15">
        <f t="shared" si="65"/>
        <v>7469725</v>
      </c>
      <c r="R346" s="9">
        <f t="shared" si="66"/>
        <v>4873</v>
      </c>
      <c r="S346" s="9">
        <f t="shared" si="67"/>
        <v>7469725</v>
      </c>
      <c r="T346" s="15">
        <f t="shared" si="68"/>
        <v>16.686436250344954</v>
      </c>
      <c r="U346" s="15">
        <f>IF(O346="Exclude",0,G346*Fuel_Price!$B$2)</f>
        <v>700.80840000000001</v>
      </c>
      <c r="V346" s="15">
        <f t="shared" si="69"/>
        <v>2989922.7577359979</v>
      </c>
    </row>
    <row r="347" spans="1:22">
      <c r="A347" s="1" t="s">
        <v>805</v>
      </c>
      <c r="B347" s="1" t="s">
        <v>806</v>
      </c>
      <c r="C347" s="1" t="s">
        <v>678</v>
      </c>
      <c r="D347" s="1" t="s">
        <v>12</v>
      </c>
      <c r="E347" s="12">
        <v>2471</v>
      </c>
      <c r="F347" s="12" t="s">
        <v>13</v>
      </c>
      <c r="G347" s="6">
        <v>269.44</v>
      </c>
      <c r="H347" s="1">
        <v>41.69</v>
      </c>
      <c r="J347" t="str">
        <f t="shared" si="60"/>
        <v>OK</v>
      </c>
      <c r="K347" t="str">
        <f t="shared" si="61"/>
        <v>OK</v>
      </c>
      <c r="L347">
        <f t="shared" si="70"/>
        <v>12</v>
      </c>
      <c r="M347">
        <f t="shared" si="62"/>
        <v>10</v>
      </c>
      <c r="N347" s="9" t="str">
        <f t="shared" si="71"/>
        <v>Valid</v>
      </c>
      <c r="O347" t="str">
        <f t="shared" si="63"/>
        <v>Include</v>
      </c>
      <c r="P347" s="9">
        <f t="shared" si="64"/>
        <v>2035068.5799999984</v>
      </c>
      <c r="Q347" s="15">
        <f t="shared" si="65"/>
        <v>7469725</v>
      </c>
      <c r="R347" s="9">
        <f t="shared" si="66"/>
        <v>2471</v>
      </c>
      <c r="S347" s="9">
        <f t="shared" si="67"/>
        <v>7469725</v>
      </c>
      <c r="T347" s="15">
        <f t="shared" si="68"/>
        <v>16.686436250344954</v>
      </c>
      <c r="U347" s="15">
        <f>IF(O347="Exclude",0,G347*Fuel_Price!$B$2)</f>
        <v>395.86124799999999</v>
      </c>
      <c r="V347" s="15">
        <f t="shared" si="69"/>
        <v>2989922.7577359979</v>
      </c>
    </row>
    <row r="348" spans="1:22">
      <c r="A348" s="1" t="s">
        <v>807</v>
      </c>
      <c r="B348" s="1" t="s">
        <v>808</v>
      </c>
      <c r="C348" s="1" t="s">
        <v>809</v>
      </c>
      <c r="D348" s="1" t="s">
        <v>12</v>
      </c>
      <c r="E348" s="12">
        <v>6975</v>
      </c>
      <c r="F348" s="12" t="s">
        <v>13</v>
      </c>
      <c r="G348" s="6">
        <v>683.46</v>
      </c>
      <c r="H348" s="1">
        <v>46.39</v>
      </c>
      <c r="J348" t="str">
        <f t="shared" si="60"/>
        <v>OK</v>
      </c>
      <c r="K348" t="str">
        <f t="shared" si="61"/>
        <v>OK</v>
      </c>
      <c r="L348">
        <f t="shared" si="70"/>
        <v>12</v>
      </c>
      <c r="M348">
        <f t="shared" si="62"/>
        <v>10</v>
      </c>
      <c r="N348" s="9" t="str">
        <f t="shared" si="71"/>
        <v>Valid</v>
      </c>
      <c r="O348" t="str">
        <f t="shared" si="63"/>
        <v>Include</v>
      </c>
      <c r="P348" s="9">
        <f t="shared" si="64"/>
        <v>2035068.5799999984</v>
      </c>
      <c r="Q348" s="15">
        <f t="shared" si="65"/>
        <v>7469725</v>
      </c>
      <c r="R348" s="9">
        <f t="shared" si="66"/>
        <v>6975</v>
      </c>
      <c r="S348" s="9">
        <f t="shared" si="67"/>
        <v>7469725</v>
      </c>
      <c r="T348" s="15">
        <f t="shared" si="68"/>
        <v>16.686436250344954</v>
      </c>
      <c r="U348" s="15">
        <f>IF(O348="Exclude",0,G348*Fuel_Price!$B$2)</f>
        <v>1004.1394320000001</v>
      </c>
      <c r="V348" s="15">
        <f t="shared" si="69"/>
        <v>2989922.7577359979</v>
      </c>
    </row>
    <row r="349" spans="1:22">
      <c r="A349" s="1" t="s">
        <v>810</v>
      </c>
      <c r="B349" s="1" t="s">
        <v>811</v>
      </c>
      <c r="C349" s="1" t="s">
        <v>678</v>
      </c>
      <c r="D349" s="1" t="s">
        <v>12</v>
      </c>
      <c r="E349" s="12">
        <v>3663</v>
      </c>
      <c r="F349" s="12" t="s">
        <v>13</v>
      </c>
      <c r="G349" s="6">
        <v>464.34</v>
      </c>
      <c r="H349" s="1">
        <v>35.86</v>
      </c>
      <c r="J349" t="str">
        <f t="shared" si="60"/>
        <v>OK</v>
      </c>
      <c r="K349" t="str">
        <f t="shared" si="61"/>
        <v>OK</v>
      </c>
      <c r="L349">
        <f t="shared" si="70"/>
        <v>12</v>
      </c>
      <c r="M349">
        <f t="shared" si="62"/>
        <v>10</v>
      </c>
      <c r="N349" s="9" t="str">
        <f t="shared" si="71"/>
        <v>Valid</v>
      </c>
      <c r="O349" t="str">
        <f t="shared" si="63"/>
        <v>Include</v>
      </c>
      <c r="P349" s="9">
        <f t="shared" si="64"/>
        <v>2035068.5799999984</v>
      </c>
      <c r="Q349" s="15">
        <f t="shared" si="65"/>
        <v>7469725</v>
      </c>
      <c r="R349" s="9">
        <f t="shared" si="66"/>
        <v>3663</v>
      </c>
      <c r="S349" s="9">
        <f t="shared" si="67"/>
        <v>7469725</v>
      </c>
      <c r="T349" s="15">
        <f t="shared" si="68"/>
        <v>16.686436250344954</v>
      </c>
      <c r="U349" s="15">
        <f>IF(O349="Exclude",0,G349*Fuel_Price!$B$2)</f>
        <v>682.20832799999994</v>
      </c>
      <c r="V349" s="15">
        <f t="shared" si="69"/>
        <v>2989922.7577359979</v>
      </c>
    </row>
    <row r="350" spans="1:22">
      <c r="A350" s="1" t="s">
        <v>812</v>
      </c>
      <c r="B350" s="1" t="s">
        <v>813</v>
      </c>
      <c r="C350" s="1" t="s">
        <v>678</v>
      </c>
      <c r="D350" s="1" t="s">
        <v>12</v>
      </c>
      <c r="E350" s="12">
        <v>1935</v>
      </c>
      <c r="F350" s="12" t="s">
        <v>13</v>
      </c>
      <c r="G350" s="6">
        <v>183.2</v>
      </c>
      <c r="H350" s="1">
        <v>48.02</v>
      </c>
      <c r="J350" t="str">
        <f t="shared" si="60"/>
        <v>OK</v>
      </c>
      <c r="K350" t="str">
        <f t="shared" si="61"/>
        <v>OK</v>
      </c>
      <c r="L350">
        <f t="shared" si="70"/>
        <v>12</v>
      </c>
      <c r="M350">
        <f t="shared" si="62"/>
        <v>10</v>
      </c>
      <c r="N350" s="9" t="str">
        <f t="shared" si="71"/>
        <v>Valid</v>
      </c>
      <c r="O350" t="str">
        <f t="shared" si="63"/>
        <v>Include</v>
      </c>
      <c r="P350" s="9">
        <f t="shared" si="64"/>
        <v>2035068.5799999984</v>
      </c>
      <c r="Q350" s="15">
        <f t="shared" si="65"/>
        <v>7469725</v>
      </c>
      <c r="R350" s="9">
        <f t="shared" si="66"/>
        <v>1935</v>
      </c>
      <c r="S350" s="9">
        <f t="shared" si="67"/>
        <v>7469725</v>
      </c>
      <c r="T350" s="15">
        <f t="shared" si="68"/>
        <v>16.686436250344954</v>
      </c>
      <c r="U350" s="15">
        <f>IF(O350="Exclude",0,G350*Fuel_Price!$B$2)</f>
        <v>269.15744000000001</v>
      </c>
      <c r="V350" s="15">
        <f t="shared" si="69"/>
        <v>2989922.7577359979</v>
      </c>
    </row>
    <row r="351" spans="1:22">
      <c r="A351" s="1" t="s">
        <v>814</v>
      </c>
      <c r="B351" s="1" t="s">
        <v>815</v>
      </c>
      <c r="C351" s="1" t="s">
        <v>816</v>
      </c>
      <c r="D351" s="1" t="s">
        <v>12</v>
      </c>
      <c r="E351" s="12">
        <v>9632</v>
      </c>
      <c r="F351" s="12" t="s">
        <v>13</v>
      </c>
      <c r="G351" s="6">
        <v>964.91</v>
      </c>
      <c r="H351" s="1">
        <v>45.38</v>
      </c>
      <c r="J351" t="str">
        <f t="shared" si="60"/>
        <v>OK</v>
      </c>
      <c r="K351" t="str">
        <f t="shared" si="61"/>
        <v>OK</v>
      </c>
      <c r="L351">
        <f t="shared" si="70"/>
        <v>12</v>
      </c>
      <c r="M351">
        <f t="shared" si="62"/>
        <v>10</v>
      </c>
      <c r="N351" s="9" t="str">
        <f t="shared" si="71"/>
        <v>Valid</v>
      </c>
      <c r="O351" t="str">
        <f t="shared" si="63"/>
        <v>Include</v>
      </c>
      <c r="P351" s="9">
        <f t="shared" si="64"/>
        <v>2035068.5799999984</v>
      </c>
      <c r="Q351" s="15">
        <f t="shared" si="65"/>
        <v>7469725</v>
      </c>
      <c r="R351" s="9">
        <f t="shared" si="66"/>
        <v>9632</v>
      </c>
      <c r="S351" s="9">
        <f t="shared" si="67"/>
        <v>7469725</v>
      </c>
      <c r="T351" s="15">
        <f t="shared" si="68"/>
        <v>16.686436250344954</v>
      </c>
      <c r="U351" s="15">
        <f>IF(O351="Exclude",0,G351*Fuel_Price!$B$2)</f>
        <v>1417.6457720000001</v>
      </c>
      <c r="V351" s="15">
        <f t="shared" si="69"/>
        <v>2989922.7577359979</v>
      </c>
    </row>
    <row r="352" spans="1:22">
      <c r="A352" s="1" t="s">
        <v>817</v>
      </c>
      <c r="B352" s="1" t="s">
        <v>818</v>
      </c>
      <c r="C352" s="1" t="s">
        <v>678</v>
      </c>
      <c r="D352" s="1" t="s">
        <v>12</v>
      </c>
      <c r="E352" s="12">
        <v>4713</v>
      </c>
      <c r="F352" s="12" t="s">
        <v>13</v>
      </c>
      <c r="G352" s="6">
        <v>509.6</v>
      </c>
      <c r="H352" s="1">
        <v>42.04</v>
      </c>
      <c r="J352" t="str">
        <f t="shared" si="60"/>
        <v>OK</v>
      </c>
      <c r="K352" t="str">
        <f t="shared" si="61"/>
        <v>OK</v>
      </c>
      <c r="L352">
        <f t="shared" si="70"/>
        <v>12</v>
      </c>
      <c r="M352">
        <f t="shared" si="62"/>
        <v>10</v>
      </c>
      <c r="N352" s="9" t="str">
        <f t="shared" si="71"/>
        <v>Valid</v>
      </c>
      <c r="O352" t="str">
        <f t="shared" si="63"/>
        <v>Include</v>
      </c>
      <c r="P352" s="9">
        <f t="shared" si="64"/>
        <v>2035068.5799999984</v>
      </c>
      <c r="Q352" s="15">
        <f t="shared" si="65"/>
        <v>7469725</v>
      </c>
      <c r="R352" s="9">
        <f t="shared" si="66"/>
        <v>4713</v>
      </c>
      <c r="S352" s="9">
        <f t="shared" si="67"/>
        <v>7469725</v>
      </c>
      <c r="T352" s="15">
        <f t="shared" si="68"/>
        <v>16.686436250344954</v>
      </c>
      <c r="U352" s="15">
        <f>IF(O352="Exclude",0,G352*Fuel_Price!$B$2)</f>
        <v>748.70432000000005</v>
      </c>
      <c r="V352" s="15">
        <f t="shared" si="69"/>
        <v>2989922.7577359979</v>
      </c>
    </row>
    <row r="353" spans="1:22">
      <c r="A353" s="1" t="s">
        <v>819</v>
      </c>
      <c r="B353" s="1" t="s">
        <v>820</v>
      </c>
      <c r="C353" s="1" t="s">
        <v>678</v>
      </c>
      <c r="D353" s="1" t="s">
        <v>12</v>
      </c>
      <c r="E353" s="12">
        <v>6158</v>
      </c>
      <c r="F353" s="12" t="s">
        <v>13</v>
      </c>
      <c r="G353" s="6">
        <v>594.32000000000005</v>
      </c>
      <c r="H353" s="1">
        <v>47.1</v>
      </c>
      <c r="J353" t="str">
        <f t="shared" si="60"/>
        <v>OK</v>
      </c>
      <c r="K353" t="str">
        <f t="shared" si="61"/>
        <v>OK</v>
      </c>
      <c r="L353">
        <f t="shared" si="70"/>
        <v>12</v>
      </c>
      <c r="M353">
        <f t="shared" si="62"/>
        <v>10</v>
      </c>
      <c r="N353" s="9" t="str">
        <f t="shared" si="71"/>
        <v>Valid</v>
      </c>
      <c r="O353" t="str">
        <f t="shared" si="63"/>
        <v>Include</v>
      </c>
      <c r="P353" s="9">
        <f t="shared" si="64"/>
        <v>2035068.5799999984</v>
      </c>
      <c r="Q353" s="15">
        <f t="shared" si="65"/>
        <v>7469725</v>
      </c>
      <c r="R353" s="9">
        <f t="shared" si="66"/>
        <v>6158</v>
      </c>
      <c r="S353" s="9">
        <f t="shared" si="67"/>
        <v>7469725</v>
      </c>
      <c r="T353" s="15">
        <f t="shared" si="68"/>
        <v>16.686436250344954</v>
      </c>
      <c r="U353" s="15">
        <f>IF(O353="Exclude",0,G353*Fuel_Price!$B$2)</f>
        <v>873.1749440000001</v>
      </c>
      <c r="V353" s="15">
        <f t="shared" si="69"/>
        <v>2989922.7577359979</v>
      </c>
    </row>
    <row r="354" spans="1:22">
      <c r="A354" s="1" t="s">
        <v>892</v>
      </c>
      <c r="B354" s="1" t="s">
        <v>893</v>
      </c>
      <c r="C354" s="1" t="s">
        <v>894</v>
      </c>
      <c r="D354" s="1" t="s">
        <v>12</v>
      </c>
      <c r="E354" s="12">
        <v>398</v>
      </c>
      <c r="F354" s="12" t="s">
        <v>13</v>
      </c>
      <c r="G354" s="6">
        <v>3981.9</v>
      </c>
      <c r="H354" s="1">
        <v>0.45</v>
      </c>
      <c r="J354" t="str">
        <f t="shared" si="60"/>
        <v>OK</v>
      </c>
      <c r="K354" t="str">
        <f t="shared" si="61"/>
        <v>OK</v>
      </c>
      <c r="L354">
        <f t="shared" si="70"/>
        <v>12</v>
      </c>
      <c r="M354">
        <f t="shared" si="62"/>
        <v>10</v>
      </c>
      <c r="N354" s="9" t="str">
        <f t="shared" si="71"/>
        <v>Valid</v>
      </c>
      <c r="O354" t="str">
        <f t="shared" si="63"/>
        <v>Include</v>
      </c>
      <c r="P354" s="9">
        <f t="shared" si="64"/>
        <v>2035068.5799999984</v>
      </c>
      <c r="Q354" s="15">
        <f t="shared" si="65"/>
        <v>7469725</v>
      </c>
      <c r="R354" s="9">
        <f t="shared" si="66"/>
        <v>398</v>
      </c>
      <c r="S354" s="9">
        <f t="shared" si="67"/>
        <v>7469725</v>
      </c>
      <c r="T354" s="15">
        <f t="shared" si="68"/>
        <v>16.686436250344954</v>
      </c>
      <c r="U354" s="15">
        <f>IF(O354="Exclude",0,G354*Fuel_Price!$B$2)</f>
        <v>5850.20748</v>
      </c>
      <c r="V354" s="15">
        <f t="shared" si="69"/>
        <v>2989922.7577359979</v>
      </c>
    </row>
    <row r="355" spans="1:22">
      <c r="A355" s="1" t="s">
        <v>927</v>
      </c>
      <c r="B355" s="1" t="s">
        <v>928</v>
      </c>
      <c r="C355" s="1" t="s">
        <v>929</v>
      </c>
      <c r="D355" s="1" t="s">
        <v>12</v>
      </c>
      <c r="E355" s="12">
        <v>7336</v>
      </c>
      <c r="F355" s="12" t="s">
        <v>13</v>
      </c>
      <c r="G355" s="6">
        <v>1008.47</v>
      </c>
      <c r="H355" s="1">
        <v>33.07</v>
      </c>
      <c r="J355" t="str">
        <f t="shared" si="60"/>
        <v>OK</v>
      </c>
      <c r="K355" t="str">
        <f t="shared" si="61"/>
        <v>OK</v>
      </c>
      <c r="L355">
        <f t="shared" si="70"/>
        <v>12</v>
      </c>
      <c r="M355">
        <f t="shared" si="62"/>
        <v>10</v>
      </c>
      <c r="N355" s="9" t="str">
        <f t="shared" si="71"/>
        <v>Valid</v>
      </c>
      <c r="O355" t="str">
        <f t="shared" si="63"/>
        <v>Include</v>
      </c>
      <c r="P355" s="9">
        <f t="shared" si="64"/>
        <v>2035068.5799999984</v>
      </c>
      <c r="Q355" s="15">
        <f t="shared" si="65"/>
        <v>7469725</v>
      </c>
      <c r="R355" s="9">
        <f t="shared" si="66"/>
        <v>7336</v>
      </c>
      <c r="S355" s="9">
        <f t="shared" si="67"/>
        <v>7469725</v>
      </c>
      <c r="T355" s="15">
        <f t="shared" si="68"/>
        <v>16.686436250344954</v>
      </c>
      <c r="U355" s="15">
        <f>IF(O355="Exclude",0,G355*Fuel_Price!$B$2)</f>
        <v>1481.6441240000001</v>
      </c>
      <c r="V355" s="15">
        <f t="shared" si="69"/>
        <v>2989922.7577359979</v>
      </c>
    </row>
    <row r="356" spans="1:22">
      <c r="A356" s="1" t="s">
        <v>930</v>
      </c>
      <c r="B356" s="1" t="s">
        <v>931</v>
      </c>
      <c r="C356" s="1" t="s">
        <v>929</v>
      </c>
      <c r="D356" s="1" t="s">
        <v>12</v>
      </c>
      <c r="E356" s="12">
        <v>7109</v>
      </c>
      <c r="F356" s="12" t="s">
        <v>13</v>
      </c>
      <c r="G356" s="6">
        <v>1171.72</v>
      </c>
      <c r="H356" s="1">
        <v>27.58</v>
      </c>
      <c r="J356" t="str">
        <f t="shared" si="60"/>
        <v>OK</v>
      </c>
      <c r="K356" t="str">
        <f t="shared" si="61"/>
        <v>OK</v>
      </c>
      <c r="L356">
        <f t="shared" si="70"/>
        <v>12</v>
      </c>
      <c r="M356">
        <f t="shared" si="62"/>
        <v>10</v>
      </c>
      <c r="N356" s="9" t="str">
        <f t="shared" si="71"/>
        <v>Valid</v>
      </c>
      <c r="O356" t="str">
        <f t="shared" si="63"/>
        <v>Include</v>
      </c>
      <c r="P356" s="9">
        <f t="shared" si="64"/>
        <v>2035068.5799999984</v>
      </c>
      <c r="Q356" s="15">
        <f t="shared" si="65"/>
        <v>7469725</v>
      </c>
      <c r="R356" s="9">
        <f t="shared" si="66"/>
        <v>7109</v>
      </c>
      <c r="S356" s="9">
        <f t="shared" si="67"/>
        <v>7469725</v>
      </c>
      <c r="T356" s="15">
        <f t="shared" si="68"/>
        <v>16.686436250344954</v>
      </c>
      <c r="U356" s="15">
        <f>IF(O356="Exclude",0,G356*Fuel_Price!$B$2)</f>
        <v>1721.4910240000002</v>
      </c>
      <c r="V356" s="15">
        <f t="shared" si="69"/>
        <v>2989922.7577359979</v>
      </c>
    </row>
    <row r="357" spans="1:22">
      <c r="A357" s="1" t="s">
        <v>935</v>
      </c>
      <c r="B357" s="1" t="s">
        <v>936</v>
      </c>
      <c r="C357" s="1" t="s">
        <v>937</v>
      </c>
      <c r="D357" s="1" t="s">
        <v>12</v>
      </c>
      <c r="E357" s="12">
        <v>6242</v>
      </c>
      <c r="F357" s="12" t="s">
        <v>13</v>
      </c>
      <c r="G357" s="6">
        <v>816.02</v>
      </c>
      <c r="H357" s="1">
        <v>34.770000000000003</v>
      </c>
      <c r="J357" t="str">
        <f t="shared" si="60"/>
        <v>OK</v>
      </c>
      <c r="K357" t="str">
        <f t="shared" si="61"/>
        <v>OK</v>
      </c>
      <c r="L357">
        <f t="shared" si="70"/>
        <v>12</v>
      </c>
      <c r="M357">
        <f t="shared" si="62"/>
        <v>10</v>
      </c>
      <c r="N357" s="9" t="str">
        <f t="shared" si="71"/>
        <v>Valid</v>
      </c>
      <c r="O357" t="str">
        <f t="shared" si="63"/>
        <v>Include</v>
      </c>
      <c r="P357" s="9">
        <f t="shared" si="64"/>
        <v>2035068.5799999984</v>
      </c>
      <c r="Q357" s="15">
        <f t="shared" si="65"/>
        <v>7469725</v>
      </c>
      <c r="R357" s="9">
        <f t="shared" si="66"/>
        <v>6242</v>
      </c>
      <c r="S357" s="9">
        <f t="shared" si="67"/>
        <v>7469725</v>
      </c>
      <c r="T357" s="15">
        <f t="shared" si="68"/>
        <v>16.686436250344954</v>
      </c>
      <c r="U357" s="15">
        <f>IF(O357="Exclude",0,G357*Fuel_Price!$B$2)</f>
        <v>1198.8965840000001</v>
      </c>
      <c r="V357" s="15">
        <f t="shared" si="69"/>
        <v>2989922.7577359979</v>
      </c>
    </row>
    <row r="358" spans="1:22">
      <c r="A358" s="1" t="s">
        <v>938</v>
      </c>
      <c r="B358" s="1" t="s">
        <v>939</v>
      </c>
      <c r="C358" s="1" t="s">
        <v>937</v>
      </c>
      <c r="D358" s="1" t="s">
        <v>12</v>
      </c>
      <c r="E358" s="12">
        <v>17611</v>
      </c>
      <c r="F358" s="12" t="s">
        <v>13</v>
      </c>
      <c r="G358" s="6">
        <v>2472.35</v>
      </c>
      <c r="H358" s="1">
        <v>32.380000000000003</v>
      </c>
      <c r="J358" t="str">
        <f t="shared" si="60"/>
        <v>OK</v>
      </c>
      <c r="K358" t="str">
        <f t="shared" si="61"/>
        <v>OK</v>
      </c>
      <c r="L358">
        <f t="shared" si="70"/>
        <v>12</v>
      </c>
      <c r="M358">
        <f t="shared" si="62"/>
        <v>10</v>
      </c>
      <c r="N358" s="9" t="str">
        <f t="shared" si="71"/>
        <v>Valid</v>
      </c>
      <c r="O358" t="str">
        <f t="shared" si="63"/>
        <v>Include</v>
      </c>
      <c r="P358" s="9">
        <f t="shared" si="64"/>
        <v>2035068.5799999984</v>
      </c>
      <c r="Q358" s="15">
        <f t="shared" si="65"/>
        <v>7469725</v>
      </c>
      <c r="R358" s="9">
        <f t="shared" si="66"/>
        <v>17611</v>
      </c>
      <c r="S358" s="9">
        <f t="shared" si="67"/>
        <v>7469725</v>
      </c>
      <c r="T358" s="15">
        <f t="shared" si="68"/>
        <v>16.686436250344954</v>
      </c>
      <c r="U358" s="15">
        <f>IF(O358="Exclude",0,G358*Fuel_Price!$B$2)</f>
        <v>3632.37662</v>
      </c>
      <c r="V358" s="15">
        <f t="shared" si="69"/>
        <v>2989922.7577359979</v>
      </c>
    </row>
    <row r="359" spans="1:22">
      <c r="A359" s="1" t="s">
        <v>940</v>
      </c>
      <c r="B359" s="1" t="s">
        <v>941</v>
      </c>
      <c r="C359" s="1" t="s">
        <v>937</v>
      </c>
      <c r="D359" s="1" t="s">
        <v>12</v>
      </c>
      <c r="E359" s="12">
        <v>17143</v>
      </c>
      <c r="F359" s="12" t="s">
        <v>13</v>
      </c>
      <c r="G359" s="6">
        <v>2364.13</v>
      </c>
      <c r="H359" s="1">
        <v>32.97</v>
      </c>
      <c r="J359" t="str">
        <f t="shared" si="60"/>
        <v>OK</v>
      </c>
      <c r="K359" t="str">
        <f t="shared" si="61"/>
        <v>OK</v>
      </c>
      <c r="L359">
        <f t="shared" si="70"/>
        <v>12</v>
      </c>
      <c r="M359">
        <f t="shared" si="62"/>
        <v>10</v>
      </c>
      <c r="N359" s="9" t="str">
        <f t="shared" si="71"/>
        <v>Valid</v>
      </c>
      <c r="O359" t="str">
        <f t="shared" si="63"/>
        <v>Include</v>
      </c>
      <c r="P359" s="9">
        <f t="shared" si="64"/>
        <v>2035068.5799999984</v>
      </c>
      <c r="Q359" s="15">
        <f t="shared" si="65"/>
        <v>7469725</v>
      </c>
      <c r="R359" s="9">
        <f t="shared" si="66"/>
        <v>17143</v>
      </c>
      <c r="S359" s="9">
        <f t="shared" si="67"/>
        <v>7469725</v>
      </c>
      <c r="T359" s="15">
        <f t="shared" si="68"/>
        <v>16.686436250344954</v>
      </c>
      <c r="U359" s="15">
        <f>IF(O359="Exclude",0,G359*Fuel_Price!$B$2)</f>
        <v>3473.3797960000002</v>
      </c>
      <c r="V359" s="15">
        <f t="shared" si="69"/>
        <v>2989922.7577359979</v>
      </c>
    </row>
    <row r="360" spans="1:22">
      <c r="A360" s="1" t="s">
        <v>942</v>
      </c>
      <c r="B360" s="1" t="s">
        <v>943</v>
      </c>
      <c r="C360" s="1" t="s">
        <v>937</v>
      </c>
      <c r="D360" s="1" t="s">
        <v>12</v>
      </c>
      <c r="E360" s="12">
        <v>7941</v>
      </c>
      <c r="F360" s="12" t="s">
        <v>13</v>
      </c>
      <c r="G360" s="6">
        <v>1222.6300000000001</v>
      </c>
      <c r="H360" s="1">
        <v>29.53</v>
      </c>
      <c r="J360" t="str">
        <f t="shared" si="60"/>
        <v>OK</v>
      </c>
      <c r="K360" t="str">
        <f t="shared" si="61"/>
        <v>OK</v>
      </c>
      <c r="L360">
        <f t="shared" si="70"/>
        <v>12</v>
      </c>
      <c r="M360">
        <f t="shared" si="62"/>
        <v>10</v>
      </c>
      <c r="N360" s="9" t="str">
        <f t="shared" si="71"/>
        <v>Valid</v>
      </c>
      <c r="O360" t="str">
        <f t="shared" si="63"/>
        <v>Include</v>
      </c>
      <c r="P360" s="9">
        <f t="shared" si="64"/>
        <v>2035068.5799999984</v>
      </c>
      <c r="Q360" s="15">
        <f t="shared" si="65"/>
        <v>7469725</v>
      </c>
      <c r="R360" s="9">
        <f t="shared" si="66"/>
        <v>7941</v>
      </c>
      <c r="S360" s="9">
        <f t="shared" si="67"/>
        <v>7469725</v>
      </c>
      <c r="T360" s="15">
        <f t="shared" si="68"/>
        <v>16.686436250344954</v>
      </c>
      <c r="U360" s="15">
        <f>IF(O360="Exclude",0,G360*Fuel_Price!$B$2)</f>
        <v>1796.2879960000002</v>
      </c>
      <c r="V360" s="15">
        <f t="shared" si="69"/>
        <v>2989922.7577359979</v>
      </c>
    </row>
    <row r="361" spans="1:22">
      <c r="A361" s="1" t="s">
        <v>944</v>
      </c>
      <c r="B361" s="1" t="s">
        <v>945</v>
      </c>
      <c r="C361" s="1" t="s">
        <v>937</v>
      </c>
      <c r="D361" s="1" t="s">
        <v>12</v>
      </c>
      <c r="E361" s="12">
        <v>5788</v>
      </c>
      <c r="F361" s="12" t="s">
        <v>13</v>
      </c>
      <c r="G361" s="6">
        <v>990.37</v>
      </c>
      <c r="H361" s="1">
        <v>26.57</v>
      </c>
      <c r="J361" t="str">
        <f t="shared" si="60"/>
        <v>OK</v>
      </c>
      <c r="K361" t="str">
        <f t="shared" si="61"/>
        <v>OK</v>
      </c>
      <c r="L361">
        <f t="shared" si="70"/>
        <v>12</v>
      </c>
      <c r="M361">
        <f t="shared" si="62"/>
        <v>10</v>
      </c>
      <c r="N361" s="9" t="str">
        <f t="shared" si="71"/>
        <v>Valid</v>
      </c>
      <c r="O361" t="str">
        <f t="shared" si="63"/>
        <v>Include</v>
      </c>
      <c r="P361" s="9">
        <f t="shared" si="64"/>
        <v>2035068.5799999984</v>
      </c>
      <c r="Q361" s="15">
        <f t="shared" si="65"/>
        <v>7469725</v>
      </c>
      <c r="R361" s="9">
        <f t="shared" si="66"/>
        <v>5788</v>
      </c>
      <c r="S361" s="9">
        <f t="shared" si="67"/>
        <v>7469725</v>
      </c>
      <c r="T361" s="15">
        <f t="shared" si="68"/>
        <v>16.686436250344954</v>
      </c>
      <c r="U361" s="15">
        <f>IF(O361="Exclude",0,G361*Fuel_Price!$B$2)</f>
        <v>1455.051604</v>
      </c>
      <c r="V361" s="15">
        <f t="shared" si="69"/>
        <v>2989922.7577359979</v>
      </c>
    </row>
    <row r="362" spans="1:22">
      <c r="A362" s="1" t="s">
        <v>946</v>
      </c>
      <c r="B362" s="1" t="s">
        <v>947</v>
      </c>
      <c r="C362" s="1" t="s">
        <v>937</v>
      </c>
      <c r="D362" s="1" t="s">
        <v>12</v>
      </c>
      <c r="E362" s="12">
        <v>2245</v>
      </c>
      <c r="F362" s="12" t="s">
        <v>13</v>
      </c>
      <c r="G362" s="6">
        <v>444.55</v>
      </c>
      <c r="H362" s="1">
        <v>22.96</v>
      </c>
      <c r="J362" t="str">
        <f t="shared" si="60"/>
        <v>OK</v>
      </c>
      <c r="K362" t="str">
        <f t="shared" si="61"/>
        <v>OK</v>
      </c>
      <c r="L362">
        <f t="shared" si="70"/>
        <v>12</v>
      </c>
      <c r="M362">
        <f t="shared" si="62"/>
        <v>10</v>
      </c>
      <c r="N362" s="9" t="str">
        <f t="shared" si="71"/>
        <v>Valid</v>
      </c>
      <c r="O362" t="str">
        <f t="shared" si="63"/>
        <v>Include</v>
      </c>
      <c r="P362" s="9">
        <f t="shared" si="64"/>
        <v>2035068.5799999984</v>
      </c>
      <c r="Q362" s="15">
        <f t="shared" si="65"/>
        <v>7469725</v>
      </c>
      <c r="R362" s="9">
        <f t="shared" si="66"/>
        <v>2245</v>
      </c>
      <c r="S362" s="9">
        <f t="shared" si="67"/>
        <v>7469725</v>
      </c>
      <c r="T362" s="15">
        <f t="shared" si="68"/>
        <v>16.686436250344954</v>
      </c>
      <c r="U362" s="15">
        <f>IF(O362="Exclude",0,G362*Fuel_Price!$B$2)</f>
        <v>653.13286000000005</v>
      </c>
      <c r="V362" s="15">
        <f t="shared" si="69"/>
        <v>2989922.7577359979</v>
      </c>
    </row>
    <row r="363" spans="1:22">
      <c r="A363" s="1" t="s">
        <v>948</v>
      </c>
      <c r="B363" s="1" t="s">
        <v>949</v>
      </c>
      <c r="C363" s="1" t="s">
        <v>937</v>
      </c>
      <c r="D363" s="1" t="s">
        <v>12</v>
      </c>
      <c r="E363" s="12">
        <v>10283</v>
      </c>
      <c r="F363" s="12" t="s">
        <v>13</v>
      </c>
      <c r="G363" s="6">
        <v>1471.98</v>
      </c>
      <c r="H363" s="1">
        <v>31.76</v>
      </c>
      <c r="J363" t="str">
        <f t="shared" si="60"/>
        <v>OK</v>
      </c>
      <c r="K363" t="str">
        <f t="shared" si="61"/>
        <v>OK</v>
      </c>
      <c r="L363">
        <f t="shared" si="70"/>
        <v>12</v>
      </c>
      <c r="M363">
        <f t="shared" si="62"/>
        <v>10</v>
      </c>
      <c r="N363" s="9" t="str">
        <f t="shared" si="71"/>
        <v>Valid</v>
      </c>
      <c r="O363" t="str">
        <f t="shared" si="63"/>
        <v>Include</v>
      </c>
      <c r="P363" s="9">
        <f t="shared" si="64"/>
        <v>2035068.5799999984</v>
      </c>
      <c r="Q363" s="15">
        <f t="shared" si="65"/>
        <v>7469725</v>
      </c>
      <c r="R363" s="9">
        <f t="shared" si="66"/>
        <v>10283</v>
      </c>
      <c r="S363" s="9">
        <f t="shared" si="67"/>
        <v>7469725</v>
      </c>
      <c r="T363" s="15">
        <f t="shared" si="68"/>
        <v>16.686436250344954</v>
      </c>
      <c r="U363" s="15">
        <f>IF(O363="Exclude",0,G363*Fuel_Price!$B$2)</f>
        <v>2162.6330160000002</v>
      </c>
      <c r="V363" s="15">
        <f t="shared" si="69"/>
        <v>2989922.7577359979</v>
      </c>
    </row>
    <row r="364" spans="1:22">
      <c r="A364" s="1" t="s">
        <v>950</v>
      </c>
      <c r="B364" s="1" t="s">
        <v>951</v>
      </c>
      <c r="C364" s="1" t="s">
        <v>937</v>
      </c>
      <c r="D364" s="1" t="s">
        <v>12</v>
      </c>
      <c r="E364" s="12">
        <v>12062</v>
      </c>
      <c r="F364" s="12" t="s">
        <v>13</v>
      </c>
      <c r="G364" s="6">
        <v>1749.99</v>
      </c>
      <c r="H364" s="1">
        <v>31.33</v>
      </c>
      <c r="J364" t="str">
        <f t="shared" si="60"/>
        <v>OK</v>
      </c>
      <c r="K364" t="str">
        <f t="shared" si="61"/>
        <v>OK</v>
      </c>
      <c r="L364">
        <f t="shared" si="70"/>
        <v>12</v>
      </c>
      <c r="M364">
        <f t="shared" si="62"/>
        <v>10</v>
      </c>
      <c r="N364" s="9" t="str">
        <f t="shared" si="71"/>
        <v>Valid</v>
      </c>
      <c r="O364" t="str">
        <f t="shared" si="63"/>
        <v>Include</v>
      </c>
      <c r="P364" s="9">
        <f t="shared" si="64"/>
        <v>2035068.5799999984</v>
      </c>
      <c r="Q364" s="15">
        <f t="shared" si="65"/>
        <v>7469725</v>
      </c>
      <c r="R364" s="9">
        <f t="shared" si="66"/>
        <v>12062</v>
      </c>
      <c r="S364" s="9">
        <f t="shared" si="67"/>
        <v>7469725</v>
      </c>
      <c r="T364" s="15">
        <f t="shared" si="68"/>
        <v>16.686436250344954</v>
      </c>
      <c r="U364" s="15">
        <f>IF(O364="Exclude",0,G364*Fuel_Price!$B$2)</f>
        <v>2571.0853080000002</v>
      </c>
      <c r="V364" s="15">
        <f t="shared" si="69"/>
        <v>2989922.7577359979</v>
      </c>
    </row>
    <row r="365" spans="1:22">
      <c r="A365" s="1" t="s">
        <v>952</v>
      </c>
      <c r="B365" s="1" t="s">
        <v>953</v>
      </c>
      <c r="C365" s="1" t="s">
        <v>937</v>
      </c>
      <c r="D365" s="1" t="s">
        <v>12</v>
      </c>
      <c r="E365" s="12">
        <v>3158</v>
      </c>
      <c r="F365" s="12" t="s">
        <v>13</v>
      </c>
      <c r="G365" s="6">
        <v>524.95000000000005</v>
      </c>
      <c r="H365" s="1">
        <v>27.35</v>
      </c>
      <c r="J365" t="str">
        <f t="shared" si="60"/>
        <v>OK</v>
      </c>
      <c r="K365" t="str">
        <f t="shared" si="61"/>
        <v>OK</v>
      </c>
      <c r="L365">
        <f t="shared" si="70"/>
        <v>12</v>
      </c>
      <c r="M365">
        <f t="shared" si="62"/>
        <v>10</v>
      </c>
      <c r="N365" s="9" t="str">
        <f t="shared" si="71"/>
        <v>Valid</v>
      </c>
      <c r="O365" t="str">
        <f t="shared" si="63"/>
        <v>Include</v>
      </c>
      <c r="P365" s="9">
        <f t="shared" si="64"/>
        <v>2035068.5799999984</v>
      </c>
      <c r="Q365" s="15">
        <f t="shared" si="65"/>
        <v>7469725</v>
      </c>
      <c r="R365" s="9">
        <f t="shared" si="66"/>
        <v>3158</v>
      </c>
      <c r="S365" s="9">
        <f t="shared" si="67"/>
        <v>7469725</v>
      </c>
      <c r="T365" s="15">
        <f t="shared" si="68"/>
        <v>16.686436250344954</v>
      </c>
      <c r="U365" s="15">
        <f>IF(O365="Exclude",0,G365*Fuel_Price!$B$2)</f>
        <v>771.25654000000009</v>
      </c>
      <c r="V365" s="15">
        <f t="shared" si="69"/>
        <v>2989922.7577359979</v>
      </c>
    </row>
    <row r="366" spans="1:22">
      <c r="A366" s="1" t="s">
        <v>954</v>
      </c>
      <c r="B366" s="1" t="s">
        <v>955</v>
      </c>
      <c r="C366" s="1" t="s">
        <v>937</v>
      </c>
      <c r="D366" s="1" t="s">
        <v>12</v>
      </c>
      <c r="E366" s="12">
        <v>8200</v>
      </c>
      <c r="F366" s="12" t="s">
        <v>13</v>
      </c>
      <c r="G366" s="6">
        <v>1190.8800000000001</v>
      </c>
      <c r="H366" s="1">
        <v>31.3</v>
      </c>
      <c r="J366" t="str">
        <f t="shared" si="60"/>
        <v>OK</v>
      </c>
      <c r="K366" t="str">
        <f t="shared" si="61"/>
        <v>OK</v>
      </c>
      <c r="L366">
        <f t="shared" si="70"/>
        <v>12</v>
      </c>
      <c r="M366">
        <f t="shared" si="62"/>
        <v>10</v>
      </c>
      <c r="N366" s="9" t="str">
        <f t="shared" si="71"/>
        <v>Valid</v>
      </c>
      <c r="O366" t="str">
        <f t="shared" si="63"/>
        <v>Include</v>
      </c>
      <c r="P366" s="9">
        <f t="shared" si="64"/>
        <v>2035068.5799999984</v>
      </c>
      <c r="Q366" s="15">
        <f t="shared" si="65"/>
        <v>7469725</v>
      </c>
      <c r="R366" s="9">
        <f t="shared" si="66"/>
        <v>8200</v>
      </c>
      <c r="S366" s="9">
        <f t="shared" si="67"/>
        <v>7469725</v>
      </c>
      <c r="T366" s="15">
        <f t="shared" si="68"/>
        <v>16.686436250344954</v>
      </c>
      <c r="U366" s="15">
        <f>IF(O366="Exclude",0,G366*Fuel_Price!$B$2)</f>
        <v>1749.6408960000003</v>
      </c>
      <c r="V366" s="15">
        <f t="shared" si="69"/>
        <v>2989922.7577359979</v>
      </c>
    </row>
    <row r="367" spans="1:22">
      <c r="A367" s="1" t="s">
        <v>956</v>
      </c>
      <c r="B367" s="1" t="s">
        <v>957</v>
      </c>
      <c r="C367" s="1" t="s">
        <v>937</v>
      </c>
      <c r="D367" s="1" t="s">
        <v>12</v>
      </c>
      <c r="E367" s="12">
        <v>10855</v>
      </c>
      <c r="F367" s="12" t="s">
        <v>13</v>
      </c>
      <c r="G367" s="6">
        <v>1563.32</v>
      </c>
      <c r="H367" s="1">
        <v>31.57</v>
      </c>
      <c r="J367" t="str">
        <f t="shared" si="60"/>
        <v>OK</v>
      </c>
      <c r="K367" t="str">
        <f t="shared" si="61"/>
        <v>OK</v>
      </c>
      <c r="L367">
        <f t="shared" si="70"/>
        <v>12</v>
      </c>
      <c r="M367">
        <f t="shared" si="62"/>
        <v>10</v>
      </c>
      <c r="N367" s="9" t="str">
        <f t="shared" si="71"/>
        <v>Valid</v>
      </c>
      <c r="O367" t="str">
        <f t="shared" si="63"/>
        <v>Include</v>
      </c>
      <c r="P367" s="9">
        <f t="shared" si="64"/>
        <v>2035068.5799999984</v>
      </c>
      <c r="Q367" s="15">
        <f t="shared" si="65"/>
        <v>7469725</v>
      </c>
      <c r="R367" s="9">
        <f t="shared" si="66"/>
        <v>10855</v>
      </c>
      <c r="S367" s="9">
        <f t="shared" si="67"/>
        <v>7469725</v>
      </c>
      <c r="T367" s="15">
        <f t="shared" si="68"/>
        <v>16.686436250344954</v>
      </c>
      <c r="U367" s="15">
        <f>IF(O367="Exclude",0,G367*Fuel_Price!$B$2)</f>
        <v>2296.8297440000001</v>
      </c>
      <c r="V367" s="15">
        <f t="shared" si="69"/>
        <v>2989922.7577359979</v>
      </c>
    </row>
    <row r="368" spans="1:22">
      <c r="A368" s="1" t="s">
        <v>958</v>
      </c>
      <c r="B368" s="1" t="s">
        <v>959</v>
      </c>
      <c r="C368" s="1" t="s">
        <v>937</v>
      </c>
      <c r="D368" s="1" t="s">
        <v>12</v>
      </c>
      <c r="E368" s="12">
        <v>5689</v>
      </c>
      <c r="F368" s="12" t="s">
        <v>13</v>
      </c>
      <c r="G368" s="6">
        <v>988.94</v>
      </c>
      <c r="H368" s="1">
        <v>26.15</v>
      </c>
      <c r="J368" t="str">
        <f t="shared" si="60"/>
        <v>OK</v>
      </c>
      <c r="K368" t="str">
        <f t="shared" si="61"/>
        <v>OK</v>
      </c>
      <c r="L368">
        <f t="shared" si="70"/>
        <v>12</v>
      </c>
      <c r="M368">
        <f t="shared" si="62"/>
        <v>10</v>
      </c>
      <c r="N368" s="9" t="str">
        <f t="shared" si="71"/>
        <v>Valid</v>
      </c>
      <c r="O368" t="str">
        <f t="shared" si="63"/>
        <v>Include</v>
      </c>
      <c r="P368" s="9">
        <f t="shared" si="64"/>
        <v>2035068.5799999984</v>
      </c>
      <c r="Q368" s="15">
        <f t="shared" si="65"/>
        <v>7469725</v>
      </c>
      <c r="R368" s="9">
        <f t="shared" si="66"/>
        <v>5689</v>
      </c>
      <c r="S368" s="9">
        <f t="shared" si="67"/>
        <v>7469725</v>
      </c>
      <c r="T368" s="15">
        <f t="shared" si="68"/>
        <v>16.686436250344954</v>
      </c>
      <c r="U368" s="15">
        <f>IF(O368="Exclude",0,G368*Fuel_Price!$B$2)</f>
        <v>1452.9506480000002</v>
      </c>
      <c r="V368" s="15">
        <f t="shared" si="69"/>
        <v>2989922.7577359979</v>
      </c>
    </row>
    <row r="369" spans="1:22">
      <c r="A369" s="1" t="s">
        <v>960</v>
      </c>
      <c r="B369" s="1" t="s">
        <v>961</v>
      </c>
      <c r="C369" s="1" t="s">
        <v>937</v>
      </c>
      <c r="D369" s="1" t="s">
        <v>12</v>
      </c>
      <c r="E369" s="12">
        <v>5963</v>
      </c>
      <c r="F369" s="12" t="s">
        <v>13</v>
      </c>
      <c r="G369" s="6">
        <v>1006.91</v>
      </c>
      <c r="H369" s="1">
        <v>26.92</v>
      </c>
      <c r="J369" t="str">
        <f t="shared" si="60"/>
        <v>OK</v>
      </c>
      <c r="K369" t="str">
        <f t="shared" si="61"/>
        <v>OK</v>
      </c>
      <c r="L369">
        <f t="shared" si="70"/>
        <v>12</v>
      </c>
      <c r="M369">
        <f t="shared" si="62"/>
        <v>10</v>
      </c>
      <c r="N369" s="9" t="str">
        <f t="shared" si="71"/>
        <v>Valid</v>
      </c>
      <c r="O369" t="str">
        <f t="shared" si="63"/>
        <v>Include</v>
      </c>
      <c r="P369" s="9">
        <f t="shared" si="64"/>
        <v>2035068.5799999984</v>
      </c>
      <c r="Q369" s="15">
        <f t="shared" si="65"/>
        <v>7469725</v>
      </c>
      <c r="R369" s="9">
        <f t="shared" si="66"/>
        <v>5963</v>
      </c>
      <c r="S369" s="9">
        <f t="shared" si="67"/>
        <v>7469725</v>
      </c>
      <c r="T369" s="15">
        <f t="shared" si="68"/>
        <v>16.686436250344954</v>
      </c>
      <c r="U369" s="15">
        <f>IF(O369="Exclude",0,G369*Fuel_Price!$B$2)</f>
        <v>1479.3521720000001</v>
      </c>
      <c r="V369" s="15">
        <f t="shared" si="69"/>
        <v>2989922.7577359979</v>
      </c>
    </row>
    <row r="370" spans="1:22">
      <c r="A370" s="1" t="s">
        <v>962</v>
      </c>
      <c r="B370" s="1" t="s">
        <v>963</v>
      </c>
      <c r="C370" s="1" t="s">
        <v>937</v>
      </c>
      <c r="D370" s="1" t="s">
        <v>12</v>
      </c>
      <c r="E370" s="12">
        <v>6555</v>
      </c>
      <c r="F370" s="12" t="s">
        <v>13</v>
      </c>
      <c r="G370" s="6">
        <v>983.19</v>
      </c>
      <c r="H370" s="1">
        <v>30.31</v>
      </c>
      <c r="J370" t="str">
        <f t="shared" si="60"/>
        <v>OK</v>
      </c>
      <c r="K370" t="str">
        <f t="shared" si="61"/>
        <v>OK</v>
      </c>
      <c r="L370">
        <f t="shared" si="70"/>
        <v>12</v>
      </c>
      <c r="M370">
        <f t="shared" si="62"/>
        <v>10</v>
      </c>
      <c r="N370" s="9" t="str">
        <f t="shared" si="71"/>
        <v>Valid</v>
      </c>
      <c r="O370" t="str">
        <f t="shared" si="63"/>
        <v>Include</v>
      </c>
      <c r="P370" s="9">
        <f t="shared" si="64"/>
        <v>2035068.5799999984</v>
      </c>
      <c r="Q370" s="15">
        <f t="shared" si="65"/>
        <v>7469725</v>
      </c>
      <c r="R370" s="9">
        <f t="shared" si="66"/>
        <v>6555</v>
      </c>
      <c r="S370" s="9">
        <f t="shared" si="67"/>
        <v>7469725</v>
      </c>
      <c r="T370" s="15">
        <f t="shared" si="68"/>
        <v>16.686436250344954</v>
      </c>
      <c r="U370" s="15">
        <f>IF(O370="Exclude",0,G370*Fuel_Price!$B$2)</f>
        <v>1444.5027480000001</v>
      </c>
      <c r="V370" s="15">
        <f t="shared" si="69"/>
        <v>2989922.7577359979</v>
      </c>
    </row>
    <row r="371" spans="1:22">
      <c r="A371" s="1" t="s">
        <v>964</v>
      </c>
      <c r="B371" s="1" t="s">
        <v>965</v>
      </c>
      <c r="C371" s="1" t="s">
        <v>937</v>
      </c>
      <c r="D371" s="1" t="s">
        <v>12</v>
      </c>
      <c r="E371" s="12">
        <v>11193</v>
      </c>
      <c r="F371" s="12" t="s">
        <v>13</v>
      </c>
      <c r="G371" s="6">
        <v>1584.89</v>
      </c>
      <c r="H371" s="1">
        <v>32.11</v>
      </c>
      <c r="J371" t="str">
        <f t="shared" si="60"/>
        <v>OK</v>
      </c>
      <c r="K371" t="str">
        <f t="shared" si="61"/>
        <v>OK</v>
      </c>
      <c r="L371">
        <f t="shared" si="70"/>
        <v>12</v>
      </c>
      <c r="M371">
        <f t="shared" si="62"/>
        <v>10</v>
      </c>
      <c r="N371" s="9" t="str">
        <f t="shared" si="71"/>
        <v>Valid</v>
      </c>
      <c r="O371" t="str">
        <f t="shared" si="63"/>
        <v>Include</v>
      </c>
      <c r="P371" s="9">
        <f t="shared" si="64"/>
        <v>2035068.5799999984</v>
      </c>
      <c r="Q371" s="15">
        <f t="shared" si="65"/>
        <v>7469725</v>
      </c>
      <c r="R371" s="9">
        <f t="shared" si="66"/>
        <v>11193</v>
      </c>
      <c r="S371" s="9">
        <f t="shared" si="67"/>
        <v>7469725</v>
      </c>
      <c r="T371" s="15">
        <f t="shared" si="68"/>
        <v>16.686436250344954</v>
      </c>
      <c r="U371" s="15">
        <f>IF(O371="Exclude",0,G371*Fuel_Price!$B$2)</f>
        <v>2328.5203880000004</v>
      </c>
      <c r="V371" s="15">
        <f t="shared" si="69"/>
        <v>2989922.7577359979</v>
      </c>
    </row>
    <row r="372" spans="1:22">
      <c r="A372" s="1" t="s">
        <v>966</v>
      </c>
      <c r="B372" s="1" t="s">
        <v>967</v>
      </c>
      <c r="C372" s="1" t="s">
        <v>968</v>
      </c>
      <c r="D372" s="1" t="s">
        <v>12</v>
      </c>
      <c r="E372" s="12">
        <v>5086</v>
      </c>
      <c r="F372" s="12" t="s">
        <v>13</v>
      </c>
      <c r="G372" s="6">
        <v>684.2</v>
      </c>
      <c r="H372" s="1">
        <v>33.79</v>
      </c>
      <c r="J372" t="str">
        <f t="shared" si="60"/>
        <v>OK</v>
      </c>
      <c r="K372" t="str">
        <f t="shared" si="61"/>
        <v>OK</v>
      </c>
      <c r="L372">
        <f t="shared" si="70"/>
        <v>12</v>
      </c>
      <c r="M372">
        <f t="shared" si="62"/>
        <v>10</v>
      </c>
      <c r="N372" s="9" t="str">
        <f t="shared" si="71"/>
        <v>Valid</v>
      </c>
      <c r="O372" t="str">
        <f t="shared" si="63"/>
        <v>Include</v>
      </c>
      <c r="P372" s="9">
        <f t="shared" si="64"/>
        <v>2035068.5799999984</v>
      </c>
      <c r="Q372" s="15">
        <f t="shared" si="65"/>
        <v>7469725</v>
      </c>
      <c r="R372" s="9">
        <f t="shared" si="66"/>
        <v>5086</v>
      </c>
      <c r="S372" s="9">
        <f t="shared" si="67"/>
        <v>7469725</v>
      </c>
      <c r="T372" s="15">
        <f t="shared" si="68"/>
        <v>16.686436250344954</v>
      </c>
      <c r="U372" s="15">
        <f>IF(O372="Exclude",0,G372*Fuel_Price!$B$2)</f>
        <v>1005.2266400000001</v>
      </c>
      <c r="V372" s="15">
        <f t="shared" si="69"/>
        <v>2989922.7577359979</v>
      </c>
    </row>
    <row r="373" spans="1:22">
      <c r="A373" s="1" t="s">
        <v>969</v>
      </c>
      <c r="B373" s="1" t="s">
        <v>970</v>
      </c>
      <c r="C373" s="1" t="s">
        <v>937</v>
      </c>
      <c r="D373" s="1" t="s">
        <v>12</v>
      </c>
      <c r="E373" s="12">
        <v>7908</v>
      </c>
      <c r="F373" s="12" t="s">
        <v>13</v>
      </c>
      <c r="G373" s="6">
        <v>1085.1600000000001</v>
      </c>
      <c r="H373" s="1">
        <v>33.130000000000003</v>
      </c>
      <c r="J373" t="str">
        <f t="shared" si="60"/>
        <v>OK</v>
      </c>
      <c r="K373" t="str">
        <f t="shared" si="61"/>
        <v>OK</v>
      </c>
      <c r="L373">
        <f t="shared" si="70"/>
        <v>12</v>
      </c>
      <c r="M373">
        <f t="shared" si="62"/>
        <v>10</v>
      </c>
      <c r="N373" s="9" t="str">
        <f t="shared" si="71"/>
        <v>Valid</v>
      </c>
      <c r="O373" t="str">
        <f t="shared" si="63"/>
        <v>Include</v>
      </c>
      <c r="P373" s="9">
        <f t="shared" si="64"/>
        <v>2035068.5799999984</v>
      </c>
      <c r="Q373" s="15">
        <f t="shared" si="65"/>
        <v>7469725</v>
      </c>
      <c r="R373" s="9">
        <f t="shared" si="66"/>
        <v>7908</v>
      </c>
      <c r="S373" s="9">
        <f t="shared" si="67"/>
        <v>7469725</v>
      </c>
      <c r="T373" s="15">
        <f t="shared" si="68"/>
        <v>16.686436250344954</v>
      </c>
      <c r="U373" s="15">
        <f>IF(O373="Exclude",0,G373*Fuel_Price!$B$2)</f>
        <v>1594.3170720000003</v>
      </c>
      <c r="V373" s="15">
        <f t="shared" si="69"/>
        <v>2989922.7577359979</v>
      </c>
    </row>
    <row r="374" spans="1:22">
      <c r="A374" s="1" t="s">
        <v>971</v>
      </c>
      <c r="B374" s="1" t="s">
        <v>972</v>
      </c>
      <c r="C374" s="1" t="s">
        <v>968</v>
      </c>
      <c r="D374" s="1" t="s">
        <v>12</v>
      </c>
      <c r="E374" s="12">
        <v>6472</v>
      </c>
      <c r="F374" s="12" t="s">
        <v>13</v>
      </c>
      <c r="G374" s="6">
        <v>946.25</v>
      </c>
      <c r="H374" s="1">
        <v>31.09</v>
      </c>
      <c r="J374" t="str">
        <f t="shared" si="60"/>
        <v>OK</v>
      </c>
      <c r="K374" t="str">
        <f t="shared" si="61"/>
        <v>OK</v>
      </c>
      <c r="L374">
        <f t="shared" si="70"/>
        <v>12</v>
      </c>
      <c r="M374">
        <f t="shared" si="62"/>
        <v>10</v>
      </c>
      <c r="N374" s="9" t="str">
        <f t="shared" si="71"/>
        <v>Valid</v>
      </c>
      <c r="O374" t="str">
        <f t="shared" si="63"/>
        <v>Include</v>
      </c>
      <c r="P374" s="9">
        <f t="shared" si="64"/>
        <v>2035068.5799999984</v>
      </c>
      <c r="Q374" s="15">
        <f t="shared" si="65"/>
        <v>7469725</v>
      </c>
      <c r="R374" s="9">
        <f t="shared" si="66"/>
        <v>6472</v>
      </c>
      <c r="S374" s="9">
        <f t="shared" si="67"/>
        <v>7469725</v>
      </c>
      <c r="T374" s="15">
        <f t="shared" si="68"/>
        <v>16.686436250344954</v>
      </c>
      <c r="U374" s="15">
        <f>IF(O374="Exclude",0,G374*Fuel_Price!$B$2)</f>
        <v>1390.2305000000001</v>
      </c>
      <c r="V374" s="15">
        <f t="shared" si="69"/>
        <v>2989922.7577359979</v>
      </c>
    </row>
    <row r="375" spans="1:22">
      <c r="A375" s="1" t="s">
        <v>973</v>
      </c>
      <c r="B375" s="1" t="s">
        <v>974</v>
      </c>
      <c r="C375" s="1" t="s">
        <v>968</v>
      </c>
      <c r="D375" s="1" t="s">
        <v>12</v>
      </c>
      <c r="E375" s="12">
        <v>14818</v>
      </c>
      <c r="F375" s="12" t="s">
        <v>13</v>
      </c>
      <c r="G375" s="6">
        <v>1989.44</v>
      </c>
      <c r="H375" s="1">
        <v>33.86</v>
      </c>
      <c r="J375" t="str">
        <f t="shared" si="60"/>
        <v>OK</v>
      </c>
      <c r="K375" t="str">
        <f t="shared" si="61"/>
        <v>OK</v>
      </c>
      <c r="L375">
        <f t="shared" si="70"/>
        <v>12</v>
      </c>
      <c r="M375">
        <f t="shared" si="62"/>
        <v>10</v>
      </c>
      <c r="N375" s="9" t="str">
        <f t="shared" si="71"/>
        <v>Valid</v>
      </c>
      <c r="O375" t="str">
        <f t="shared" si="63"/>
        <v>Include</v>
      </c>
      <c r="P375" s="9">
        <f t="shared" si="64"/>
        <v>2035068.5799999984</v>
      </c>
      <c r="Q375" s="15">
        <f t="shared" si="65"/>
        <v>7469725</v>
      </c>
      <c r="R375" s="9">
        <f t="shared" si="66"/>
        <v>14818</v>
      </c>
      <c r="S375" s="9">
        <f t="shared" si="67"/>
        <v>7469725</v>
      </c>
      <c r="T375" s="15">
        <f t="shared" si="68"/>
        <v>16.686436250344954</v>
      </c>
      <c r="U375" s="15">
        <f>IF(O375="Exclude",0,G375*Fuel_Price!$B$2)</f>
        <v>2922.885248</v>
      </c>
      <c r="V375" s="15">
        <f t="shared" si="69"/>
        <v>2989922.7577359979</v>
      </c>
    </row>
    <row r="376" spans="1:22">
      <c r="A376" s="1" t="s">
        <v>975</v>
      </c>
      <c r="B376" s="1" t="s">
        <v>976</v>
      </c>
      <c r="C376" s="1" t="s">
        <v>968</v>
      </c>
      <c r="D376" s="1" t="s">
        <v>12</v>
      </c>
      <c r="E376" s="12">
        <v>11144</v>
      </c>
      <c r="F376" s="12" t="s">
        <v>13</v>
      </c>
      <c r="G376" s="6">
        <v>1533.14</v>
      </c>
      <c r="H376" s="1">
        <v>33.04</v>
      </c>
      <c r="J376" t="str">
        <f t="shared" si="60"/>
        <v>OK</v>
      </c>
      <c r="K376" t="str">
        <f t="shared" si="61"/>
        <v>OK</v>
      </c>
      <c r="L376">
        <f t="shared" si="70"/>
        <v>12</v>
      </c>
      <c r="M376">
        <f t="shared" si="62"/>
        <v>10</v>
      </c>
      <c r="N376" s="9" t="str">
        <f t="shared" si="71"/>
        <v>Valid</v>
      </c>
      <c r="O376" t="str">
        <f t="shared" si="63"/>
        <v>Include</v>
      </c>
      <c r="P376" s="9">
        <f t="shared" si="64"/>
        <v>2035068.5799999984</v>
      </c>
      <c r="Q376" s="15">
        <f t="shared" si="65"/>
        <v>7469725</v>
      </c>
      <c r="R376" s="9">
        <f t="shared" si="66"/>
        <v>11144</v>
      </c>
      <c r="S376" s="9">
        <f t="shared" si="67"/>
        <v>7469725</v>
      </c>
      <c r="T376" s="15">
        <f t="shared" si="68"/>
        <v>16.686436250344954</v>
      </c>
      <c r="U376" s="15">
        <f>IF(O376="Exclude",0,G376*Fuel_Price!$B$2)</f>
        <v>2252.4892880000002</v>
      </c>
      <c r="V376" s="15">
        <f t="shared" si="69"/>
        <v>2989922.7577359979</v>
      </c>
    </row>
    <row r="377" spans="1:22">
      <c r="A377" s="1" t="s">
        <v>977</v>
      </c>
      <c r="B377" s="1" t="s">
        <v>978</v>
      </c>
      <c r="C377" s="1" t="s">
        <v>968</v>
      </c>
      <c r="D377" s="1" t="s">
        <v>12</v>
      </c>
      <c r="E377" s="12">
        <v>7385</v>
      </c>
      <c r="F377" s="12" t="s">
        <v>13</v>
      </c>
      <c r="G377" s="6">
        <v>1118.73</v>
      </c>
      <c r="H377" s="1">
        <v>30.01</v>
      </c>
      <c r="J377" t="str">
        <f t="shared" si="60"/>
        <v>OK</v>
      </c>
      <c r="K377" t="str">
        <f t="shared" si="61"/>
        <v>OK</v>
      </c>
      <c r="L377">
        <f t="shared" si="70"/>
        <v>12</v>
      </c>
      <c r="M377">
        <f t="shared" si="62"/>
        <v>10</v>
      </c>
      <c r="N377" s="9" t="str">
        <f t="shared" si="71"/>
        <v>Valid</v>
      </c>
      <c r="O377" t="str">
        <f t="shared" si="63"/>
        <v>Include</v>
      </c>
      <c r="P377" s="9">
        <f t="shared" si="64"/>
        <v>2035068.5799999984</v>
      </c>
      <c r="Q377" s="15">
        <f t="shared" si="65"/>
        <v>7469725</v>
      </c>
      <c r="R377" s="9">
        <f t="shared" si="66"/>
        <v>7385</v>
      </c>
      <c r="S377" s="9">
        <f t="shared" si="67"/>
        <v>7469725</v>
      </c>
      <c r="T377" s="15">
        <f t="shared" si="68"/>
        <v>16.686436250344954</v>
      </c>
      <c r="U377" s="15">
        <f>IF(O377="Exclude",0,G377*Fuel_Price!$B$2)</f>
        <v>1643.6381160000001</v>
      </c>
      <c r="V377" s="15">
        <f t="shared" si="69"/>
        <v>2989922.7577359979</v>
      </c>
    </row>
    <row r="378" spans="1:22">
      <c r="A378" s="1" t="s">
        <v>979</v>
      </c>
      <c r="B378" s="1" t="s">
        <v>980</v>
      </c>
      <c r="C378" s="1" t="s">
        <v>937</v>
      </c>
      <c r="D378" s="1" t="s">
        <v>12</v>
      </c>
      <c r="E378" s="12">
        <v>6151</v>
      </c>
      <c r="F378" s="12" t="s">
        <v>13</v>
      </c>
      <c r="G378" s="6">
        <v>1250.28</v>
      </c>
      <c r="H378" s="1">
        <v>22.37</v>
      </c>
      <c r="J378" t="str">
        <f t="shared" si="60"/>
        <v>OK</v>
      </c>
      <c r="K378" t="str">
        <f t="shared" si="61"/>
        <v>OK</v>
      </c>
      <c r="L378">
        <f t="shared" si="70"/>
        <v>12</v>
      </c>
      <c r="M378">
        <f t="shared" si="62"/>
        <v>10</v>
      </c>
      <c r="N378" s="9" t="str">
        <f t="shared" si="71"/>
        <v>Valid</v>
      </c>
      <c r="O378" t="str">
        <f t="shared" si="63"/>
        <v>Include</v>
      </c>
      <c r="P378" s="9">
        <f t="shared" si="64"/>
        <v>2035068.5799999984</v>
      </c>
      <c r="Q378" s="15">
        <f t="shared" si="65"/>
        <v>7469725</v>
      </c>
      <c r="R378" s="9">
        <f t="shared" si="66"/>
        <v>6151</v>
      </c>
      <c r="S378" s="9">
        <f t="shared" si="67"/>
        <v>7469725</v>
      </c>
      <c r="T378" s="15">
        <f t="shared" si="68"/>
        <v>16.686436250344954</v>
      </c>
      <c r="U378" s="15">
        <f>IF(O378="Exclude",0,G378*Fuel_Price!$B$2)</f>
        <v>1836.911376</v>
      </c>
      <c r="V378" s="15">
        <f t="shared" si="69"/>
        <v>2989922.7577359979</v>
      </c>
    </row>
    <row r="379" spans="1:22">
      <c r="A379" s="1" t="s">
        <v>981</v>
      </c>
      <c r="B379" s="1" t="s">
        <v>982</v>
      </c>
      <c r="C379" s="1" t="s">
        <v>968</v>
      </c>
      <c r="D379" s="1" t="s">
        <v>12</v>
      </c>
      <c r="E379" s="12">
        <v>9579</v>
      </c>
      <c r="F379" s="12" t="s">
        <v>13</v>
      </c>
      <c r="G379" s="6">
        <v>1388.18</v>
      </c>
      <c r="H379" s="1">
        <v>31.37</v>
      </c>
      <c r="J379" t="str">
        <f t="shared" si="60"/>
        <v>OK</v>
      </c>
      <c r="K379" t="str">
        <f t="shared" si="61"/>
        <v>OK</v>
      </c>
      <c r="L379">
        <f t="shared" si="70"/>
        <v>12</v>
      </c>
      <c r="M379">
        <f t="shared" si="62"/>
        <v>10</v>
      </c>
      <c r="N379" s="9" t="str">
        <f t="shared" si="71"/>
        <v>Valid</v>
      </c>
      <c r="O379" t="str">
        <f t="shared" si="63"/>
        <v>Include</v>
      </c>
      <c r="P379" s="9">
        <f t="shared" si="64"/>
        <v>2035068.5799999984</v>
      </c>
      <c r="Q379" s="15">
        <f t="shared" si="65"/>
        <v>7469725</v>
      </c>
      <c r="R379" s="9">
        <f t="shared" si="66"/>
        <v>9579</v>
      </c>
      <c r="S379" s="9">
        <f t="shared" si="67"/>
        <v>7469725</v>
      </c>
      <c r="T379" s="15">
        <f t="shared" si="68"/>
        <v>16.686436250344954</v>
      </c>
      <c r="U379" s="15">
        <f>IF(O379="Exclude",0,G379*Fuel_Price!$B$2)</f>
        <v>2039.5140560000002</v>
      </c>
      <c r="V379" s="15">
        <f t="shared" si="69"/>
        <v>2989922.7577359979</v>
      </c>
    </row>
    <row r="380" spans="1:22">
      <c r="A380" s="1" t="s">
        <v>983</v>
      </c>
      <c r="B380" s="1" t="s">
        <v>984</v>
      </c>
      <c r="C380" s="1" t="s">
        <v>968</v>
      </c>
      <c r="D380" s="1" t="s">
        <v>12</v>
      </c>
      <c r="E380" s="12">
        <v>11272</v>
      </c>
      <c r="F380" s="12" t="s">
        <v>13</v>
      </c>
      <c r="G380" s="6">
        <v>1649.68</v>
      </c>
      <c r="H380" s="1">
        <v>31.06</v>
      </c>
      <c r="J380" t="str">
        <f t="shared" si="60"/>
        <v>OK</v>
      </c>
      <c r="K380" t="str">
        <f t="shared" si="61"/>
        <v>OK</v>
      </c>
      <c r="L380">
        <f t="shared" si="70"/>
        <v>12</v>
      </c>
      <c r="M380">
        <f t="shared" si="62"/>
        <v>10</v>
      </c>
      <c r="N380" s="9" t="str">
        <f t="shared" si="71"/>
        <v>Valid</v>
      </c>
      <c r="O380" t="str">
        <f t="shared" si="63"/>
        <v>Include</v>
      </c>
      <c r="P380" s="9">
        <f t="shared" si="64"/>
        <v>2035068.5799999984</v>
      </c>
      <c r="Q380" s="15">
        <f t="shared" si="65"/>
        <v>7469725</v>
      </c>
      <c r="R380" s="9">
        <f t="shared" si="66"/>
        <v>11272</v>
      </c>
      <c r="S380" s="9">
        <f t="shared" si="67"/>
        <v>7469725</v>
      </c>
      <c r="T380" s="15">
        <f t="shared" si="68"/>
        <v>16.686436250344954</v>
      </c>
      <c r="U380" s="15">
        <f>IF(O380="Exclude",0,G380*Fuel_Price!$B$2)</f>
        <v>2423.7098560000004</v>
      </c>
      <c r="V380" s="15">
        <f t="shared" si="69"/>
        <v>2989922.7577359979</v>
      </c>
    </row>
    <row r="381" spans="1:22">
      <c r="A381" s="1" t="s">
        <v>985</v>
      </c>
      <c r="B381" s="1" t="s">
        <v>986</v>
      </c>
      <c r="C381" s="1" t="s">
        <v>968</v>
      </c>
      <c r="D381" s="1" t="s">
        <v>12</v>
      </c>
      <c r="E381" s="12">
        <v>12757</v>
      </c>
      <c r="F381" s="12" t="s">
        <v>13</v>
      </c>
      <c r="G381" s="6">
        <v>1888.3</v>
      </c>
      <c r="H381" s="1">
        <v>30.71</v>
      </c>
      <c r="J381" t="str">
        <f t="shared" si="60"/>
        <v>OK</v>
      </c>
      <c r="K381" t="str">
        <f t="shared" si="61"/>
        <v>OK</v>
      </c>
      <c r="L381">
        <f t="shared" si="70"/>
        <v>12</v>
      </c>
      <c r="M381">
        <f t="shared" si="62"/>
        <v>10</v>
      </c>
      <c r="N381" s="9" t="str">
        <f t="shared" si="71"/>
        <v>Valid</v>
      </c>
      <c r="O381" t="str">
        <f t="shared" si="63"/>
        <v>Include</v>
      </c>
      <c r="P381" s="9">
        <f t="shared" si="64"/>
        <v>2035068.5799999984</v>
      </c>
      <c r="Q381" s="15">
        <f t="shared" si="65"/>
        <v>7469725</v>
      </c>
      <c r="R381" s="9">
        <f t="shared" si="66"/>
        <v>12757</v>
      </c>
      <c r="S381" s="9">
        <f t="shared" si="67"/>
        <v>7469725</v>
      </c>
      <c r="T381" s="15">
        <f t="shared" si="68"/>
        <v>16.686436250344954</v>
      </c>
      <c r="U381" s="15">
        <f>IF(O381="Exclude",0,G381*Fuel_Price!$B$2)</f>
        <v>2774.29036</v>
      </c>
      <c r="V381" s="15">
        <f t="shared" si="69"/>
        <v>2989922.7577359979</v>
      </c>
    </row>
    <row r="382" spans="1:22">
      <c r="A382" s="1" t="s">
        <v>987</v>
      </c>
      <c r="B382" s="1" t="s">
        <v>988</v>
      </c>
      <c r="C382" s="1" t="s">
        <v>937</v>
      </c>
      <c r="D382" s="1" t="s">
        <v>12</v>
      </c>
      <c r="E382" s="12">
        <v>12113</v>
      </c>
      <c r="F382" s="12" t="s">
        <v>13</v>
      </c>
      <c r="G382" s="6">
        <v>1713.01</v>
      </c>
      <c r="H382" s="1">
        <v>32.15</v>
      </c>
      <c r="J382" t="str">
        <f t="shared" si="60"/>
        <v>OK</v>
      </c>
      <c r="K382" t="str">
        <f t="shared" si="61"/>
        <v>OK</v>
      </c>
      <c r="L382">
        <f t="shared" si="70"/>
        <v>12</v>
      </c>
      <c r="M382">
        <f t="shared" si="62"/>
        <v>10</v>
      </c>
      <c r="N382" s="9" t="str">
        <f t="shared" si="71"/>
        <v>Valid</v>
      </c>
      <c r="O382" t="str">
        <f t="shared" si="63"/>
        <v>Include</v>
      </c>
      <c r="P382" s="9">
        <f t="shared" si="64"/>
        <v>2035068.5799999984</v>
      </c>
      <c r="Q382" s="15">
        <f t="shared" si="65"/>
        <v>7469725</v>
      </c>
      <c r="R382" s="9">
        <f t="shared" si="66"/>
        <v>12113</v>
      </c>
      <c r="S382" s="9">
        <f t="shared" si="67"/>
        <v>7469725</v>
      </c>
      <c r="T382" s="15">
        <f t="shared" si="68"/>
        <v>16.686436250344954</v>
      </c>
      <c r="U382" s="15">
        <f>IF(O382="Exclude",0,G382*Fuel_Price!$B$2)</f>
        <v>2516.7542920000001</v>
      </c>
      <c r="V382" s="15">
        <f t="shared" si="69"/>
        <v>2989922.7577359979</v>
      </c>
    </row>
    <row r="383" spans="1:22">
      <c r="A383" s="1" t="s">
        <v>989</v>
      </c>
      <c r="B383" s="1" t="s">
        <v>990</v>
      </c>
      <c r="C383" s="1" t="s">
        <v>937</v>
      </c>
      <c r="D383" s="1" t="s">
        <v>12</v>
      </c>
      <c r="E383" s="12">
        <v>9895</v>
      </c>
      <c r="F383" s="12" t="s">
        <v>13</v>
      </c>
      <c r="G383" s="6">
        <v>1249.48</v>
      </c>
      <c r="H383" s="1">
        <v>36</v>
      </c>
      <c r="J383" t="str">
        <f t="shared" si="60"/>
        <v>OK</v>
      </c>
      <c r="K383" t="str">
        <f t="shared" si="61"/>
        <v>OK</v>
      </c>
      <c r="L383">
        <f t="shared" si="70"/>
        <v>12</v>
      </c>
      <c r="M383">
        <f t="shared" si="62"/>
        <v>10</v>
      </c>
      <c r="N383" s="9" t="str">
        <f t="shared" si="71"/>
        <v>Valid</v>
      </c>
      <c r="O383" t="str">
        <f t="shared" si="63"/>
        <v>Include</v>
      </c>
      <c r="P383" s="9">
        <f t="shared" si="64"/>
        <v>2035068.5799999984</v>
      </c>
      <c r="Q383" s="15">
        <f t="shared" si="65"/>
        <v>7469725</v>
      </c>
      <c r="R383" s="9">
        <f t="shared" si="66"/>
        <v>9895</v>
      </c>
      <c r="S383" s="9">
        <f t="shared" si="67"/>
        <v>7469725</v>
      </c>
      <c r="T383" s="15">
        <f t="shared" si="68"/>
        <v>16.686436250344954</v>
      </c>
      <c r="U383" s="15">
        <f>IF(O383="Exclude",0,G383*Fuel_Price!$B$2)</f>
        <v>1835.7360160000001</v>
      </c>
      <c r="V383" s="15">
        <f t="shared" si="69"/>
        <v>2989922.7577359979</v>
      </c>
    </row>
    <row r="384" spans="1:22">
      <c r="A384" s="1" t="s">
        <v>991</v>
      </c>
      <c r="B384" s="1" t="s">
        <v>992</v>
      </c>
      <c r="C384" s="1" t="s">
        <v>993</v>
      </c>
      <c r="D384" s="1" t="s">
        <v>12</v>
      </c>
      <c r="E384" s="12">
        <v>8026</v>
      </c>
      <c r="F384" s="12" t="s">
        <v>13</v>
      </c>
      <c r="G384" s="6">
        <v>1097.44</v>
      </c>
      <c r="H384" s="1">
        <v>33.25</v>
      </c>
      <c r="J384" t="str">
        <f t="shared" si="60"/>
        <v>OK</v>
      </c>
      <c r="K384" t="str">
        <f t="shared" si="61"/>
        <v>OK</v>
      </c>
      <c r="L384">
        <f t="shared" si="70"/>
        <v>12</v>
      </c>
      <c r="M384">
        <f t="shared" si="62"/>
        <v>10</v>
      </c>
      <c r="N384" s="9" t="str">
        <f t="shared" si="71"/>
        <v>Valid</v>
      </c>
      <c r="O384" t="str">
        <f t="shared" si="63"/>
        <v>Include</v>
      </c>
      <c r="P384" s="9">
        <f t="shared" si="64"/>
        <v>2035068.5799999984</v>
      </c>
      <c r="Q384" s="15">
        <f t="shared" si="65"/>
        <v>7469725</v>
      </c>
      <c r="R384" s="9">
        <f t="shared" si="66"/>
        <v>8026</v>
      </c>
      <c r="S384" s="9">
        <f t="shared" si="67"/>
        <v>7469725</v>
      </c>
      <c r="T384" s="15">
        <f t="shared" si="68"/>
        <v>16.686436250344954</v>
      </c>
      <c r="U384" s="15">
        <f>IF(O384="Exclude",0,G384*Fuel_Price!$B$2)</f>
        <v>1612.3588480000001</v>
      </c>
      <c r="V384" s="15">
        <f t="shared" si="69"/>
        <v>2989922.7577359979</v>
      </c>
    </row>
    <row r="385" spans="1:22">
      <c r="A385" s="1" t="s">
        <v>994</v>
      </c>
      <c r="B385" s="1" t="s">
        <v>980</v>
      </c>
      <c r="C385" s="1" t="s">
        <v>968</v>
      </c>
      <c r="D385" s="1" t="s">
        <v>12</v>
      </c>
      <c r="E385" s="12">
        <v>11287</v>
      </c>
      <c r="F385" s="12" t="s">
        <v>13</v>
      </c>
      <c r="G385" s="6">
        <v>1436.14</v>
      </c>
      <c r="H385" s="1">
        <v>35.729999999999997</v>
      </c>
      <c r="J385" t="str">
        <f t="shared" si="60"/>
        <v>OK</v>
      </c>
      <c r="K385" t="str">
        <f t="shared" si="61"/>
        <v>OK</v>
      </c>
      <c r="L385">
        <f t="shared" si="70"/>
        <v>12</v>
      </c>
      <c r="M385">
        <f t="shared" si="62"/>
        <v>10</v>
      </c>
      <c r="N385" s="9" t="str">
        <f t="shared" si="71"/>
        <v>Valid</v>
      </c>
      <c r="O385" t="str">
        <f t="shared" si="63"/>
        <v>Include</v>
      </c>
      <c r="P385" s="9">
        <f t="shared" si="64"/>
        <v>2035068.5799999984</v>
      </c>
      <c r="Q385" s="15">
        <f t="shared" si="65"/>
        <v>7469725</v>
      </c>
      <c r="R385" s="9">
        <f t="shared" si="66"/>
        <v>11287</v>
      </c>
      <c r="S385" s="9">
        <f t="shared" si="67"/>
        <v>7469725</v>
      </c>
      <c r="T385" s="15">
        <f t="shared" si="68"/>
        <v>16.686436250344954</v>
      </c>
      <c r="U385" s="15">
        <f>IF(O385="Exclude",0,G385*Fuel_Price!$B$2)</f>
        <v>2109.9768880000001</v>
      </c>
      <c r="V385" s="15">
        <f t="shared" si="69"/>
        <v>2989922.7577359979</v>
      </c>
    </row>
    <row r="386" spans="1:22">
      <c r="A386" s="1" t="s">
        <v>995</v>
      </c>
      <c r="B386" s="1" t="s">
        <v>996</v>
      </c>
      <c r="C386" s="1" t="s">
        <v>937</v>
      </c>
      <c r="D386" s="1" t="s">
        <v>12</v>
      </c>
      <c r="E386" s="12">
        <v>1069</v>
      </c>
      <c r="F386" s="12" t="s">
        <v>13</v>
      </c>
      <c r="G386" s="6">
        <v>147.44</v>
      </c>
      <c r="H386" s="1">
        <v>32.96</v>
      </c>
      <c r="J386" t="str">
        <f t="shared" ref="J386:J449" si="72">IF(OR(H386&lt;=0,H386&gt;100),"Check","OK")</f>
        <v>OK</v>
      </c>
      <c r="K386" t="str">
        <f t="shared" ref="K386:K449" si="73">IF(E386&lt;0,"Check","OK")</f>
        <v>OK</v>
      </c>
      <c r="L386">
        <f t="shared" si="70"/>
        <v>12</v>
      </c>
      <c r="M386">
        <f t="shared" ref="M386:M449" si="74">COUNTIF(K:K,"Check")</f>
        <v>10</v>
      </c>
      <c r="N386" s="9" t="str">
        <f t="shared" si="71"/>
        <v>Valid</v>
      </c>
      <c r="O386" t="str">
        <f t="shared" ref="O386:O449" si="75">IF(N386="Review","Exclude","Include")</f>
        <v>Include</v>
      </c>
      <c r="P386" s="9">
        <f t="shared" ref="P386:P449" si="76">SUMIF(O:O,"Include",G:G)</f>
        <v>2035068.5799999984</v>
      </c>
      <c r="Q386" s="15">
        <f t="shared" ref="Q386:Q449" si="77">SUMIF(O:O,"Include",E:E)</f>
        <v>7469725</v>
      </c>
      <c r="R386" s="9">
        <f t="shared" ref="R386:R449" si="78">IF(O386="Exclude",0,E386)</f>
        <v>1069</v>
      </c>
      <c r="S386" s="9">
        <f t="shared" ref="S386:S449" si="79">SUM(R:R)</f>
        <v>7469725</v>
      </c>
      <c r="T386" s="15">
        <f t="shared" ref="T386:T449" si="80">S386/(P386/4.54609)</f>
        <v>16.686436250344954</v>
      </c>
      <c r="U386" s="15">
        <f>IF(O386="Exclude",0,G386*Fuel_Price!$B$2)</f>
        <v>216.61884800000001</v>
      </c>
      <c r="V386" s="15">
        <f t="shared" ref="V386:V449" si="81">SUM(U:U)</f>
        <v>2989922.7577359979</v>
      </c>
    </row>
    <row r="387" spans="1:22">
      <c r="A387" s="1" t="s">
        <v>997</v>
      </c>
      <c r="B387" s="1" t="s">
        <v>998</v>
      </c>
      <c r="C387" s="1" t="s">
        <v>937</v>
      </c>
      <c r="D387" s="1" t="s">
        <v>12</v>
      </c>
      <c r="E387" s="12">
        <v>8345</v>
      </c>
      <c r="F387" s="12" t="s">
        <v>13</v>
      </c>
      <c r="G387" s="6">
        <v>1248.7</v>
      </c>
      <c r="H387" s="1">
        <v>30.38</v>
      </c>
      <c r="J387" t="str">
        <f t="shared" si="72"/>
        <v>OK</v>
      </c>
      <c r="K387" t="str">
        <f t="shared" si="73"/>
        <v>OK</v>
      </c>
      <c r="L387">
        <f t="shared" ref="L387:L450" si="82">COUNTIF(J:J,"Check")</f>
        <v>12</v>
      </c>
      <c r="M387">
        <f t="shared" si="74"/>
        <v>10</v>
      </c>
      <c r="N387" s="9" t="str">
        <f t="shared" si="71"/>
        <v>Valid</v>
      </c>
      <c r="O387" t="str">
        <f t="shared" si="75"/>
        <v>Include</v>
      </c>
      <c r="P387" s="9">
        <f t="shared" si="76"/>
        <v>2035068.5799999984</v>
      </c>
      <c r="Q387" s="15">
        <f t="shared" si="77"/>
        <v>7469725</v>
      </c>
      <c r="R387" s="9">
        <f t="shared" si="78"/>
        <v>8345</v>
      </c>
      <c r="S387" s="9">
        <f t="shared" si="79"/>
        <v>7469725</v>
      </c>
      <c r="T387" s="15">
        <f t="shared" si="80"/>
        <v>16.686436250344954</v>
      </c>
      <c r="U387" s="15">
        <f>IF(O387="Exclude",0,G387*Fuel_Price!$B$2)</f>
        <v>1834.59004</v>
      </c>
      <c r="V387" s="15">
        <f t="shared" si="81"/>
        <v>2989922.7577359979</v>
      </c>
    </row>
    <row r="388" spans="1:22">
      <c r="A388" s="1" t="s">
        <v>999</v>
      </c>
      <c r="B388" s="1" t="s">
        <v>1000</v>
      </c>
      <c r="C388" s="1" t="s">
        <v>1001</v>
      </c>
      <c r="D388" s="1" t="s">
        <v>12</v>
      </c>
      <c r="E388" s="12">
        <v>2482</v>
      </c>
      <c r="F388" s="12" t="s">
        <v>13</v>
      </c>
      <c r="G388" s="6">
        <v>341.14</v>
      </c>
      <c r="H388" s="1">
        <v>33.08</v>
      </c>
      <c r="J388" t="str">
        <f t="shared" si="72"/>
        <v>OK</v>
      </c>
      <c r="K388" t="str">
        <f t="shared" si="73"/>
        <v>OK</v>
      </c>
      <c r="L388">
        <f t="shared" si="82"/>
        <v>12</v>
      </c>
      <c r="M388">
        <f t="shared" si="74"/>
        <v>10</v>
      </c>
      <c r="N388" s="9" t="str">
        <f t="shared" si="71"/>
        <v>Valid</v>
      </c>
      <c r="O388" t="str">
        <f t="shared" si="75"/>
        <v>Include</v>
      </c>
      <c r="P388" s="9">
        <f t="shared" si="76"/>
        <v>2035068.5799999984</v>
      </c>
      <c r="Q388" s="15">
        <f t="shared" si="77"/>
        <v>7469725</v>
      </c>
      <c r="R388" s="9">
        <f t="shared" si="78"/>
        <v>2482</v>
      </c>
      <c r="S388" s="9">
        <f t="shared" si="79"/>
        <v>7469725</v>
      </c>
      <c r="T388" s="15">
        <f t="shared" si="80"/>
        <v>16.686436250344954</v>
      </c>
      <c r="U388" s="15">
        <f>IF(O388="Exclude",0,G388*Fuel_Price!$B$2)</f>
        <v>501.20288799999997</v>
      </c>
      <c r="V388" s="15">
        <f t="shared" si="81"/>
        <v>2989922.7577359979</v>
      </c>
    </row>
    <row r="389" spans="1:22">
      <c r="A389" s="1" t="s">
        <v>1002</v>
      </c>
      <c r="B389" s="1" t="s">
        <v>1003</v>
      </c>
      <c r="C389" s="1" t="s">
        <v>937</v>
      </c>
      <c r="D389" s="1" t="s">
        <v>12</v>
      </c>
      <c r="E389" s="12">
        <v>4088</v>
      </c>
      <c r="F389" s="12" t="s">
        <v>13</v>
      </c>
      <c r="G389" s="6">
        <v>673.85</v>
      </c>
      <c r="H389" s="1">
        <v>27.58</v>
      </c>
      <c r="J389" t="str">
        <f t="shared" si="72"/>
        <v>OK</v>
      </c>
      <c r="K389" t="str">
        <f t="shared" si="73"/>
        <v>OK</v>
      </c>
      <c r="L389">
        <f t="shared" si="82"/>
        <v>12</v>
      </c>
      <c r="M389">
        <f t="shared" si="74"/>
        <v>10</v>
      </c>
      <c r="N389" s="9" t="str">
        <f t="shared" si="71"/>
        <v>Valid</v>
      </c>
      <c r="O389" t="str">
        <f t="shared" si="75"/>
        <v>Include</v>
      </c>
      <c r="P389" s="9">
        <f t="shared" si="76"/>
        <v>2035068.5799999984</v>
      </c>
      <c r="Q389" s="15">
        <f t="shared" si="77"/>
        <v>7469725</v>
      </c>
      <c r="R389" s="9">
        <f t="shared" si="78"/>
        <v>4088</v>
      </c>
      <c r="S389" s="9">
        <f t="shared" si="79"/>
        <v>7469725</v>
      </c>
      <c r="T389" s="15">
        <f t="shared" si="80"/>
        <v>16.686436250344954</v>
      </c>
      <c r="U389" s="15">
        <f>IF(O389="Exclude",0,G389*Fuel_Price!$B$2)</f>
        <v>990.02042000000006</v>
      </c>
      <c r="V389" s="15">
        <f t="shared" si="81"/>
        <v>2989922.7577359979</v>
      </c>
    </row>
    <row r="390" spans="1:22">
      <c r="A390" s="1" t="s">
        <v>1004</v>
      </c>
      <c r="B390" s="1" t="s">
        <v>1005</v>
      </c>
      <c r="C390" s="1" t="s">
        <v>937</v>
      </c>
      <c r="D390" s="1" t="s">
        <v>12</v>
      </c>
      <c r="E390" s="12">
        <v>4448</v>
      </c>
      <c r="F390" s="12" t="s">
        <v>13</v>
      </c>
      <c r="G390" s="6">
        <v>631.34</v>
      </c>
      <c r="H390" s="1">
        <v>32.03</v>
      </c>
      <c r="J390" t="str">
        <f t="shared" si="72"/>
        <v>OK</v>
      </c>
      <c r="K390" t="str">
        <f t="shared" si="73"/>
        <v>OK</v>
      </c>
      <c r="L390">
        <f t="shared" si="82"/>
        <v>12</v>
      </c>
      <c r="M390">
        <f t="shared" si="74"/>
        <v>10</v>
      </c>
      <c r="N390" s="9" t="str">
        <f t="shared" si="71"/>
        <v>Valid</v>
      </c>
      <c r="O390" t="str">
        <f t="shared" si="75"/>
        <v>Include</v>
      </c>
      <c r="P390" s="9">
        <f t="shared" si="76"/>
        <v>2035068.5799999984</v>
      </c>
      <c r="Q390" s="15">
        <f t="shared" si="77"/>
        <v>7469725</v>
      </c>
      <c r="R390" s="9">
        <f t="shared" si="78"/>
        <v>4448</v>
      </c>
      <c r="S390" s="9">
        <f t="shared" si="79"/>
        <v>7469725</v>
      </c>
      <c r="T390" s="15">
        <f t="shared" si="80"/>
        <v>16.686436250344954</v>
      </c>
      <c r="U390" s="15">
        <f>IF(O390="Exclude",0,G390*Fuel_Price!$B$2)</f>
        <v>927.56472800000006</v>
      </c>
      <c r="V390" s="15">
        <f t="shared" si="81"/>
        <v>2989922.7577359979</v>
      </c>
    </row>
    <row r="391" spans="1:22">
      <c r="A391" s="1" t="s">
        <v>1006</v>
      </c>
      <c r="B391" s="1" t="s">
        <v>1007</v>
      </c>
      <c r="C391" s="1" t="s">
        <v>937</v>
      </c>
      <c r="D391" s="1" t="s">
        <v>12</v>
      </c>
      <c r="E391" s="12">
        <v>12286</v>
      </c>
      <c r="F391" s="12" t="s">
        <v>13</v>
      </c>
      <c r="G391" s="6">
        <v>1681.35</v>
      </c>
      <c r="H391" s="1">
        <v>33.22</v>
      </c>
      <c r="J391" t="str">
        <f t="shared" si="72"/>
        <v>OK</v>
      </c>
      <c r="K391" t="str">
        <f t="shared" si="73"/>
        <v>OK</v>
      </c>
      <c r="L391">
        <f t="shared" si="82"/>
        <v>12</v>
      </c>
      <c r="M391">
        <f t="shared" si="74"/>
        <v>10</v>
      </c>
      <c r="N391" s="9" t="str">
        <f t="shared" ref="N391:N454" si="83">IF(OR(H391&lt;=0,H391&gt;100,E391&lt;0),"Review","Valid")</f>
        <v>Valid</v>
      </c>
      <c r="O391" t="str">
        <f t="shared" si="75"/>
        <v>Include</v>
      </c>
      <c r="P391" s="9">
        <f t="shared" si="76"/>
        <v>2035068.5799999984</v>
      </c>
      <c r="Q391" s="15">
        <f t="shared" si="77"/>
        <v>7469725</v>
      </c>
      <c r="R391" s="9">
        <f t="shared" si="78"/>
        <v>12286</v>
      </c>
      <c r="S391" s="9">
        <f t="shared" si="79"/>
        <v>7469725</v>
      </c>
      <c r="T391" s="15">
        <f t="shared" si="80"/>
        <v>16.686436250344954</v>
      </c>
      <c r="U391" s="15">
        <f>IF(O391="Exclude",0,G391*Fuel_Price!$B$2)</f>
        <v>2470.2394199999999</v>
      </c>
      <c r="V391" s="15">
        <f t="shared" si="81"/>
        <v>2989922.7577359979</v>
      </c>
    </row>
    <row r="392" spans="1:22">
      <c r="A392" s="1" t="s">
        <v>1008</v>
      </c>
      <c r="B392" s="1" t="s">
        <v>1009</v>
      </c>
      <c r="C392" s="1" t="s">
        <v>937</v>
      </c>
      <c r="D392" s="1" t="s">
        <v>12</v>
      </c>
      <c r="E392" s="12">
        <v>7849</v>
      </c>
      <c r="F392" s="12" t="s">
        <v>13</v>
      </c>
      <c r="G392" s="6">
        <v>1216.53</v>
      </c>
      <c r="H392" s="1">
        <v>29.33</v>
      </c>
      <c r="J392" t="str">
        <f t="shared" si="72"/>
        <v>OK</v>
      </c>
      <c r="K392" t="str">
        <f t="shared" si="73"/>
        <v>OK</v>
      </c>
      <c r="L392">
        <f t="shared" si="82"/>
        <v>12</v>
      </c>
      <c r="M392">
        <f t="shared" si="74"/>
        <v>10</v>
      </c>
      <c r="N392" s="9" t="str">
        <f t="shared" si="83"/>
        <v>Valid</v>
      </c>
      <c r="O392" t="str">
        <f t="shared" si="75"/>
        <v>Include</v>
      </c>
      <c r="P392" s="9">
        <f t="shared" si="76"/>
        <v>2035068.5799999984</v>
      </c>
      <c r="Q392" s="15">
        <f t="shared" si="77"/>
        <v>7469725</v>
      </c>
      <c r="R392" s="9">
        <f t="shared" si="78"/>
        <v>7849</v>
      </c>
      <c r="S392" s="9">
        <f t="shared" si="79"/>
        <v>7469725</v>
      </c>
      <c r="T392" s="15">
        <f t="shared" si="80"/>
        <v>16.686436250344954</v>
      </c>
      <c r="U392" s="15">
        <f>IF(O392="Exclude",0,G392*Fuel_Price!$B$2)</f>
        <v>1787.3258760000001</v>
      </c>
      <c r="V392" s="15">
        <f t="shared" si="81"/>
        <v>2989922.7577359979</v>
      </c>
    </row>
    <row r="393" spans="1:22">
      <c r="A393" s="1" t="s">
        <v>1010</v>
      </c>
      <c r="B393" s="1" t="s">
        <v>1011</v>
      </c>
      <c r="C393" s="1" t="s">
        <v>937</v>
      </c>
      <c r="D393" s="1" t="s">
        <v>12</v>
      </c>
      <c r="E393" s="12">
        <v>8112</v>
      </c>
      <c r="F393" s="12" t="s">
        <v>13</v>
      </c>
      <c r="G393" s="6">
        <v>1153.69</v>
      </c>
      <c r="H393" s="1">
        <v>31.97</v>
      </c>
      <c r="J393" t="str">
        <f t="shared" si="72"/>
        <v>OK</v>
      </c>
      <c r="K393" t="str">
        <f t="shared" si="73"/>
        <v>OK</v>
      </c>
      <c r="L393">
        <f t="shared" si="82"/>
        <v>12</v>
      </c>
      <c r="M393">
        <f t="shared" si="74"/>
        <v>10</v>
      </c>
      <c r="N393" s="9" t="str">
        <f t="shared" si="83"/>
        <v>Valid</v>
      </c>
      <c r="O393" t="str">
        <f t="shared" si="75"/>
        <v>Include</v>
      </c>
      <c r="P393" s="9">
        <f t="shared" si="76"/>
        <v>2035068.5799999984</v>
      </c>
      <c r="Q393" s="15">
        <f t="shared" si="77"/>
        <v>7469725</v>
      </c>
      <c r="R393" s="9">
        <f t="shared" si="78"/>
        <v>8112</v>
      </c>
      <c r="S393" s="9">
        <f t="shared" si="79"/>
        <v>7469725</v>
      </c>
      <c r="T393" s="15">
        <f t="shared" si="80"/>
        <v>16.686436250344954</v>
      </c>
      <c r="U393" s="15">
        <f>IF(O393="Exclude",0,G393*Fuel_Price!$B$2)</f>
        <v>1695.0013480000002</v>
      </c>
      <c r="V393" s="15">
        <f t="shared" si="81"/>
        <v>2989922.7577359979</v>
      </c>
    </row>
    <row r="394" spans="1:22">
      <c r="A394" s="1" t="s">
        <v>1012</v>
      </c>
      <c r="B394" s="1" t="s">
        <v>1013</v>
      </c>
      <c r="C394" s="1" t="s">
        <v>518</v>
      </c>
      <c r="D394" s="1" t="s">
        <v>12</v>
      </c>
      <c r="E394" s="12">
        <v>8403</v>
      </c>
      <c r="F394" s="12" t="s">
        <v>13</v>
      </c>
      <c r="G394" s="6">
        <v>1196.3</v>
      </c>
      <c r="H394" s="1">
        <v>31.93</v>
      </c>
      <c r="J394" t="str">
        <f t="shared" si="72"/>
        <v>OK</v>
      </c>
      <c r="K394" t="str">
        <f t="shared" si="73"/>
        <v>OK</v>
      </c>
      <c r="L394">
        <f t="shared" si="82"/>
        <v>12</v>
      </c>
      <c r="M394">
        <f t="shared" si="74"/>
        <v>10</v>
      </c>
      <c r="N394" s="9" t="str">
        <f t="shared" si="83"/>
        <v>Valid</v>
      </c>
      <c r="O394" t="str">
        <f t="shared" si="75"/>
        <v>Include</v>
      </c>
      <c r="P394" s="9">
        <f t="shared" si="76"/>
        <v>2035068.5799999984</v>
      </c>
      <c r="Q394" s="15">
        <f t="shared" si="77"/>
        <v>7469725</v>
      </c>
      <c r="R394" s="9">
        <f t="shared" si="78"/>
        <v>8403</v>
      </c>
      <c r="S394" s="9">
        <f t="shared" si="79"/>
        <v>7469725</v>
      </c>
      <c r="T394" s="15">
        <f t="shared" si="80"/>
        <v>16.686436250344954</v>
      </c>
      <c r="U394" s="15">
        <f>IF(O394="Exclude",0,G394*Fuel_Price!$B$2)</f>
        <v>1757.6039599999999</v>
      </c>
      <c r="V394" s="15">
        <f t="shared" si="81"/>
        <v>2989922.7577359979</v>
      </c>
    </row>
    <row r="395" spans="1:22">
      <c r="A395" s="1" t="s">
        <v>1014</v>
      </c>
      <c r="B395" s="1" t="s">
        <v>1015</v>
      </c>
      <c r="C395" s="1" t="s">
        <v>937</v>
      </c>
      <c r="D395" s="1" t="s">
        <v>12</v>
      </c>
      <c r="E395" s="12">
        <v>14445</v>
      </c>
      <c r="F395" s="12" t="s">
        <v>13</v>
      </c>
      <c r="G395" s="6">
        <v>1770.57</v>
      </c>
      <c r="H395" s="1">
        <v>37.090000000000003</v>
      </c>
      <c r="J395" t="str">
        <f t="shared" si="72"/>
        <v>OK</v>
      </c>
      <c r="K395" t="str">
        <f t="shared" si="73"/>
        <v>OK</v>
      </c>
      <c r="L395">
        <f t="shared" si="82"/>
        <v>12</v>
      </c>
      <c r="M395">
        <f t="shared" si="74"/>
        <v>10</v>
      </c>
      <c r="N395" s="9" t="str">
        <f t="shared" si="83"/>
        <v>Valid</v>
      </c>
      <c r="O395" t="str">
        <f t="shared" si="75"/>
        <v>Include</v>
      </c>
      <c r="P395" s="9">
        <f t="shared" si="76"/>
        <v>2035068.5799999984</v>
      </c>
      <c r="Q395" s="15">
        <f t="shared" si="77"/>
        <v>7469725</v>
      </c>
      <c r="R395" s="9">
        <f t="shared" si="78"/>
        <v>14445</v>
      </c>
      <c r="S395" s="9">
        <f t="shared" si="79"/>
        <v>7469725</v>
      </c>
      <c r="T395" s="15">
        <f t="shared" si="80"/>
        <v>16.686436250344954</v>
      </c>
      <c r="U395" s="15">
        <f>IF(O395="Exclude",0,G395*Fuel_Price!$B$2)</f>
        <v>2601.3214440000002</v>
      </c>
      <c r="V395" s="15">
        <f t="shared" si="81"/>
        <v>2989922.7577359979</v>
      </c>
    </row>
    <row r="396" spans="1:22">
      <c r="A396" s="1" t="s">
        <v>1016</v>
      </c>
      <c r="B396" s="1" t="s">
        <v>1017</v>
      </c>
      <c r="C396" s="1" t="s">
        <v>937</v>
      </c>
      <c r="D396" s="1" t="s">
        <v>12</v>
      </c>
      <c r="E396" s="12">
        <v>8852</v>
      </c>
      <c r="F396" s="12" t="s">
        <v>13</v>
      </c>
      <c r="G396" s="6">
        <v>1464.11</v>
      </c>
      <c r="H396" s="1">
        <v>27.49</v>
      </c>
      <c r="J396" t="str">
        <f t="shared" si="72"/>
        <v>OK</v>
      </c>
      <c r="K396" t="str">
        <f t="shared" si="73"/>
        <v>OK</v>
      </c>
      <c r="L396">
        <f t="shared" si="82"/>
        <v>12</v>
      </c>
      <c r="M396">
        <f t="shared" si="74"/>
        <v>10</v>
      </c>
      <c r="N396" s="9" t="str">
        <f t="shared" si="83"/>
        <v>Valid</v>
      </c>
      <c r="O396" t="str">
        <f t="shared" si="75"/>
        <v>Include</v>
      </c>
      <c r="P396" s="9">
        <f t="shared" si="76"/>
        <v>2035068.5799999984</v>
      </c>
      <c r="Q396" s="15">
        <f t="shared" si="77"/>
        <v>7469725</v>
      </c>
      <c r="R396" s="9">
        <f t="shared" si="78"/>
        <v>8852</v>
      </c>
      <c r="S396" s="9">
        <f t="shared" si="79"/>
        <v>7469725</v>
      </c>
      <c r="T396" s="15">
        <f t="shared" si="80"/>
        <v>16.686436250344954</v>
      </c>
      <c r="U396" s="15">
        <f>IF(O396="Exclude",0,G396*Fuel_Price!$B$2)</f>
        <v>2151.070412</v>
      </c>
      <c r="V396" s="15">
        <f t="shared" si="81"/>
        <v>2989922.7577359979</v>
      </c>
    </row>
    <row r="397" spans="1:22">
      <c r="A397" s="1" t="s">
        <v>1018</v>
      </c>
      <c r="B397" s="1" t="s">
        <v>1019</v>
      </c>
      <c r="C397" s="1" t="s">
        <v>937</v>
      </c>
      <c r="D397" s="1" t="s">
        <v>12</v>
      </c>
      <c r="E397" s="12">
        <v>18472</v>
      </c>
      <c r="F397" s="12" t="s">
        <v>13</v>
      </c>
      <c r="G397" s="6">
        <v>2415.69</v>
      </c>
      <c r="H397" s="1">
        <v>34.76</v>
      </c>
      <c r="J397" t="str">
        <f t="shared" si="72"/>
        <v>OK</v>
      </c>
      <c r="K397" t="str">
        <f t="shared" si="73"/>
        <v>OK</v>
      </c>
      <c r="L397">
        <f t="shared" si="82"/>
        <v>12</v>
      </c>
      <c r="M397">
        <f t="shared" si="74"/>
        <v>10</v>
      </c>
      <c r="N397" s="9" t="str">
        <f t="shared" si="83"/>
        <v>Valid</v>
      </c>
      <c r="O397" t="str">
        <f t="shared" si="75"/>
        <v>Include</v>
      </c>
      <c r="P397" s="9">
        <f t="shared" si="76"/>
        <v>2035068.5799999984</v>
      </c>
      <c r="Q397" s="15">
        <f t="shared" si="77"/>
        <v>7469725</v>
      </c>
      <c r="R397" s="9">
        <f t="shared" si="78"/>
        <v>18472</v>
      </c>
      <c r="S397" s="9">
        <f t="shared" si="79"/>
        <v>7469725</v>
      </c>
      <c r="T397" s="15">
        <f t="shared" si="80"/>
        <v>16.686436250344954</v>
      </c>
      <c r="U397" s="15">
        <f>IF(O397="Exclude",0,G397*Fuel_Price!$B$2)</f>
        <v>3549.1317480000002</v>
      </c>
      <c r="V397" s="15">
        <f t="shared" si="81"/>
        <v>2989922.7577359979</v>
      </c>
    </row>
    <row r="398" spans="1:22">
      <c r="A398" s="1" t="s">
        <v>1020</v>
      </c>
      <c r="B398" s="1" t="s">
        <v>1021</v>
      </c>
      <c r="C398" s="1" t="s">
        <v>937</v>
      </c>
      <c r="D398" s="1" t="s">
        <v>12</v>
      </c>
      <c r="E398" s="12">
        <v>13697</v>
      </c>
      <c r="F398" s="12" t="s">
        <v>13</v>
      </c>
      <c r="G398" s="6">
        <v>1905.46</v>
      </c>
      <c r="H398" s="1">
        <v>32.68</v>
      </c>
      <c r="J398" t="str">
        <f t="shared" si="72"/>
        <v>OK</v>
      </c>
      <c r="K398" t="str">
        <f t="shared" si="73"/>
        <v>OK</v>
      </c>
      <c r="L398">
        <f t="shared" si="82"/>
        <v>12</v>
      </c>
      <c r="M398">
        <f t="shared" si="74"/>
        <v>10</v>
      </c>
      <c r="N398" s="9" t="str">
        <f t="shared" si="83"/>
        <v>Valid</v>
      </c>
      <c r="O398" t="str">
        <f t="shared" si="75"/>
        <v>Include</v>
      </c>
      <c r="P398" s="9">
        <f t="shared" si="76"/>
        <v>2035068.5799999984</v>
      </c>
      <c r="Q398" s="15">
        <f t="shared" si="77"/>
        <v>7469725</v>
      </c>
      <c r="R398" s="9">
        <f t="shared" si="78"/>
        <v>13697</v>
      </c>
      <c r="S398" s="9">
        <f t="shared" si="79"/>
        <v>7469725</v>
      </c>
      <c r="T398" s="15">
        <f t="shared" si="80"/>
        <v>16.686436250344954</v>
      </c>
      <c r="U398" s="15">
        <f>IF(O398="Exclude",0,G398*Fuel_Price!$B$2)</f>
        <v>2799.5018320000004</v>
      </c>
      <c r="V398" s="15">
        <f t="shared" si="81"/>
        <v>2989922.7577359979</v>
      </c>
    </row>
    <row r="399" spans="1:22">
      <c r="A399" s="1" t="s">
        <v>1022</v>
      </c>
      <c r="B399" s="1" t="s">
        <v>1023</v>
      </c>
      <c r="C399" s="1" t="s">
        <v>937</v>
      </c>
      <c r="D399" s="1" t="s">
        <v>12</v>
      </c>
      <c r="E399" s="12">
        <v>18435</v>
      </c>
      <c r="F399" s="12" t="s">
        <v>13</v>
      </c>
      <c r="G399" s="6">
        <v>2758.12</v>
      </c>
      <c r="H399" s="1">
        <v>30.39</v>
      </c>
      <c r="J399" t="str">
        <f t="shared" si="72"/>
        <v>OK</v>
      </c>
      <c r="K399" t="str">
        <f t="shared" si="73"/>
        <v>OK</v>
      </c>
      <c r="L399">
        <f t="shared" si="82"/>
        <v>12</v>
      </c>
      <c r="M399">
        <f t="shared" si="74"/>
        <v>10</v>
      </c>
      <c r="N399" s="9" t="str">
        <f t="shared" si="83"/>
        <v>Valid</v>
      </c>
      <c r="O399" t="str">
        <f t="shared" si="75"/>
        <v>Include</v>
      </c>
      <c r="P399" s="9">
        <f t="shared" si="76"/>
        <v>2035068.5799999984</v>
      </c>
      <c r="Q399" s="15">
        <f t="shared" si="77"/>
        <v>7469725</v>
      </c>
      <c r="R399" s="9">
        <f t="shared" si="78"/>
        <v>18435</v>
      </c>
      <c r="S399" s="9">
        <f t="shared" si="79"/>
        <v>7469725</v>
      </c>
      <c r="T399" s="15">
        <f t="shared" si="80"/>
        <v>16.686436250344954</v>
      </c>
      <c r="U399" s="15">
        <f>IF(O399="Exclude",0,G399*Fuel_Price!$B$2)</f>
        <v>4052.2299039999998</v>
      </c>
      <c r="V399" s="15">
        <f t="shared" si="81"/>
        <v>2989922.7577359979</v>
      </c>
    </row>
    <row r="400" spans="1:22">
      <c r="A400" s="1" t="s">
        <v>1024</v>
      </c>
      <c r="B400" s="1" t="s">
        <v>1025</v>
      </c>
      <c r="C400" s="1" t="s">
        <v>937</v>
      </c>
      <c r="D400" s="1" t="s">
        <v>12</v>
      </c>
      <c r="E400" s="12">
        <v>3095</v>
      </c>
      <c r="F400" s="12" t="s">
        <v>13</v>
      </c>
      <c r="G400" s="6">
        <v>642.21</v>
      </c>
      <c r="H400" s="1">
        <v>21.91</v>
      </c>
      <c r="J400" t="str">
        <f t="shared" si="72"/>
        <v>OK</v>
      </c>
      <c r="K400" t="str">
        <f t="shared" si="73"/>
        <v>OK</v>
      </c>
      <c r="L400">
        <f t="shared" si="82"/>
        <v>12</v>
      </c>
      <c r="M400">
        <f t="shared" si="74"/>
        <v>10</v>
      </c>
      <c r="N400" s="9" t="str">
        <f t="shared" si="83"/>
        <v>Valid</v>
      </c>
      <c r="O400" t="str">
        <f t="shared" si="75"/>
        <v>Include</v>
      </c>
      <c r="P400" s="9">
        <f t="shared" si="76"/>
        <v>2035068.5799999984</v>
      </c>
      <c r="Q400" s="15">
        <f t="shared" si="77"/>
        <v>7469725</v>
      </c>
      <c r="R400" s="9">
        <f t="shared" si="78"/>
        <v>3095</v>
      </c>
      <c r="S400" s="9">
        <f t="shared" si="79"/>
        <v>7469725</v>
      </c>
      <c r="T400" s="15">
        <f t="shared" si="80"/>
        <v>16.686436250344954</v>
      </c>
      <c r="U400" s="15">
        <f>IF(O400="Exclude",0,G400*Fuel_Price!$B$2)</f>
        <v>943.53493200000014</v>
      </c>
      <c r="V400" s="15">
        <f t="shared" si="81"/>
        <v>2989922.7577359979</v>
      </c>
    </row>
    <row r="401" spans="1:22">
      <c r="A401" s="1" t="s">
        <v>1026</v>
      </c>
      <c r="B401" s="1" t="s">
        <v>1027</v>
      </c>
      <c r="C401" s="1" t="s">
        <v>937</v>
      </c>
      <c r="D401" s="1" t="s">
        <v>12</v>
      </c>
      <c r="E401" s="12">
        <v>6938</v>
      </c>
      <c r="F401" s="12" t="s">
        <v>13</v>
      </c>
      <c r="G401" s="6">
        <v>876.29</v>
      </c>
      <c r="H401" s="1">
        <v>35.99</v>
      </c>
      <c r="J401" t="str">
        <f t="shared" si="72"/>
        <v>OK</v>
      </c>
      <c r="K401" t="str">
        <f t="shared" si="73"/>
        <v>OK</v>
      </c>
      <c r="L401">
        <f t="shared" si="82"/>
        <v>12</v>
      </c>
      <c r="M401">
        <f t="shared" si="74"/>
        <v>10</v>
      </c>
      <c r="N401" s="9" t="str">
        <f t="shared" si="83"/>
        <v>Valid</v>
      </c>
      <c r="O401" t="str">
        <f t="shared" si="75"/>
        <v>Include</v>
      </c>
      <c r="P401" s="9">
        <f t="shared" si="76"/>
        <v>2035068.5799999984</v>
      </c>
      <c r="Q401" s="15">
        <f t="shared" si="77"/>
        <v>7469725</v>
      </c>
      <c r="R401" s="9">
        <f t="shared" si="78"/>
        <v>6938</v>
      </c>
      <c r="S401" s="9">
        <f t="shared" si="79"/>
        <v>7469725</v>
      </c>
      <c r="T401" s="15">
        <f t="shared" si="80"/>
        <v>16.686436250344954</v>
      </c>
      <c r="U401" s="15">
        <f>IF(O401="Exclude",0,G401*Fuel_Price!$B$2)</f>
        <v>1287.4452679999999</v>
      </c>
      <c r="V401" s="15">
        <f t="shared" si="81"/>
        <v>2989922.7577359979</v>
      </c>
    </row>
    <row r="402" spans="1:22">
      <c r="A402" s="1" t="s">
        <v>1028</v>
      </c>
      <c r="B402" s="1" t="s">
        <v>1029</v>
      </c>
      <c r="C402" s="1" t="s">
        <v>937</v>
      </c>
      <c r="D402" s="1" t="s">
        <v>12</v>
      </c>
      <c r="E402" s="12">
        <v>6160</v>
      </c>
      <c r="F402" s="12" t="s">
        <v>13</v>
      </c>
      <c r="G402" s="6">
        <v>959.42</v>
      </c>
      <c r="H402" s="1">
        <v>29.19</v>
      </c>
      <c r="J402" t="str">
        <f t="shared" si="72"/>
        <v>OK</v>
      </c>
      <c r="K402" t="str">
        <f t="shared" si="73"/>
        <v>OK</v>
      </c>
      <c r="L402">
        <f t="shared" si="82"/>
        <v>12</v>
      </c>
      <c r="M402">
        <f t="shared" si="74"/>
        <v>10</v>
      </c>
      <c r="N402" s="9" t="str">
        <f t="shared" si="83"/>
        <v>Valid</v>
      </c>
      <c r="O402" t="str">
        <f t="shared" si="75"/>
        <v>Include</v>
      </c>
      <c r="P402" s="9">
        <f t="shared" si="76"/>
        <v>2035068.5799999984</v>
      </c>
      <c r="Q402" s="15">
        <f t="shared" si="77"/>
        <v>7469725</v>
      </c>
      <c r="R402" s="9">
        <f t="shared" si="78"/>
        <v>6160</v>
      </c>
      <c r="S402" s="9">
        <f t="shared" si="79"/>
        <v>7469725</v>
      </c>
      <c r="T402" s="15">
        <f t="shared" si="80"/>
        <v>16.686436250344954</v>
      </c>
      <c r="U402" s="15">
        <f>IF(O402="Exclude",0,G402*Fuel_Price!$B$2)</f>
        <v>1409.579864</v>
      </c>
      <c r="V402" s="15">
        <f t="shared" si="81"/>
        <v>2989922.7577359979</v>
      </c>
    </row>
    <row r="403" spans="1:22">
      <c r="A403" s="1" t="s">
        <v>1030</v>
      </c>
      <c r="B403" s="1" t="s">
        <v>1031</v>
      </c>
      <c r="C403" s="1" t="s">
        <v>937</v>
      </c>
      <c r="D403" s="1" t="s">
        <v>12</v>
      </c>
      <c r="E403" s="12">
        <v>16471</v>
      </c>
      <c r="F403" s="12" t="s">
        <v>13</v>
      </c>
      <c r="G403" s="6">
        <v>2618.54</v>
      </c>
      <c r="H403" s="1">
        <v>28.6</v>
      </c>
      <c r="J403" t="str">
        <f t="shared" si="72"/>
        <v>OK</v>
      </c>
      <c r="K403" t="str">
        <f t="shared" si="73"/>
        <v>OK</v>
      </c>
      <c r="L403">
        <f t="shared" si="82"/>
        <v>12</v>
      </c>
      <c r="M403">
        <f t="shared" si="74"/>
        <v>10</v>
      </c>
      <c r="N403" s="9" t="str">
        <f t="shared" si="83"/>
        <v>Valid</v>
      </c>
      <c r="O403" t="str">
        <f t="shared" si="75"/>
        <v>Include</v>
      </c>
      <c r="P403" s="9">
        <f t="shared" si="76"/>
        <v>2035068.5799999984</v>
      </c>
      <c r="Q403" s="15">
        <f t="shared" si="77"/>
        <v>7469725</v>
      </c>
      <c r="R403" s="9">
        <f t="shared" si="78"/>
        <v>16471</v>
      </c>
      <c r="S403" s="9">
        <f t="shared" si="79"/>
        <v>7469725</v>
      </c>
      <c r="T403" s="15">
        <f t="shared" si="80"/>
        <v>16.686436250344954</v>
      </c>
      <c r="U403" s="15">
        <f>IF(O403="Exclude",0,G403*Fuel_Price!$B$2)</f>
        <v>3847.1589680000002</v>
      </c>
      <c r="V403" s="15">
        <f t="shared" si="81"/>
        <v>2989922.7577359979</v>
      </c>
    </row>
    <row r="404" spans="1:22">
      <c r="A404" s="1" t="s">
        <v>1032</v>
      </c>
      <c r="B404" s="1" t="s">
        <v>1033</v>
      </c>
      <c r="C404" s="1" t="s">
        <v>937</v>
      </c>
      <c r="D404" s="1" t="s">
        <v>12</v>
      </c>
      <c r="E404" s="12">
        <v>8153</v>
      </c>
      <c r="F404" s="12" t="s">
        <v>13</v>
      </c>
      <c r="G404" s="6">
        <v>1182.56</v>
      </c>
      <c r="H404" s="1">
        <v>31.34</v>
      </c>
      <c r="J404" t="str">
        <f t="shared" si="72"/>
        <v>OK</v>
      </c>
      <c r="K404" t="str">
        <f t="shared" si="73"/>
        <v>OK</v>
      </c>
      <c r="L404">
        <f t="shared" si="82"/>
        <v>12</v>
      </c>
      <c r="M404">
        <f t="shared" si="74"/>
        <v>10</v>
      </c>
      <c r="N404" s="9" t="str">
        <f t="shared" si="83"/>
        <v>Valid</v>
      </c>
      <c r="O404" t="str">
        <f t="shared" si="75"/>
        <v>Include</v>
      </c>
      <c r="P404" s="9">
        <f t="shared" si="76"/>
        <v>2035068.5799999984</v>
      </c>
      <c r="Q404" s="15">
        <f t="shared" si="77"/>
        <v>7469725</v>
      </c>
      <c r="R404" s="9">
        <f t="shared" si="78"/>
        <v>8153</v>
      </c>
      <c r="S404" s="9">
        <f t="shared" si="79"/>
        <v>7469725</v>
      </c>
      <c r="T404" s="15">
        <f t="shared" si="80"/>
        <v>16.686436250344954</v>
      </c>
      <c r="U404" s="15">
        <f>IF(O404="Exclude",0,G404*Fuel_Price!$B$2)</f>
        <v>1737.417152</v>
      </c>
      <c r="V404" s="15">
        <f t="shared" si="81"/>
        <v>2989922.7577359979</v>
      </c>
    </row>
    <row r="405" spans="1:22">
      <c r="A405" s="1" t="s">
        <v>1034</v>
      </c>
      <c r="B405" s="1" t="s">
        <v>1035</v>
      </c>
      <c r="C405" s="1" t="s">
        <v>937</v>
      </c>
      <c r="D405" s="1" t="s">
        <v>12</v>
      </c>
      <c r="E405" s="12">
        <v>13139</v>
      </c>
      <c r="F405" s="12" t="s">
        <v>13</v>
      </c>
      <c r="G405" s="6">
        <v>1529.35</v>
      </c>
      <c r="H405" s="1">
        <v>39.06</v>
      </c>
      <c r="J405" t="str">
        <f t="shared" si="72"/>
        <v>OK</v>
      </c>
      <c r="K405" t="str">
        <f t="shared" si="73"/>
        <v>OK</v>
      </c>
      <c r="L405">
        <f t="shared" si="82"/>
        <v>12</v>
      </c>
      <c r="M405">
        <f t="shared" si="74"/>
        <v>10</v>
      </c>
      <c r="N405" s="9" t="str">
        <f t="shared" si="83"/>
        <v>Valid</v>
      </c>
      <c r="O405" t="str">
        <f t="shared" si="75"/>
        <v>Include</v>
      </c>
      <c r="P405" s="9">
        <f t="shared" si="76"/>
        <v>2035068.5799999984</v>
      </c>
      <c r="Q405" s="15">
        <f t="shared" si="77"/>
        <v>7469725</v>
      </c>
      <c r="R405" s="9">
        <f t="shared" si="78"/>
        <v>13139</v>
      </c>
      <c r="S405" s="9">
        <f t="shared" si="79"/>
        <v>7469725</v>
      </c>
      <c r="T405" s="15">
        <f t="shared" si="80"/>
        <v>16.686436250344954</v>
      </c>
      <c r="U405" s="15">
        <f>IF(O405="Exclude",0,G405*Fuel_Price!$B$2)</f>
        <v>2246.9210199999998</v>
      </c>
      <c r="V405" s="15">
        <f t="shared" si="81"/>
        <v>2989922.7577359979</v>
      </c>
    </row>
    <row r="406" spans="1:22">
      <c r="A406" s="1" t="s">
        <v>1036</v>
      </c>
      <c r="B406" s="1" t="s">
        <v>1037</v>
      </c>
      <c r="C406" s="1" t="s">
        <v>937</v>
      </c>
      <c r="D406" s="1" t="s">
        <v>12</v>
      </c>
      <c r="E406" s="12">
        <v>9961</v>
      </c>
      <c r="F406" s="12" t="s">
        <v>13</v>
      </c>
      <c r="G406" s="6">
        <v>1648.75</v>
      </c>
      <c r="H406" s="1">
        <v>27.47</v>
      </c>
      <c r="J406" t="str">
        <f t="shared" si="72"/>
        <v>OK</v>
      </c>
      <c r="K406" t="str">
        <f t="shared" si="73"/>
        <v>OK</v>
      </c>
      <c r="L406">
        <f t="shared" si="82"/>
        <v>12</v>
      </c>
      <c r="M406">
        <f t="shared" si="74"/>
        <v>10</v>
      </c>
      <c r="N406" s="9" t="str">
        <f t="shared" si="83"/>
        <v>Valid</v>
      </c>
      <c r="O406" t="str">
        <f t="shared" si="75"/>
        <v>Include</v>
      </c>
      <c r="P406" s="9">
        <f t="shared" si="76"/>
        <v>2035068.5799999984</v>
      </c>
      <c r="Q406" s="15">
        <f t="shared" si="77"/>
        <v>7469725</v>
      </c>
      <c r="R406" s="9">
        <f t="shared" si="78"/>
        <v>9961</v>
      </c>
      <c r="S406" s="9">
        <f t="shared" si="79"/>
        <v>7469725</v>
      </c>
      <c r="T406" s="15">
        <f t="shared" si="80"/>
        <v>16.686436250344954</v>
      </c>
      <c r="U406" s="15">
        <f>IF(O406="Exclude",0,G406*Fuel_Price!$B$2)</f>
        <v>2422.3434999999999</v>
      </c>
      <c r="V406" s="15">
        <f t="shared" si="81"/>
        <v>2989922.7577359979</v>
      </c>
    </row>
    <row r="407" spans="1:22">
      <c r="A407" s="1" t="s">
        <v>1038</v>
      </c>
      <c r="B407" s="1" t="s">
        <v>1039</v>
      </c>
      <c r="C407" s="1" t="s">
        <v>937</v>
      </c>
      <c r="D407" s="1" t="s">
        <v>12</v>
      </c>
      <c r="E407" s="12">
        <v>4244</v>
      </c>
      <c r="F407" s="12" t="s">
        <v>13</v>
      </c>
      <c r="G407" s="6">
        <v>844.49</v>
      </c>
      <c r="H407" s="1">
        <v>22.85</v>
      </c>
      <c r="J407" t="str">
        <f t="shared" si="72"/>
        <v>OK</v>
      </c>
      <c r="K407" t="str">
        <f t="shared" si="73"/>
        <v>OK</v>
      </c>
      <c r="L407">
        <f t="shared" si="82"/>
        <v>12</v>
      </c>
      <c r="M407">
        <f t="shared" si="74"/>
        <v>10</v>
      </c>
      <c r="N407" s="9" t="str">
        <f t="shared" si="83"/>
        <v>Valid</v>
      </c>
      <c r="O407" t="str">
        <f t="shared" si="75"/>
        <v>Include</v>
      </c>
      <c r="P407" s="9">
        <f t="shared" si="76"/>
        <v>2035068.5799999984</v>
      </c>
      <c r="Q407" s="15">
        <f t="shared" si="77"/>
        <v>7469725</v>
      </c>
      <c r="R407" s="9">
        <f t="shared" si="78"/>
        <v>4244</v>
      </c>
      <c r="S407" s="9">
        <f t="shared" si="79"/>
        <v>7469725</v>
      </c>
      <c r="T407" s="15">
        <f t="shared" si="80"/>
        <v>16.686436250344954</v>
      </c>
      <c r="U407" s="15">
        <f>IF(O407="Exclude",0,G407*Fuel_Price!$B$2)</f>
        <v>1240.724708</v>
      </c>
      <c r="V407" s="15">
        <f t="shared" si="81"/>
        <v>2989922.7577359979</v>
      </c>
    </row>
    <row r="408" spans="1:22">
      <c r="A408" s="1" t="s">
        <v>1040</v>
      </c>
      <c r="B408" s="1" t="s">
        <v>1041</v>
      </c>
      <c r="C408" s="1" t="s">
        <v>937</v>
      </c>
      <c r="D408" s="1" t="s">
        <v>12</v>
      </c>
      <c r="E408" s="12">
        <v>4249</v>
      </c>
      <c r="F408" s="12" t="s">
        <v>13</v>
      </c>
      <c r="G408" s="6">
        <v>679.86</v>
      </c>
      <c r="H408" s="1">
        <v>28.41</v>
      </c>
      <c r="J408" t="str">
        <f t="shared" si="72"/>
        <v>OK</v>
      </c>
      <c r="K408" t="str">
        <f t="shared" si="73"/>
        <v>OK</v>
      </c>
      <c r="L408">
        <f t="shared" si="82"/>
        <v>12</v>
      </c>
      <c r="M408">
        <f t="shared" si="74"/>
        <v>10</v>
      </c>
      <c r="N408" s="9" t="str">
        <f t="shared" si="83"/>
        <v>Valid</v>
      </c>
      <c r="O408" t="str">
        <f t="shared" si="75"/>
        <v>Include</v>
      </c>
      <c r="P408" s="9">
        <f t="shared" si="76"/>
        <v>2035068.5799999984</v>
      </c>
      <c r="Q408" s="15">
        <f t="shared" si="77"/>
        <v>7469725</v>
      </c>
      <c r="R408" s="9">
        <f t="shared" si="78"/>
        <v>4249</v>
      </c>
      <c r="S408" s="9">
        <f t="shared" si="79"/>
        <v>7469725</v>
      </c>
      <c r="T408" s="15">
        <f t="shared" si="80"/>
        <v>16.686436250344954</v>
      </c>
      <c r="U408" s="15">
        <f>IF(O408="Exclude",0,G408*Fuel_Price!$B$2)</f>
        <v>998.85031200000003</v>
      </c>
      <c r="V408" s="15">
        <f t="shared" si="81"/>
        <v>2989922.7577359979</v>
      </c>
    </row>
    <row r="409" spans="1:22">
      <c r="A409" s="1" t="s">
        <v>1042</v>
      </c>
      <c r="B409" s="1" t="s">
        <v>1043</v>
      </c>
      <c r="C409" s="1" t="s">
        <v>937</v>
      </c>
      <c r="D409" s="1" t="s">
        <v>12</v>
      </c>
      <c r="E409" s="12">
        <v>4552</v>
      </c>
      <c r="F409" s="12" t="s">
        <v>13</v>
      </c>
      <c r="G409" s="6">
        <v>700.81</v>
      </c>
      <c r="H409" s="1">
        <v>29.53</v>
      </c>
      <c r="J409" t="str">
        <f t="shared" si="72"/>
        <v>OK</v>
      </c>
      <c r="K409" t="str">
        <f t="shared" si="73"/>
        <v>OK</v>
      </c>
      <c r="L409">
        <f t="shared" si="82"/>
        <v>12</v>
      </c>
      <c r="M409">
        <f t="shared" si="74"/>
        <v>10</v>
      </c>
      <c r="N409" s="9" t="str">
        <f t="shared" si="83"/>
        <v>Valid</v>
      </c>
      <c r="O409" t="str">
        <f t="shared" si="75"/>
        <v>Include</v>
      </c>
      <c r="P409" s="9">
        <f t="shared" si="76"/>
        <v>2035068.5799999984</v>
      </c>
      <c r="Q409" s="15">
        <f t="shared" si="77"/>
        <v>7469725</v>
      </c>
      <c r="R409" s="9">
        <f t="shared" si="78"/>
        <v>4552</v>
      </c>
      <c r="S409" s="9">
        <f t="shared" si="79"/>
        <v>7469725</v>
      </c>
      <c r="T409" s="15">
        <f t="shared" si="80"/>
        <v>16.686436250344954</v>
      </c>
      <c r="U409" s="15">
        <f>IF(O409="Exclude",0,G409*Fuel_Price!$B$2)</f>
        <v>1029.630052</v>
      </c>
      <c r="V409" s="15">
        <f t="shared" si="81"/>
        <v>2989922.7577359979</v>
      </c>
    </row>
    <row r="410" spans="1:22">
      <c r="A410" s="1" t="s">
        <v>1044</v>
      </c>
      <c r="B410" s="1" t="s">
        <v>1045</v>
      </c>
      <c r="C410" s="1" t="s">
        <v>937</v>
      </c>
      <c r="D410" s="1" t="s">
        <v>12</v>
      </c>
      <c r="E410" s="12">
        <v>7697</v>
      </c>
      <c r="F410" s="12" t="s">
        <v>13</v>
      </c>
      <c r="G410" s="6">
        <v>1255.93</v>
      </c>
      <c r="H410" s="1">
        <v>27.86</v>
      </c>
      <c r="J410" t="str">
        <f t="shared" si="72"/>
        <v>OK</v>
      </c>
      <c r="K410" t="str">
        <f t="shared" si="73"/>
        <v>OK</v>
      </c>
      <c r="L410">
        <f t="shared" si="82"/>
        <v>12</v>
      </c>
      <c r="M410">
        <f t="shared" si="74"/>
        <v>10</v>
      </c>
      <c r="N410" s="9" t="str">
        <f t="shared" si="83"/>
        <v>Valid</v>
      </c>
      <c r="O410" t="str">
        <f t="shared" si="75"/>
        <v>Include</v>
      </c>
      <c r="P410" s="9">
        <f t="shared" si="76"/>
        <v>2035068.5799999984</v>
      </c>
      <c r="Q410" s="15">
        <f t="shared" si="77"/>
        <v>7469725</v>
      </c>
      <c r="R410" s="9">
        <f t="shared" si="78"/>
        <v>7697</v>
      </c>
      <c r="S410" s="9">
        <f t="shared" si="79"/>
        <v>7469725</v>
      </c>
      <c r="T410" s="15">
        <f t="shared" si="80"/>
        <v>16.686436250344954</v>
      </c>
      <c r="U410" s="15">
        <f>IF(O410="Exclude",0,G410*Fuel_Price!$B$2)</f>
        <v>1845.2123560000002</v>
      </c>
      <c r="V410" s="15">
        <f t="shared" si="81"/>
        <v>2989922.7577359979</v>
      </c>
    </row>
    <row r="411" spans="1:22">
      <c r="A411" s="1" t="s">
        <v>1046</v>
      </c>
      <c r="B411" s="1" t="s">
        <v>1047</v>
      </c>
      <c r="C411" s="1" t="s">
        <v>937</v>
      </c>
      <c r="D411" s="1" t="s">
        <v>12</v>
      </c>
      <c r="E411" s="12">
        <v>13153</v>
      </c>
      <c r="F411" s="12" t="s">
        <v>13</v>
      </c>
      <c r="G411" s="6">
        <v>2263.6999999999998</v>
      </c>
      <c r="H411" s="1">
        <v>26.41</v>
      </c>
      <c r="J411" t="str">
        <f t="shared" si="72"/>
        <v>OK</v>
      </c>
      <c r="K411" t="str">
        <f t="shared" si="73"/>
        <v>OK</v>
      </c>
      <c r="L411">
        <f t="shared" si="82"/>
        <v>12</v>
      </c>
      <c r="M411">
        <f t="shared" si="74"/>
        <v>10</v>
      </c>
      <c r="N411" s="9" t="str">
        <f t="shared" si="83"/>
        <v>Valid</v>
      </c>
      <c r="O411" t="str">
        <f t="shared" si="75"/>
        <v>Include</v>
      </c>
      <c r="P411" s="9">
        <f t="shared" si="76"/>
        <v>2035068.5799999984</v>
      </c>
      <c r="Q411" s="15">
        <f t="shared" si="77"/>
        <v>7469725</v>
      </c>
      <c r="R411" s="9">
        <f t="shared" si="78"/>
        <v>13153</v>
      </c>
      <c r="S411" s="9">
        <f t="shared" si="79"/>
        <v>7469725</v>
      </c>
      <c r="T411" s="15">
        <f t="shared" si="80"/>
        <v>16.686436250344954</v>
      </c>
      <c r="U411" s="15">
        <f>IF(O411="Exclude",0,G411*Fuel_Price!$B$2)</f>
        <v>3325.8280399999999</v>
      </c>
      <c r="V411" s="15">
        <f t="shared" si="81"/>
        <v>2989922.7577359979</v>
      </c>
    </row>
    <row r="412" spans="1:22">
      <c r="A412" s="1" t="s">
        <v>1048</v>
      </c>
      <c r="B412" s="1" t="s">
        <v>1049</v>
      </c>
      <c r="C412" s="1" t="s">
        <v>937</v>
      </c>
      <c r="D412" s="1" t="s">
        <v>12</v>
      </c>
      <c r="E412" s="12">
        <v>6923</v>
      </c>
      <c r="F412" s="12" t="s">
        <v>13</v>
      </c>
      <c r="G412" s="6">
        <v>1156.97</v>
      </c>
      <c r="H412" s="1">
        <v>27.2</v>
      </c>
      <c r="J412" t="str">
        <f t="shared" si="72"/>
        <v>OK</v>
      </c>
      <c r="K412" t="str">
        <f t="shared" si="73"/>
        <v>OK</v>
      </c>
      <c r="L412">
        <f t="shared" si="82"/>
        <v>12</v>
      </c>
      <c r="M412">
        <f t="shared" si="74"/>
        <v>10</v>
      </c>
      <c r="N412" s="9" t="str">
        <f t="shared" si="83"/>
        <v>Valid</v>
      </c>
      <c r="O412" t="str">
        <f t="shared" si="75"/>
        <v>Include</v>
      </c>
      <c r="P412" s="9">
        <f t="shared" si="76"/>
        <v>2035068.5799999984</v>
      </c>
      <c r="Q412" s="15">
        <f t="shared" si="77"/>
        <v>7469725</v>
      </c>
      <c r="R412" s="9">
        <f t="shared" si="78"/>
        <v>6923</v>
      </c>
      <c r="S412" s="9">
        <f t="shared" si="79"/>
        <v>7469725</v>
      </c>
      <c r="T412" s="15">
        <f t="shared" si="80"/>
        <v>16.686436250344954</v>
      </c>
      <c r="U412" s="15">
        <f>IF(O412="Exclude",0,G412*Fuel_Price!$B$2)</f>
        <v>1699.820324</v>
      </c>
      <c r="V412" s="15">
        <f t="shared" si="81"/>
        <v>2989922.7577359979</v>
      </c>
    </row>
    <row r="413" spans="1:22">
      <c r="A413" s="1" t="s">
        <v>1053</v>
      </c>
      <c r="B413" s="1" t="s">
        <v>1054</v>
      </c>
      <c r="C413" s="1" t="s">
        <v>937</v>
      </c>
      <c r="D413" s="1" t="s">
        <v>12</v>
      </c>
      <c r="E413" s="12">
        <v>4946</v>
      </c>
      <c r="F413" s="12" t="s">
        <v>13</v>
      </c>
      <c r="G413" s="6">
        <v>913.88</v>
      </c>
      <c r="H413" s="1">
        <v>24.6</v>
      </c>
      <c r="J413" t="str">
        <f t="shared" si="72"/>
        <v>OK</v>
      </c>
      <c r="K413" t="str">
        <f t="shared" si="73"/>
        <v>OK</v>
      </c>
      <c r="L413">
        <f t="shared" si="82"/>
        <v>12</v>
      </c>
      <c r="M413">
        <f t="shared" si="74"/>
        <v>10</v>
      </c>
      <c r="N413" s="9" t="str">
        <f t="shared" si="83"/>
        <v>Valid</v>
      </c>
      <c r="O413" t="str">
        <f t="shared" si="75"/>
        <v>Include</v>
      </c>
      <c r="P413" s="9">
        <f t="shared" si="76"/>
        <v>2035068.5799999984</v>
      </c>
      <c r="Q413" s="15">
        <f t="shared" si="77"/>
        <v>7469725</v>
      </c>
      <c r="R413" s="9">
        <f t="shared" si="78"/>
        <v>4946</v>
      </c>
      <c r="S413" s="9">
        <f t="shared" si="79"/>
        <v>7469725</v>
      </c>
      <c r="T413" s="15">
        <f t="shared" si="80"/>
        <v>16.686436250344954</v>
      </c>
      <c r="U413" s="15">
        <f>IF(O413="Exclude",0,G413*Fuel_Price!$B$2)</f>
        <v>1342.6724960000001</v>
      </c>
      <c r="V413" s="15">
        <f t="shared" si="81"/>
        <v>2989922.7577359979</v>
      </c>
    </row>
    <row r="414" spans="1:22">
      <c r="A414" s="1" t="s">
        <v>1055</v>
      </c>
      <c r="B414" s="1" t="s">
        <v>1056</v>
      </c>
      <c r="C414" s="1" t="s">
        <v>937</v>
      </c>
      <c r="D414" s="1" t="s">
        <v>12</v>
      </c>
      <c r="E414" s="12">
        <v>8093</v>
      </c>
      <c r="F414" s="12" t="s">
        <v>13</v>
      </c>
      <c r="G414" s="6">
        <v>1227.99</v>
      </c>
      <c r="H414" s="1">
        <v>29.96</v>
      </c>
      <c r="J414" t="str">
        <f t="shared" si="72"/>
        <v>OK</v>
      </c>
      <c r="K414" t="str">
        <f t="shared" si="73"/>
        <v>OK</v>
      </c>
      <c r="L414">
        <f t="shared" si="82"/>
        <v>12</v>
      </c>
      <c r="M414">
        <f t="shared" si="74"/>
        <v>10</v>
      </c>
      <c r="N414" s="9" t="str">
        <f t="shared" si="83"/>
        <v>Valid</v>
      </c>
      <c r="O414" t="str">
        <f t="shared" si="75"/>
        <v>Include</v>
      </c>
      <c r="P414" s="9">
        <f t="shared" si="76"/>
        <v>2035068.5799999984</v>
      </c>
      <c r="Q414" s="15">
        <f t="shared" si="77"/>
        <v>7469725</v>
      </c>
      <c r="R414" s="9">
        <f t="shared" si="78"/>
        <v>8093</v>
      </c>
      <c r="S414" s="9">
        <f t="shared" si="79"/>
        <v>7469725</v>
      </c>
      <c r="T414" s="15">
        <f t="shared" si="80"/>
        <v>16.686436250344954</v>
      </c>
      <c r="U414" s="15">
        <f>IF(O414="Exclude",0,G414*Fuel_Price!$B$2)</f>
        <v>1804.162908</v>
      </c>
      <c r="V414" s="15">
        <f t="shared" si="81"/>
        <v>2989922.7577359979</v>
      </c>
    </row>
    <row r="415" spans="1:22">
      <c r="A415" s="1" t="s">
        <v>1060</v>
      </c>
      <c r="B415" s="1" t="s">
        <v>1061</v>
      </c>
      <c r="C415" s="1" t="s">
        <v>937</v>
      </c>
      <c r="D415" s="1" t="s">
        <v>12</v>
      </c>
      <c r="E415" s="12">
        <v>6430</v>
      </c>
      <c r="F415" s="12" t="s">
        <v>13</v>
      </c>
      <c r="G415" s="6">
        <v>1016.88</v>
      </c>
      <c r="H415" s="1">
        <v>28.75</v>
      </c>
      <c r="J415" t="str">
        <f t="shared" si="72"/>
        <v>OK</v>
      </c>
      <c r="K415" t="str">
        <f t="shared" si="73"/>
        <v>OK</v>
      </c>
      <c r="L415">
        <f t="shared" si="82"/>
        <v>12</v>
      </c>
      <c r="M415">
        <f t="shared" si="74"/>
        <v>10</v>
      </c>
      <c r="N415" s="9" t="str">
        <f t="shared" si="83"/>
        <v>Valid</v>
      </c>
      <c r="O415" t="str">
        <f t="shared" si="75"/>
        <v>Include</v>
      </c>
      <c r="P415" s="9">
        <f t="shared" si="76"/>
        <v>2035068.5799999984</v>
      </c>
      <c r="Q415" s="15">
        <f t="shared" si="77"/>
        <v>7469725</v>
      </c>
      <c r="R415" s="9">
        <f t="shared" si="78"/>
        <v>6430</v>
      </c>
      <c r="S415" s="9">
        <f t="shared" si="79"/>
        <v>7469725</v>
      </c>
      <c r="T415" s="15">
        <f t="shared" si="80"/>
        <v>16.686436250344954</v>
      </c>
      <c r="U415" s="15">
        <f>IF(O415="Exclude",0,G415*Fuel_Price!$B$2)</f>
        <v>1494.000096</v>
      </c>
      <c r="V415" s="15">
        <f t="shared" si="81"/>
        <v>2989922.7577359979</v>
      </c>
    </row>
    <row r="416" spans="1:22">
      <c r="A416" s="1" t="s">
        <v>1062</v>
      </c>
      <c r="B416" s="1" t="s">
        <v>1063</v>
      </c>
      <c r="C416" s="1" t="s">
        <v>937</v>
      </c>
      <c r="D416" s="1" t="s">
        <v>12</v>
      </c>
      <c r="E416" s="12">
        <v>7180</v>
      </c>
      <c r="F416" s="12" t="s">
        <v>13</v>
      </c>
      <c r="G416" s="6">
        <v>1137.1300000000001</v>
      </c>
      <c r="H416" s="1">
        <v>28.7</v>
      </c>
      <c r="J416" t="str">
        <f t="shared" si="72"/>
        <v>OK</v>
      </c>
      <c r="K416" t="str">
        <f t="shared" si="73"/>
        <v>OK</v>
      </c>
      <c r="L416">
        <f t="shared" si="82"/>
        <v>12</v>
      </c>
      <c r="M416">
        <f t="shared" si="74"/>
        <v>10</v>
      </c>
      <c r="N416" s="9" t="str">
        <f t="shared" si="83"/>
        <v>Valid</v>
      </c>
      <c r="O416" t="str">
        <f t="shared" si="75"/>
        <v>Include</v>
      </c>
      <c r="P416" s="9">
        <f t="shared" si="76"/>
        <v>2035068.5799999984</v>
      </c>
      <c r="Q416" s="15">
        <f t="shared" si="77"/>
        <v>7469725</v>
      </c>
      <c r="R416" s="9">
        <f t="shared" si="78"/>
        <v>7180</v>
      </c>
      <c r="S416" s="9">
        <f t="shared" si="79"/>
        <v>7469725</v>
      </c>
      <c r="T416" s="15">
        <f t="shared" si="80"/>
        <v>16.686436250344954</v>
      </c>
      <c r="U416" s="15">
        <f>IF(O416="Exclude",0,G416*Fuel_Price!$B$2)</f>
        <v>1670.6713960000002</v>
      </c>
      <c r="V416" s="15">
        <f t="shared" si="81"/>
        <v>2989922.7577359979</v>
      </c>
    </row>
    <row r="417" spans="1:22">
      <c r="A417" s="1" t="s">
        <v>1067</v>
      </c>
      <c r="B417" s="1" t="s">
        <v>1068</v>
      </c>
      <c r="C417" s="1" t="s">
        <v>937</v>
      </c>
      <c r="D417" s="1" t="s">
        <v>12</v>
      </c>
      <c r="E417" s="12">
        <v>5925</v>
      </c>
      <c r="F417" s="12" t="s">
        <v>13</v>
      </c>
      <c r="G417" s="6">
        <v>962.3</v>
      </c>
      <c r="H417" s="1">
        <v>27.99</v>
      </c>
      <c r="J417" t="str">
        <f t="shared" si="72"/>
        <v>OK</v>
      </c>
      <c r="K417" t="str">
        <f t="shared" si="73"/>
        <v>OK</v>
      </c>
      <c r="L417">
        <f t="shared" si="82"/>
        <v>12</v>
      </c>
      <c r="M417">
        <f t="shared" si="74"/>
        <v>10</v>
      </c>
      <c r="N417" s="9" t="str">
        <f t="shared" si="83"/>
        <v>Valid</v>
      </c>
      <c r="O417" t="str">
        <f t="shared" si="75"/>
        <v>Include</v>
      </c>
      <c r="P417" s="9">
        <f t="shared" si="76"/>
        <v>2035068.5799999984</v>
      </c>
      <c r="Q417" s="15">
        <f t="shared" si="77"/>
        <v>7469725</v>
      </c>
      <c r="R417" s="9">
        <f t="shared" si="78"/>
        <v>5925</v>
      </c>
      <c r="S417" s="9">
        <f t="shared" si="79"/>
        <v>7469725</v>
      </c>
      <c r="T417" s="15">
        <f t="shared" si="80"/>
        <v>16.686436250344954</v>
      </c>
      <c r="U417" s="15">
        <f>IF(O417="Exclude",0,G417*Fuel_Price!$B$2)</f>
        <v>1413.81116</v>
      </c>
      <c r="V417" s="15">
        <f t="shared" si="81"/>
        <v>2989922.7577359979</v>
      </c>
    </row>
    <row r="418" spans="1:22">
      <c r="A418" s="1" t="s">
        <v>1071</v>
      </c>
      <c r="B418" s="1" t="s">
        <v>1072</v>
      </c>
      <c r="C418" s="1" t="s">
        <v>937</v>
      </c>
      <c r="D418" s="1" t="s">
        <v>12</v>
      </c>
      <c r="E418" s="12">
        <v>18050</v>
      </c>
      <c r="F418" s="12" t="s">
        <v>13</v>
      </c>
      <c r="G418" s="6">
        <v>2464.23</v>
      </c>
      <c r="H418" s="1">
        <v>33.299999999999997</v>
      </c>
      <c r="J418" t="str">
        <f t="shared" si="72"/>
        <v>OK</v>
      </c>
      <c r="K418" t="str">
        <f t="shared" si="73"/>
        <v>OK</v>
      </c>
      <c r="L418">
        <f t="shared" si="82"/>
        <v>12</v>
      </c>
      <c r="M418">
        <f t="shared" si="74"/>
        <v>10</v>
      </c>
      <c r="N418" s="9" t="str">
        <f t="shared" si="83"/>
        <v>Valid</v>
      </c>
      <c r="O418" t="str">
        <f t="shared" si="75"/>
        <v>Include</v>
      </c>
      <c r="P418" s="9">
        <f t="shared" si="76"/>
        <v>2035068.5799999984</v>
      </c>
      <c r="Q418" s="15">
        <f t="shared" si="77"/>
        <v>7469725</v>
      </c>
      <c r="R418" s="9">
        <f t="shared" si="78"/>
        <v>18050</v>
      </c>
      <c r="S418" s="9">
        <f t="shared" si="79"/>
        <v>7469725</v>
      </c>
      <c r="T418" s="15">
        <f t="shared" si="80"/>
        <v>16.686436250344954</v>
      </c>
      <c r="U418" s="15">
        <f>IF(O418="Exclude",0,G418*Fuel_Price!$B$2)</f>
        <v>3620.4467160000004</v>
      </c>
      <c r="V418" s="15">
        <f t="shared" si="81"/>
        <v>2989922.7577359979</v>
      </c>
    </row>
    <row r="419" spans="1:22">
      <c r="A419" s="1" t="s">
        <v>1075</v>
      </c>
      <c r="B419" s="1" t="s">
        <v>1076</v>
      </c>
      <c r="C419" s="1" t="s">
        <v>937</v>
      </c>
      <c r="D419" s="1" t="s">
        <v>12</v>
      </c>
      <c r="E419" s="12">
        <v>5975</v>
      </c>
      <c r="F419" s="12" t="s">
        <v>13</v>
      </c>
      <c r="G419" s="6">
        <v>1121.31</v>
      </c>
      <c r="H419" s="1">
        <v>24.22</v>
      </c>
      <c r="J419" t="str">
        <f t="shared" si="72"/>
        <v>OK</v>
      </c>
      <c r="K419" t="str">
        <f t="shared" si="73"/>
        <v>OK</v>
      </c>
      <c r="L419">
        <f t="shared" si="82"/>
        <v>12</v>
      </c>
      <c r="M419">
        <f t="shared" si="74"/>
        <v>10</v>
      </c>
      <c r="N419" s="9" t="str">
        <f t="shared" si="83"/>
        <v>Valid</v>
      </c>
      <c r="O419" t="str">
        <f t="shared" si="75"/>
        <v>Include</v>
      </c>
      <c r="P419" s="9">
        <f t="shared" si="76"/>
        <v>2035068.5799999984</v>
      </c>
      <c r="Q419" s="15">
        <f t="shared" si="77"/>
        <v>7469725</v>
      </c>
      <c r="R419" s="9">
        <f t="shared" si="78"/>
        <v>5975</v>
      </c>
      <c r="S419" s="9">
        <f t="shared" si="79"/>
        <v>7469725</v>
      </c>
      <c r="T419" s="15">
        <f t="shared" si="80"/>
        <v>16.686436250344954</v>
      </c>
      <c r="U419" s="15">
        <f>IF(O419="Exclude",0,G419*Fuel_Price!$B$2)</f>
        <v>1647.4286520000001</v>
      </c>
      <c r="V419" s="15">
        <f t="shared" si="81"/>
        <v>2989922.7577359979</v>
      </c>
    </row>
    <row r="420" spans="1:22">
      <c r="A420" s="1" t="s">
        <v>1077</v>
      </c>
      <c r="B420" s="1" t="s">
        <v>1078</v>
      </c>
      <c r="C420" s="1" t="s">
        <v>937</v>
      </c>
      <c r="D420" s="1" t="s">
        <v>12</v>
      </c>
      <c r="E420" s="12">
        <v>8267</v>
      </c>
      <c r="F420" s="12" t="s">
        <v>13</v>
      </c>
      <c r="G420" s="6">
        <v>1142.1099999999999</v>
      </c>
      <c r="H420" s="1">
        <v>32.909999999999997</v>
      </c>
      <c r="J420" t="str">
        <f t="shared" si="72"/>
        <v>OK</v>
      </c>
      <c r="K420" t="str">
        <f t="shared" si="73"/>
        <v>OK</v>
      </c>
      <c r="L420">
        <f t="shared" si="82"/>
        <v>12</v>
      </c>
      <c r="M420">
        <f t="shared" si="74"/>
        <v>10</v>
      </c>
      <c r="N420" s="9" t="str">
        <f t="shared" si="83"/>
        <v>Valid</v>
      </c>
      <c r="O420" t="str">
        <f t="shared" si="75"/>
        <v>Include</v>
      </c>
      <c r="P420" s="9">
        <f t="shared" si="76"/>
        <v>2035068.5799999984</v>
      </c>
      <c r="Q420" s="15">
        <f t="shared" si="77"/>
        <v>7469725</v>
      </c>
      <c r="R420" s="9">
        <f t="shared" si="78"/>
        <v>8267</v>
      </c>
      <c r="S420" s="9">
        <f t="shared" si="79"/>
        <v>7469725</v>
      </c>
      <c r="T420" s="15">
        <f t="shared" si="80"/>
        <v>16.686436250344954</v>
      </c>
      <c r="U420" s="15">
        <f>IF(O420="Exclude",0,G420*Fuel_Price!$B$2)</f>
        <v>1677.988012</v>
      </c>
      <c r="V420" s="15">
        <f t="shared" si="81"/>
        <v>2989922.7577359979</v>
      </c>
    </row>
    <row r="421" spans="1:22">
      <c r="A421" s="1" t="s">
        <v>1079</v>
      </c>
      <c r="B421" s="1" t="s">
        <v>1080</v>
      </c>
      <c r="C421" s="1" t="s">
        <v>937</v>
      </c>
      <c r="D421" s="1" t="s">
        <v>12</v>
      </c>
      <c r="E421" s="12">
        <v>5184</v>
      </c>
      <c r="F421" s="12" t="s">
        <v>13</v>
      </c>
      <c r="G421" s="6">
        <v>778.06</v>
      </c>
      <c r="H421" s="1">
        <v>30.29</v>
      </c>
      <c r="J421" t="str">
        <f t="shared" si="72"/>
        <v>OK</v>
      </c>
      <c r="K421" t="str">
        <f t="shared" si="73"/>
        <v>OK</v>
      </c>
      <c r="L421">
        <f t="shared" si="82"/>
        <v>12</v>
      </c>
      <c r="M421">
        <f t="shared" si="74"/>
        <v>10</v>
      </c>
      <c r="N421" s="9" t="str">
        <f t="shared" si="83"/>
        <v>Valid</v>
      </c>
      <c r="O421" t="str">
        <f t="shared" si="75"/>
        <v>Include</v>
      </c>
      <c r="P421" s="9">
        <f t="shared" si="76"/>
        <v>2035068.5799999984</v>
      </c>
      <c r="Q421" s="15">
        <f t="shared" si="77"/>
        <v>7469725</v>
      </c>
      <c r="R421" s="9">
        <f t="shared" si="78"/>
        <v>5184</v>
      </c>
      <c r="S421" s="9">
        <f t="shared" si="79"/>
        <v>7469725</v>
      </c>
      <c r="T421" s="15">
        <f t="shared" si="80"/>
        <v>16.686436250344954</v>
      </c>
      <c r="U421" s="15">
        <f>IF(O421="Exclude",0,G421*Fuel_Price!$B$2)</f>
        <v>1143.1257519999999</v>
      </c>
      <c r="V421" s="15">
        <f t="shared" si="81"/>
        <v>2989922.7577359979</v>
      </c>
    </row>
    <row r="422" spans="1:22">
      <c r="A422" s="1" t="s">
        <v>1081</v>
      </c>
      <c r="B422" s="1" t="s">
        <v>1082</v>
      </c>
      <c r="C422" s="1" t="s">
        <v>937</v>
      </c>
      <c r="D422" s="1" t="s">
        <v>12</v>
      </c>
      <c r="E422" s="12">
        <v>11532</v>
      </c>
      <c r="F422" s="12" t="s">
        <v>13</v>
      </c>
      <c r="G422" s="6">
        <v>1866.23</v>
      </c>
      <c r="H422" s="1">
        <v>28.09</v>
      </c>
      <c r="J422" t="str">
        <f t="shared" si="72"/>
        <v>OK</v>
      </c>
      <c r="K422" t="str">
        <f t="shared" si="73"/>
        <v>OK</v>
      </c>
      <c r="L422">
        <f t="shared" si="82"/>
        <v>12</v>
      </c>
      <c r="M422">
        <f t="shared" si="74"/>
        <v>10</v>
      </c>
      <c r="N422" s="9" t="str">
        <f t="shared" si="83"/>
        <v>Valid</v>
      </c>
      <c r="O422" t="str">
        <f t="shared" si="75"/>
        <v>Include</v>
      </c>
      <c r="P422" s="9">
        <f t="shared" si="76"/>
        <v>2035068.5799999984</v>
      </c>
      <c r="Q422" s="15">
        <f t="shared" si="77"/>
        <v>7469725</v>
      </c>
      <c r="R422" s="9">
        <f t="shared" si="78"/>
        <v>11532</v>
      </c>
      <c r="S422" s="9">
        <f t="shared" si="79"/>
        <v>7469725</v>
      </c>
      <c r="T422" s="15">
        <f t="shared" si="80"/>
        <v>16.686436250344954</v>
      </c>
      <c r="U422" s="15">
        <f>IF(O422="Exclude",0,G422*Fuel_Price!$B$2)</f>
        <v>2741.8651159999999</v>
      </c>
      <c r="V422" s="15">
        <f t="shared" si="81"/>
        <v>2989922.7577359979</v>
      </c>
    </row>
    <row r="423" spans="1:22">
      <c r="A423" s="1" t="s">
        <v>1083</v>
      </c>
      <c r="B423" s="1" t="s">
        <v>1084</v>
      </c>
      <c r="C423" s="1" t="s">
        <v>1085</v>
      </c>
      <c r="D423" s="1" t="s">
        <v>12</v>
      </c>
      <c r="E423" s="12">
        <v>19239</v>
      </c>
      <c r="F423" s="12" t="s">
        <v>13</v>
      </c>
      <c r="G423" s="6">
        <v>2365.16</v>
      </c>
      <c r="H423" s="1">
        <v>36.979999999999997</v>
      </c>
      <c r="J423" t="str">
        <f t="shared" si="72"/>
        <v>OK</v>
      </c>
      <c r="K423" t="str">
        <f t="shared" si="73"/>
        <v>OK</v>
      </c>
      <c r="L423">
        <f t="shared" si="82"/>
        <v>12</v>
      </c>
      <c r="M423">
        <f t="shared" si="74"/>
        <v>10</v>
      </c>
      <c r="N423" s="9" t="str">
        <f t="shared" si="83"/>
        <v>Valid</v>
      </c>
      <c r="O423" t="str">
        <f t="shared" si="75"/>
        <v>Include</v>
      </c>
      <c r="P423" s="9">
        <f t="shared" si="76"/>
        <v>2035068.5799999984</v>
      </c>
      <c r="Q423" s="15">
        <f t="shared" si="77"/>
        <v>7469725</v>
      </c>
      <c r="R423" s="9">
        <f t="shared" si="78"/>
        <v>19239</v>
      </c>
      <c r="S423" s="9">
        <f t="shared" si="79"/>
        <v>7469725</v>
      </c>
      <c r="T423" s="15">
        <f t="shared" si="80"/>
        <v>16.686436250344954</v>
      </c>
      <c r="U423" s="15">
        <f>IF(O423="Exclude",0,G423*Fuel_Price!$B$2)</f>
        <v>3474.8930719999998</v>
      </c>
      <c r="V423" s="15">
        <f t="shared" si="81"/>
        <v>2989922.7577359979</v>
      </c>
    </row>
    <row r="424" spans="1:22">
      <c r="A424" s="1" t="s">
        <v>1086</v>
      </c>
      <c r="B424" s="1" t="s">
        <v>1087</v>
      </c>
      <c r="C424" s="1" t="s">
        <v>1088</v>
      </c>
      <c r="D424" s="1" t="s">
        <v>12</v>
      </c>
      <c r="E424" s="12">
        <v>17085</v>
      </c>
      <c r="F424" s="12" t="s">
        <v>13</v>
      </c>
      <c r="G424" s="6">
        <v>2254.2199999999998</v>
      </c>
      <c r="H424" s="1">
        <v>34.46</v>
      </c>
      <c r="J424" t="str">
        <f t="shared" si="72"/>
        <v>OK</v>
      </c>
      <c r="K424" t="str">
        <f t="shared" si="73"/>
        <v>OK</v>
      </c>
      <c r="L424">
        <f t="shared" si="82"/>
        <v>12</v>
      </c>
      <c r="M424">
        <f t="shared" si="74"/>
        <v>10</v>
      </c>
      <c r="N424" s="9" t="str">
        <f t="shared" si="83"/>
        <v>Valid</v>
      </c>
      <c r="O424" t="str">
        <f t="shared" si="75"/>
        <v>Include</v>
      </c>
      <c r="P424" s="9">
        <f t="shared" si="76"/>
        <v>2035068.5799999984</v>
      </c>
      <c r="Q424" s="15">
        <f t="shared" si="77"/>
        <v>7469725</v>
      </c>
      <c r="R424" s="9">
        <f t="shared" si="78"/>
        <v>17085</v>
      </c>
      <c r="S424" s="9">
        <f t="shared" si="79"/>
        <v>7469725</v>
      </c>
      <c r="T424" s="15">
        <f t="shared" si="80"/>
        <v>16.686436250344954</v>
      </c>
      <c r="U424" s="15">
        <f>IF(O424="Exclude",0,G424*Fuel_Price!$B$2)</f>
        <v>3311.900024</v>
      </c>
      <c r="V424" s="15">
        <f t="shared" si="81"/>
        <v>2989922.7577359979</v>
      </c>
    </row>
    <row r="425" spans="1:22">
      <c r="A425" s="1" t="s">
        <v>1089</v>
      </c>
      <c r="B425" s="1" t="s">
        <v>1090</v>
      </c>
      <c r="C425" s="1" t="s">
        <v>1091</v>
      </c>
      <c r="D425" s="1" t="s">
        <v>12</v>
      </c>
      <c r="E425" s="12">
        <v>10230</v>
      </c>
      <c r="F425" s="12" t="s">
        <v>13</v>
      </c>
      <c r="G425" s="6">
        <v>1518.41</v>
      </c>
      <c r="H425" s="1">
        <v>30.63</v>
      </c>
      <c r="J425" t="str">
        <f t="shared" si="72"/>
        <v>OK</v>
      </c>
      <c r="K425" t="str">
        <f t="shared" si="73"/>
        <v>OK</v>
      </c>
      <c r="L425">
        <f t="shared" si="82"/>
        <v>12</v>
      </c>
      <c r="M425">
        <f t="shared" si="74"/>
        <v>10</v>
      </c>
      <c r="N425" s="9" t="str">
        <f t="shared" si="83"/>
        <v>Valid</v>
      </c>
      <c r="O425" t="str">
        <f t="shared" si="75"/>
        <v>Include</v>
      </c>
      <c r="P425" s="9">
        <f t="shared" si="76"/>
        <v>2035068.5799999984</v>
      </c>
      <c r="Q425" s="15">
        <f t="shared" si="77"/>
        <v>7469725</v>
      </c>
      <c r="R425" s="9">
        <f t="shared" si="78"/>
        <v>10230</v>
      </c>
      <c r="S425" s="9">
        <f t="shared" si="79"/>
        <v>7469725</v>
      </c>
      <c r="T425" s="15">
        <f t="shared" si="80"/>
        <v>16.686436250344954</v>
      </c>
      <c r="U425" s="15">
        <f>IF(O425="Exclude",0,G425*Fuel_Price!$B$2)</f>
        <v>2230.847972</v>
      </c>
      <c r="V425" s="15">
        <f t="shared" si="81"/>
        <v>2989922.7577359979</v>
      </c>
    </row>
    <row r="426" spans="1:22">
      <c r="A426" s="1" t="s">
        <v>1100</v>
      </c>
      <c r="B426" s="1" t="s">
        <v>1101</v>
      </c>
      <c r="C426" s="1" t="s">
        <v>1102</v>
      </c>
      <c r="D426" s="1" t="s">
        <v>12</v>
      </c>
      <c r="E426" s="12">
        <v>4968</v>
      </c>
      <c r="F426" s="12" t="s">
        <v>13</v>
      </c>
      <c r="G426" s="6">
        <v>831.1</v>
      </c>
      <c r="H426" s="1">
        <v>27.17</v>
      </c>
      <c r="J426" t="str">
        <f t="shared" si="72"/>
        <v>OK</v>
      </c>
      <c r="K426" t="str">
        <f t="shared" si="73"/>
        <v>OK</v>
      </c>
      <c r="L426">
        <f t="shared" si="82"/>
        <v>12</v>
      </c>
      <c r="M426">
        <f t="shared" si="74"/>
        <v>10</v>
      </c>
      <c r="N426" s="9" t="str">
        <f t="shared" si="83"/>
        <v>Valid</v>
      </c>
      <c r="O426" t="str">
        <f t="shared" si="75"/>
        <v>Include</v>
      </c>
      <c r="P426" s="9">
        <f t="shared" si="76"/>
        <v>2035068.5799999984</v>
      </c>
      <c r="Q426" s="15">
        <f t="shared" si="77"/>
        <v>7469725</v>
      </c>
      <c r="R426" s="9">
        <f t="shared" si="78"/>
        <v>4968</v>
      </c>
      <c r="S426" s="9">
        <f t="shared" si="79"/>
        <v>7469725</v>
      </c>
      <c r="T426" s="15">
        <f t="shared" si="80"/>
        <v>16.686436250344954</v>
      </c>
      <c r="U426" s="15">
        <f>IF(O426="Exclude",0,G426*Fuel_Price!$B$2)</f>
        <v>1221.0521200000001</v>
      </c>
      <c r="V426" s="15">
        <f t="shared" si="81"/>
        <v>2989922.7577359979</v>
      </c>
    </row>
    <row r="427" spans="1:22">
      <c r="A427" s="1" t="s">
        <v>1103</v>
      </c>
      <c r="B427" s="1" t="s">
        <v>1104</v>
      </c>
      <c r="C427" s="1" t="s">
        <v>1102</v>
      </c>
      <c r="D427" s="1" t="s">
        <v>12</v>
      </c>
      <c r="E427" s="12">
        <v>5343</v>
      </c>
      <c r="F427" s="12" t="s">
        <v>13</v>
      </c>
      <c r="G427" s="6">
        <v>847.05</v>
      </c>
      <c r="H427" s="1">
        <v>28.68</v>
      </c>
      <c r="J427" t="str">
        <f t="shared" si="72"/>
        <v>OK</v>
      </c>
      <c r="K427" t="str">
        <f t="shared" si="73"/>
        <v>OK</v>
      </c>
      <c r="L427">
        <f t="shared" si="82"/>
        <v>12</v>
      </c>
      <c r="M427">
        <f t="shared" si="74"/>
        <v>10</v>
      </c>
      <c r="N427" s="9" t="str">
        <f t="shared" si="83"/>
        <v>Valid</v>
      </c>
      <c r="O427" t="str">
        <f t="shared" si="75"/>
        <v>Include</v>
      </c>
      <c r="P427" s="9">
        <f t="shared" si="76"/>
        <v>2035068.5799999984</v>
      </c>
      <c r="Q427" s="15">
        <f t="shared" si="77"/>
        <v>7469725</v>
      </c>
      <c r="R427" s="9">
        <f t="shared" si="78"/>
        <v>5343</v>
      </c>
      <c r="S427" s="9">
        <f t="shared" si="79"/>
        <v>7469725</v>
      </c>
      <c r="T427" s="15">
        <f t="shared" si="80"/>
        <v>16.686436250344954</v>
      </c>
      <c r="U427" s="15">
        <f>IF(O427="Exclude",0,G427*Fuel_Price!$B$2)</f>
        <v>1244.48586</v>
      </c>
      <c r="V427" s="15">
        <f t="shared" si="81"/>
        <v>2989922.7577359979</v>
      </c>
    </row>
    <row r="428" spans="1:22">
      <c r="A428" s="1" t="s">
        <v>1105</v>
      </c>
      <c r="B428" s="1" t="s">
        <v>1106</v>
      </c>
      <c r="C428" s="1" t="s">
        <v>1102</v>
      </c>
      <c r="D428" s="1" t="s">
        <v>12</v>
      </c>
      <c r="E428" s="12">
        <v>5851</v>
      </c>
      <c r="F428" s="12" t="s">
        <v>13</v>
      </c>
      <c r="G428" s="6">
        <v>1107.0899999999999</v>
      </c>
      <c r="H428" s="1">
        <v>24.03</v>
      </c>
      <c r="J428" t="str">
        <f t="shared" si="72"/>
        <v>OK</v>
      </c>
      <c r="K428" t="str">
        <f t="shared" si="73"/>
        <v>OK</v>
      </c>
      <c r="L428">
        <f t="shared" si="82"/>
        <v>12</v>
      </c>
      <c r="M428">
        <f t="shared" si="74"/>
        <v>10</v>
      </c>
      <c r="N428" s="9" t="str">
        <f t="shared" si="83"/>
        <v>Valid</v>
      </c>
      <c r="O428" t="str">
        <f t="shared" si="75"/>
        <v>Include</v>
      </c>
      <c r="P428" s="9">
        <f t="shared" si="76"/>
        <v>2035068.5799999984</v>
      </c>
      <c r="Q428" s="15">
        <f t="shared" si="77"/>
        <v>7469725</v>
      </c>
      <c r="R428" s="9">
        <f t="shared" si="78"/>
        <v>5851</v>
      </c>
      <c r="S428" s="9">
        <f t="shared" si="79"/>
        <v>7469725</v>
      </c>
      <c r="T428" s="15">
        <f t="shared" si="80"/>
        <v>16.686436250344954</v>
      </c>
      <c r="U428" s="15">
        <f>IF(O428="Exclude",0,G428*Fuel_Price!$B$2)</f>
        <v>1626.5366279999998</v>
      </c>
      <c r="V428" s="15">
        <f t="shared" si="81"/>
        <v>2989922.7577359979</v>
      </c>
    </row>
    <row r="429" spans="1:22">
      <c r="A429" s="1" t="s">
        <v>1107</v>
      </c>
      <c r="B429" s="1" t="s">
        <v>1108</v>
      </c>
      <c r="C429" s="1" t="s">
        <v>1102</v>
      </c>
      <c r="D429" s="1" t="s">
        <v>12</v>
      </c>
      <c r="E429" s="12">
        <v>4984</v>
      </c>
      <c r="F429" s="12" t="s">
        <v>13</v>
      </c>
      <c r="G429" s="6">
        <v>908.82</v>
      </c>
      <c r="H429" s="1">
        <v>24.93</v>
      </c>
      <c r="J429" t="str">
        <f t="shared" si="72"/>
        <v>OK</v>
      </c>
      <c r="K429" t="str">
        <f t="shared" si="73"/>
        <v>OK</v>
      </c>
      <c r="L429">
        <f t="shared" si="82"/>
        <v>12</v>
      </c>
      <c r="M429">
        <f t="shared" si="74"/>
        <v>10</v>
      </c>
      <c r="N429" s="9" t="str">
        <f t="shared" si="83"/>
        <v>Valid</v>
      </c>
      <c r="O429" t="str">
        <f t="shared" si="75"/>
        <v>Include</v>
      </c>
      <c r="P429" s="9">
        <f t="shared" si="76"/>
        <v>2035068.5799999984</v>
      </c>
      <c r="Q429" s="15">
        <f t="shared" si="77"/>
        <v>7469725</v>
      </c>
      <c r="R429" s="9">
        <f t="shared" si="78"/>
        <v>4984</v>
      </c>
      <c r="S429" s="9">
        <f t="shared" si="79"/>
        <v>7469725</v>
      </c>
      <c r="T429" s="15">
        <f t="shared" si="80"/>
        <v>16.686436250344954</v>
      </c>
      <c r="U429" s="15">
        <f>IF(O429="Exclude",0,G429*Fuel_Price!$B$2)</f>
        <v>1335.2383440000001</v>
      </c>
      <c r="V429" s="15">
        <f t="shared" si="81"/>
        <v>2989922.7577359979</v>
      </c>
    </row>
    <row r="430" spans="1:22">
      <c r="A430" s="1" t="s">
        <v>1109</v>
      </c>
      <c r="B430" s="1" t="s">
        <v>1110</v>
      </c>
      <c r="C430" s="1" t="s">
        <v>1102</v>
      </c>
      <c r="D430" s="1" t="s">
        <v>12</v>
      </c>
      <c r="E430" s="12">
        <v>8263</v>
      </c>
      <c r="F430" s="12" t="s">
        <v>13</v>
      </c>
      <c r="G430" s="6">
        <v>1282.47</v>
      </c>
      <c r="H430" s="1">
        <v>29.29</v>
      </c>
      <c r="J430" t="str">
        <f t="shared" si="72"/>
        <v>OK</v>
      </c>
      <c r="K430" t="str">
        <f t="shared" si="73"/>
        <v>OK</v>
      </c>
      <c r="L430">
        <f t="shared" si="82"/>
        <v>12</v>
      </c>
      <c r="M430">
        <f t="shared" si="74"/>
        <v>10</v>
      </c>
      <c r="N430" s="9" t="str">
        <f t="shared" si="83"/>
        <v>Valid</v>
      </c>
      <c r="O430" t="str">
        <f t="shared" si="75"/>
        <v>Include</v>
      </c>
      <c r="P430" s="9">
        <f t="shared" si="76"/>
        <v>2035068.5799999984</v>
      </c>
      <c r="Q430" s="15">
        <f t="shared" si="77"/>
        <v>7469725</v>
      </c>
      <c r="R430" s="9">
        <f t="shared" si="78"/>
        <v>8263</v>
      </c>
      <c r="S430" s="9">
        <f t="shared" si="79"/>
        <v>7469725</v>
      </c>
      <c r="T430" s="15">
        <f t="shared" si="80"/>
        <v>16.686436250344954</v>
      </c>
      <c r="U430" s="15">
        <f>IF(O430="Exclude",0,G430*Fuel_Price!$B$2)</f>
        <v>1884.2049240000001</v>
      </c>
      <c r="V430" s="15">
        <f t="shared" si="81"/>
        <v>2989922.7577359979</v>
      </c>
    </row>
    <row r="431" spans="1:22">
      <c r="A431" s="1" t="s">
        <v>1111</v>
      </c>
      <c r="B431" s="1" t="s">
        <v>1112</v>
      </c>
      <c r="C431" s="1" t="s">
        <v>1102</v>
      </c>
      <c r="D431" s="1" t="s">
        <v>12</v>
      </c>
      <c r="E431" s="12">
        <v>20794</v>
      </c>
      <c r="F431" s="12" t="s">
        <v>13</v>
      </c>
      <c r="G431" s="6">
        <v>2424.63</v>
      </c>
      <c r="H431" s="1">
        <v>38.99</v>
      </c>
      <c r="J431" t="str">
        <f t="shared" si="72"/>
        <v>OK</v>
      </c>
      <c r="K431" t="str">
        <f t="shared" si="73"/>
        <v>OK</v>
      </c>
      <c r="L431">
        <f t="shared" si="82"/>
        <v>12</v>
      </c>
      <c r="M431">
        <f t="shared" si="74"/>
        <v>10</v>
      </c>
      <c r="N431" s="9" t="str">
        <f t="shared" si="83"/>
        <v>Valid</v>
      </c>
      <c r="O431" t="str">
        <f t="shared" si="75"/>
        <v>Include</v>
      </c>
      <c r="P431" s="9">
        <f t="shared" si="76"/>
        <v>2035068.5799999984</v>
      </c>
      <c r="Q431" s="15">
        <f t="shared" si="77"/>
        <v>7469725</v>
      </c>
      <c r="R431" s="9">
        <f t="shared" si="78"/>
        <v>20794</v>
      </c>
      <c r="S431" s="9">
        <f t="shared" si="79"/>
        <v>7469725</v>
      </c>
      <c r="T431" s="15">
        <f t="shared" si="80"/>
        <v>16.686436250344954</v>
      </c>
      <c r="U431" s="15">
        <f>IF(O431="Exclude",0,G431*Fuel_Price!$B$2)</f>
        <v>3562.2663960000004</v>
      </c>
      <c r="V431" s="15">
        <f t="shared" si="81"/>
        <v>2989922.7577359979</v>
      </c>
    </row>
    <row r="432" spans="1:22">
      <c r="A432" s="1" t="s">
        <v>1113</v>
      </c>
      <c r="B432" s="1" t="s">
        <v>1114</v>
      </c>
      <c r="C432" s="1" t="s">
        <v>1102</v>
      </c>
      <c r="D432" s="1" t="s">
        <v>12</v>
      </c>
      <c r="E432" s="12">
        <v>4881</v>
      </c>
      <c r="F432" s="12" t="s">
        <v>13</v>
      </c>
      <c r="G432" s="6">
        <v>853.85</v>
      </c>
      <c r="H432" s="1">
        <v>25.99</v>
      </c>
      <c r="J432" t="str">
        <f t="shared" si="72"/>
        <v>OK</v>
      </c>
      <c r="K432" t="str">
        <f t="shared" si="73"/>
        <v>OK</v>
      </c>
      <c r="L432">
        <f t="shared" si="82"/>
        <v>12</v>
      </c>
      <c r="M432">
        <f t="shared" si="74"/>
        <v>10</v>
      </c>
      <c r="N432" s="9" t="str">
        <f t="shared" si="83"/>
        <v>Valid</v>
      </c>
      <c r="O432" t="str">
        <f t="shared" si="75"/>
        <v>Include</v>
      </c>
      <c r="P432" s="9">
        <f t="shared" si="76"/>
        <v>2035068.5799999984</v>
      </c>
      <c r="Q432" s="15">
        <f t="shared" si="77"/>
        <v>7469725</v>
      </c>
      <c r="R432" s="9">
        <f t="shared" si="78"/>
        <v>4881</v>
      </c>
      <c r="S432" s="9">
        <f t="shared" si="79"/>
        <v>7469725</v>
      </c>
      <c r="T432" s="15">
        <f t="shared" si="80"/>
        <v>16.686436250344954</v>
      </c>
      <c r="U432" s="15">
        <f>IF(O432="Exclude",0,G432*Fuel_Price!$B$2)</f>
        <v>1254.4764200000002</v>
      </c>
      <c r="V432" s="15">
        <f t="shared" si="81"/>
        <v>2989922.7577359979</v>
      </c>
    </row>
    <row r="433" spans="1:22">
      <c r="A433" s="1" t="s">
        <v>1115</v>
      </c>
      <c r="B433" s="1" t="s">
        <v>1116</v>
      </c>
      <c r="C433" s="1" t="s">
        <v>1102</v>
      </c>
      <c r="D433" s="1" t="s">
        <v>12</v>
      </c>
      <c r="E433" s="12">
        <v>8355</v>
      </c>
      <c r="F433" s="12" t="s">
        <v>13</v>
      </c>
      <c r="G433" s="6">
        <v>1483.99</v>
      </c>
      <c r="H433" s="1">
        <v>25.59</v>
      </c>
      <c r="J433" t="str">
        <f t="shared" si="72"/>
        <v>OK</v>
      </c>
      <c r="K433" t="str">
        <f t="shared" si="73"/>
        <v>OK</v>
      </c>
      <c r="L433">
        <f t="shared" si="82"/>
        <v>12</v>
      </c>
      <c r="M433">
        <f t="shared" si="74"/>
        <v>10</v>
      </c>
      <c r="N433" s="9" t="str">
        <f t="shared" si="83"/>
        <v>Valid</v>
      </c>
      <c r="O433" t="str">
        <f t="shared" si="75"/>
        <v>Include</v>
      </c>
      <c r="P433" s="9">
        <f t="shared" si="76"/>
        <v>2035068.5799999984</v>
      </c>
      <c r="Q433" s="15">
        <f t="shared" si="77"/>
        <v>7469725</v>
      </c>
      <c r="R433" s="9">
        <f t="shared" si="78"/>
        <v>8355</v>
      </c>
      <c r="S433" s="9">
        <f t="shared" si="79"/>
        <v>7469725</v>
      </c>
      <c r="T433" s="15">
        <f t="shared" si="80"/>
        <v>16.686436250344954</v>
      </c>
      <c r="U433" s="15">
        <f>IF(O433="Exclude",0,G433*Fuel_Price!$B$2)</f>
        <v>2180.278108</v>
      </c>
      <c r="V433" s="15">
        <f t="shared" si="81"/>
        <v>2989922.7577359979</v>
      </c>
    </row>
    <row r="434" spans="1:22">
      <c r="A434" s="1" t="s">
        <v>1117</v>
      </c>
      <c r="B434" s="1" t="s">
        <v>1118</v>
      </c>
      <c r="C434" s="1" t="s">
        <v>1102</v>
      </c>
      <c r="D434" s="1" t="s">
        <v>12</v>
      </c>
      <c r="E434" s="12">
        <v>8726</v>
      </c>
      <c r="F434" s="12" t="s">
        <v>13</v>
      </c>
      <c r="G434" s="6">
        <v>1687.03</v>
      </c>
      <c r="H434" s="1">
        <v>23.51</v>
      </c>
      <c r="J434" t="str">
        <f t="shared" si="72"/>
        <v>OK</v>
      </c>
      <c r="K434" t="str">
        <f t="shared" si="73"/>
        <v>OK</v>
      </c>
      <c r="L434">
        <f t="shared" si="82"/>
        <v>12</v>
      </c>
      <c r="M434">
        <f t="shared" si="74"/>
        <v>10</v>
      </c>
      <c r="N434" s="9" t="str">
        <f t="shared" si="83"/>
        <v>Valid</v>
      </c>
      <c r="O434" t="str">
        <f t="shared" si="75"/>
        <v>Include</v>
      </c>
      <c r="P434" s="9">
        <f t="shared" si="76"/>
        <v>2035068.5799999984</v>
      </c>
      <c r="Q434" s="15">
        <f t="shared" si="77"/>
        <v>7469725</v>
      </c>
      <c r="R434" s="9">
        <f t="shared" si="78"/>
        <v>8726</v>
      </c>
      <c r="S434" s="9">
        <f t="shared" si="79"/>
        <v>7469725</v>
      </c>
      <c r="T434" s="15">
        <f t="shared" si="80"/>
        <v>16.686436250344954</v>
      </c>
      <c r="U434" s="15">
        <f>IF(O434="Exclude",0,G434*Fuel_Price!$B$2)</f>
        <v>2478.584476</v>
      </c>
      <c r="V434" s="15">
        <f t="shared" si="81"/>
        <v>2989922.7577359979</v>
      </c>
    </row>
    <row r="435" spans="1:22">
      <c r="A435" s="1" t="s">
        <v>1119</v>
      </c>
      <c r="B435" s="1" t="s">
        <v>1120</v>
      </c>
      <c r="C435" s="1" t="s">
        <v>1102</v>
      </c>
      <c r="D435" s="1" t="s">
        <v>12</v>
      </c>
      <c r="E435" s="12">
        <v>17127</v>
      </c>
      <c r="F435" s="12" t="s">
        <v>13</v>
      </c>
      <c r="G435" s="6">
        <v>2336.35</v>
      </c>
      <c r="H435" s="1">
        <v>33.33</v>
      </c>
      <c r="J435" t="str">
        <f t="shared" si="72"/>
        <v>OK</v>
      </c>
      <c r="K435" t="str">
        <f t="shared" si="73"/>
        <v>OK</v>
      </c>
      <c r="L435">
        <f t="shared" si="82"/>
        <v>12</v>
      </c>
      <c r="M435">
        <f t="shared" si="74"/>
        <v>10</v>
      </c>
      <c r="N435" s="9" t="str">
        <f t="shared" si="83"/>
        <v>Valid</v>
      </c>
      <c r="O435" t="str">
        <f t="shared" si="75"/>
        <v>Include</v>
      </c>
      <c r="P435" s="9">
        <f t="shared" si="76"/>
        <v>2035068.5799999984</v>
      </c>
      <c r="Q435" s="15">
        <f t="shared" si="77"/>
        <v>7469725</v>
      </c>
      <c r="R435" s="9">
        <f t="shared" si="78"/>
        <v>17127</v>
      </c>
      <c r="S435" s="9">
        <f t="shared" si="79"/>
        <v>7469725</v>
      </c>
      <c r="T435" s="15">
        <f t="shared" si="80"/>
        <v>16.686436250344954</v>
      </c>
      <c r="U435" s="15">
        <f>IF(O435="Exclude",0,G435*Fuel_Price!$B$2)</f>
        <v>3432.5654199999999</v>
      </c>
      <c r="V435" s="15">
        <f t="shared" si="81"/>
        <v>2989922.7577359979</v>
      </c>
    </row>
    <row r="436" spans="1:22">
      <c r="A436" s="1" t="s">
        <v>1121</v>
      </c>
      <c r="B436" s="1" t="s">
        <v>1122</v>
      </c>
      <c r="C436" s="1" t="s">
        <v>1102</v>
      </c>
      <c r="D436" s="1" t="s">
        <v>12</v>
      </c>
      <c r="E436" s="12">
        <v>8154</v>
      </c>
      <c r="F436" s="12" t="s">
        <v>13</v>
      </c>
      <c r="G436" s="6">
        <v>1365.1</v>
      </c>
      <c r="H436" s="1">
        <v>27.15</v>
      </c>
      <c r="J436" t="str">
        <f t="shared" si="72"/>
        <v>OK</v>
      </c>
      <c r="K436" t="str">
        <f t="shared" si="73"/>
        <v>OK</v>
      </c>
      <c r="L436">
        <f t="shared" si="82"/>
        <v>12</v>
      </c>
      <c r="M436">
        <f t="shared" si="74"/>
        <v>10</v>
      </c>
      <c r="N436" s="9" t="str">
        <f t="shared" si="83"/>
        <v>Valid</v>
      </c>
      <c r="O436" t="str">
        <f t="shared" si="75"/>
        <v>Include</v>
      </c>
      <c r="P436" s="9">
        <f t="shared" si="76"/>
        <v>2035068.5799999984</v>
      </c>
      <c r="Q436" s="15">
        <f t="shared" si="77"/>
        <v>7469725</v>
      </c>
      <c r="R436" s="9">
        <f t="shared" si="78"/>
        <v>8154</v>
      </c>
      <c r="S436" s="9">
        <f t="shared" si="79"/>
        <v>7469725</v>
      </c>
      <c r="T436" s="15">
        <f t="shared" si="80"/>
        <v>16.686436250344954</v>
      </c>
      <c r="U436" s="15">
        <f>IF(O436="Exclude",0,G436*Fuel_Price!$B$2)</f>
        <v>2005.60492</v>
      </c>
      <c r="V436" s="15">
        <f t="shared" si="81"/>
        <v>2989922.7577359979</v>
      </c>
    </row>
    <row r="437" spans="1:22">
      <c r="A437" s="1" t="s">
        <v>1123</v>
      </c>
      <c r="B437" s="1" t="s">
        <v>1124</v>
      </c>
      <c r="C437" s="1" t="s">
        <v>1102</v>
      </c>
      <c r="D437" s="1" t="s">
        <v>12</v>
      </c>
      <c r="E437" s="12">
        <v>5254</v>
      </c>
      <c r="F437" s="12" t="s">
        <v>13</v>
      </c>
      <c r="G437" s="6">
        <v>852.01</v>
      </c>
      <c r="H437" s="1">
        <v>28.03</v>
      </c>
      <c r="J437" t="str">
        <f t="shared" si="72"/>
        <v>OK</v>
      </c>
      <c r="K437" t="str">
        <f t="shared" si="73"/>
        <v>OK</v>
      </c>
      <c r="L437">
        <f t="shared" si="82"/>
        <v>12</v>
      </c>
      <c r="M437">
        <f t="shared" si="74"/>
        <v>10</v>
      </c>
      <c r="N437" s="9" t="str">
        <f t="shared" si="83"/>
        <v>Valid</v>
      </c>
      <c r="O437" t="str">
        <f t="shared" si="75"/>
        <v>Include</v>
      </c>
      <c r="P437" s="9">
        <f t="shared" si="76"/>
        <v>2035068.5799999984</v>
      </c>
      <c r="Q437" s="15">
        <f t="shared" si="77"/>
        <v>7469725</v>
      </c>
      <c r="R437" s="9">
        <f t="shared" si="78"/>
        <v>5254</v>
      </c>
      <c r="S437" s="9">
        <f t="shared" si="79"/>
        <v>7469725</v>
      </c>
      <c r="T437" s="15">
        <f t="shared" si="80"/>
        <v>16.686436250344954</v>
      </c>
      <c r="U437" s="15">
        <f>IF(O437="Exclude",0,G437*Fuel_Price!$B$2)</f>
        <v>1251.7730920000001</v>
      </c>
      <c r="V437" s="15">
        <f t="shared" si="81"/>
        <v>2989922.7577359979</v>
      </c>
    </row>
    <row r="438" spans="1:22">
      <c r="A438" s="1" t="s">
        <v>1125</v>
      </c>
      <c r="B438" s="1" t="s">
        <v>1126</v>
      </c>
      <c r="C438" s="1" t="s">
        <v>1102</v>
      </c>
      <c r="D438" s="1" t="s">
        <v>12</v>
      </c>
      <c r="E438" s="12">
        <v>2561</v>
      </c>
      <c r="F438" s="12" t="s">
        <v>13</v>
      </c>
      <c r="G438" s="6">
        <v>606.45000000000005</v>
      </c>
      <c r="H438" s="1">
        <v>19.2</v>
      </c>
      <c r="J438" t="str">
        <f t="shared" si="72"/>
        <v>OK</v>
      </c>
      <c r="K438" t="str">
        <f t="shared" si="73"/>
        <v>OK</v>
      </c>
      <c r="L438">
        <f t="shared" si="82"/>
        <v>12</v>
      </c>
      <c r="M438">
        <f t="shared" si="74"/>
        <v>10</v>
      </c>
      <c r="N438" s="9" t="str">
        <f t="shared" si="83"/>
        <v>Valid</v>
      </c>
      <c r="O438" t="str">
        <f t="shared" si="75"/>
        <v>Include</v>
      </c>
      <c r="P438" s="9">
        <f t="shared" si="76"/>
        <v>2035068.5799999984</v>
      </c>
      <c r="Q438" s="15">
        <f t="shared" si="77"/>
        <v>7469725</v>
      </c>
      <c r="R438" s="9">
        <f t="shared" si="78"/>
        <v>2561</v>
      </c>
      <c r="S438" s="9">
        <f t="shared" si="79"/>
        <v>7469725</v>
      </c>
      <c r="T438" s="15">
        <f t="shared" si="80"/>
        <v>16.686436250344954</v>
      </c>
      <c r="U438" s="15">
        <f>IF(O438="Exclude",0,G438*Fuel_Price!$B$2)</f>
        <v>890.99634000000015</v>
      </c>
      <c r="V438" s="15">
        <f t="shared" si="81"/>
        <v>2989922.7577359979</v>
      </c>
    </row>
    <row r="439" spans="1:22">
      <c r="A439" s="1" t="s">
        <v>1127</v>
      </c>
      <c r="B439" s="1" t="s">
        <v>1128</v>
      </c>
      <c r="C439" s="1" t="s">
        <v>1102</v>
      </c>
      <c r="D439" s="1" t="s">
        <v>12</v>
      </c>
      <c r="E439" s="12">
        <v>7521</v>
      </c>
      <c r="F439" s="12" t="s">
        <v>13</v>
      </c>
      <c r="G439" s="6">
        <v>1162.25</v>
      </c>
      <c r="H439" s="1">
        <v>29.42</v>
      </c>
      <c r="J439" t="str">
        <f t="shared" si="72"/>
        <v>OK</v>
      </c>
      <c r="K439" t="str">
        <f t="shared" si="73"/>
        <v>OK</v>
      </c>
      <c r="L439">
        <f t="shared" si="82"/>
        <v>12</v>
      </c>
      <c r="M439">
        <f t="shared" si="74"/>
        <v>10</v>
      </c>
      <c r="N439" s="9" t="str">
        <f t="shared" si="83"/>
        <v>Valid</v>
      </c>
      <c r="O439" t="str">
        <f t="shared" si="75"/>
        <v>Include</v>
      </c>
      <c r="P439" s="9">
        <f t="shared" si="76"/>
        <v>2035068.5799999984</v>
      </c>
      <c r="Q439" s="15">
        <f t="shared" si="77"/>
        <v>7469725</v>
      </c>
      <c r="R439" s="9">
        <f t="shared" si="78"/>
        <v>7521</v>
      </c>
      <c r="S439" s="9">
        <f t="shared" si="79"/>
        <v>7469725</v>
      </c>
      <c r="T439" s="15">
        <f t="shared" si="80"/>
        <v>16.686436250344954</v>
      </c>
      <c r="U439" s="15">
        <f>IF(O439="Exclude",0,G439*Fuel_Price!$B$2)</f>
        <v>1707.5777</v>
      </c>
      <c r="V439" s="15">
        <f t="shared" si="81"/>
        <v>2989922.7577359979</v>
      </c>
    </row>
    <row r="440" spans="1:22">
      <c r="A440" s="1" t="s">
        <v>1129</v>
      </c>
      <c r="B440" s="1" t="s">
        <v>1130</v>
      </c>
      <c r="C440" s="1" t="s">
        <v>1102</v>
      </c>
      <c r="D440" s="1" t="s">
        <v>12</v>
      </c>
      <c r="E440" s="12">
        <v>3487</v>
      </c>
      <c r="F440" s="12" t="s">
        <v>13</v>
      </c>
      <c r="G440" s="6">
        <v>705.08</v>
      </c>
      <c r="H440" s="1">
        <v>22.48</v>
      </c>
      <c r="J440" t="str">
        <f t="shared" si="72"/>
        <v>OK</v>
      </c>
      <c r="K440" t="str">
        <f t="shared" si="73"/>
        <v>OK</v>
      </c>
      <c r="L440">
        <f t="shared" si="82"/>
        <v>12</v>
      </c>
      <c r="M440">
        <f t="shared" si="74"/>
        <v>10</v>
      </c>
      <c r="N440" s="9" t="str">
        <f t="shared" si="83"/>
        <v>Valid</v>
      </c>
      <c r="O440" t="str">
        <f t="shared" si="75"/>
        <v>Include</v>
      </c>
      <c r="P440" s="9">
        <f t="shared" si="76"/>
        <v>2035068.5799999984</v>
      </c>
      <c r="Q440" s="15">
        <f t="shared" si="77"/>
        <v>7469725</v>
      </c>
      <c r="R440" s="9">
        <f t="shared" si="78"/>
        <v>3487</v>
      </c>
      <c r="S440" s="9">
        <f t="shared" si="79"/>
        <v>7469725</v>
      </c>
      <c r="T440" s="15">
        <f t="shared" si="80"/>
        <v>16.686436250344954</v>
      </c>
      <c r="U440" s="15">
        <f>IF(O440="Exclude",0,G440*Fuel_Price!$B$2)</f>
        <v>1035.903536</v>
      </c>
      <c r="V440" s="15">
        <f t="shared" si="81"/>
        <v>2989922.7577359979</v>
      </c>
    </row>
    <row r="441" spans="1:22">
      <c r="A441" s="1" t="s">
        <v>1131</v>
      </c>
      <c r="B441" s="1" t="s">
        <v>1132</v>
      </c>
      <c r="C441" s="1" t="s">
        <v>1102</v>
      </c>
      <c r="D441" s="1" t="s">
        <v>12</v>
      </c>
      <c r="E441" s="12">
        <v>5355</v>
      </c>
      <c r="F441" s="12" t="s">
        <v>13</v>
      </c>
      <c r="G441" s="6">
        <v>916.14</v>
      </c>
      <c r="H441" s="1">
        <v>26.57</v>
      </c>
      <c r="J441" t="str">
        <f t="shared" si="72"/>
        <v>OK</v>
      </c>
      <c r="K441" t="str">
        <f t="shared" si="73"/>
        <v>OK</v>
      </c>
      <c r="L441">
        <f t="shared" si="82"/>
        <v>12</v>
      </c>
      <c r="M441">
        <f t="shared" si="74"/>
        <v>10</v>
      </c>
      <c r="N441" s="9" t="str">
        <f t="shared" si="83"/>
        <v>Valid</v>
      </c>
      <c r="O441" t="str">
        <f t="shared" si="75"/>
        <v>Include</v>
      </c>
      <c r="P441" s="9">
        <f t="shared" si="76"/>
        <v>2035068.5799999984</v>
      </c>
      <c r="Q441" s="15">
        <f t="shared" si="77"/>
        <v>7469725</v>
      </c>
      <c r="R441" s="9">
        <f t="shared" si="78"/>
        <v>5355</v>
      </c>
      <c r="S441" s="9">
        <f t="shared" si="79"/>
        <v>7469725</v>
      </c>
      <c r="T441" s="15">
        <f t="shared" si="80"/>
        <v>16.686436250344954</v>
      </c>
      <c r="U441" s="15">
        <f>IF(O441="Exclude",0,G441*Fuel_Price!$B$2)</f>
        <v>1345.992888</v>
      </c>
      <c r="V441" s="15">
        <f t="shared" si="81"/>
        <v>2989922.7577359979</v>
      </c>
    </row>
    <row r="442" spans="1:22">
      <c r="A442" s="1" t="s">
        <v>1133</v>
      </c>
      <c r="B442" s="1" t="s">
        <v>1134</v>
      </c>
      <c r="C442" s="1" t="s">
        <v>1102</v>
      </c>
      <c r="D442" s="1" t="s">
        <v>12</v>
      </c>
      <c r="E442" s="12">
        <v>6232</v>
      </c>
      <c r="F442" s="12" t="s">
        <v>13</v>
      </c>
      <c r="G442" s="6">
        <v>1113.74</v>
      </c>
      <c r="H442" s="1">
        <v>25.44</v>
      </c>
      <c r="J442" t="str">
        <f t="shared" si="72"/>
        <v>OK</v>
      </c>
      <c r="K442" t="str">
        <f t="shared" si="73"/>
        <v>OK</v>
      </c>
      <c r="L442">
        <f t="shared" si="82"/>
        <v>12</v>
      </c>
      <c r="M442">
        <f t="shared" si="74"/>
        <v>10</v>
      </c>
      <c r="N442" s="9" t="str">
        <f t="shared" si="83"/>
        <v>Valid</v>
      </c>
      <c r="O442" t="str">
        <f t="shared" si="75"/>
        <v>Include</v>
      </c>
      <c r="P442" s="9">
        <f t="shared" si="76"/>
        <v>2035068.5799999984</v>
      </c>
      <c r="Q442" s="15">
        <f t="shared" si="77"/>
        <v>7469725</v>
      </c>
      <c r="R442" s="9">
        <f t="shared" si="78"/>
        <v>6232</v>
      </c>
      <c r="S442" s="9">
        <f t="shared" si="79"/>
        <v>7469725</v>
      </c>
      <c r="T442" s="15">
        <f t="shared" si="80"/>
        <v>16.686436250344954</v>
      </c>
      <c r="U442" s="15">
        <f>IF(O442="Exclude",0,G442*Fuel_Price!$B$2)</f>
        <v>1636.306808</v>
      </c>
      <c r="V442" s="15">
        <f t="shared" si="81"/>
        <v>2989922.7577359979</v>
      </c>
    </row>
    <row r="443" spans="1:22">
      <c r="A443" s="1" t="s">
        <v>1135</v>
      </c>
      <c r="B443" s="1" t="s">
        <v>1136</v>
      </c>
      <c r="C443" s="1" t="s">
        <v>1102</v>
      </c>
      <c r="D443" s="1" t="s">
        <v>12</v>
      </c>
      <c r="E443" s="12">
        <v>4514</v>
      </c>
      <c r="F443" s="12" t="s">
        <v>13</v>
      </c>
      <c r="G443" s="6">
        <v>868.6</v>
      </c>
      <c r="H443" s="1">
        <v>23.63</v>
      </c>
      <c r="J443" t="str">
        <f t="shared" si="72"/>
        <v>OK</v>
      </c>
      <c r="K443" t="str">
        <f t="shared" si="73"/>
        <v>OK</v>
      </c>
      <c r="L443">
        <f t="shared" si="82"/>
        <v>12</v>
      </c>
      <c r="M443">
        <f t="shared" si="74"/>
        <v>10</v>
      </c>
      <c r="N443" s="9" t="str">
        <f t="shared" si="83"/>
        <v>Valid</v>
      </c>
      <c r="O443" t="str">
        <f t="shared" si="75"/>
        <v>Include</v>
      </c>
      <c r="P443" s="9">
        <f t="shared" si="76"/>
        <v>2035068.5799999984</v>
      </c>
      <c r="Q443" s="15">
        <f t="shared" si="77"/>
        <v>7469725</v>
      </c>
      <c r="R443" s="9">
        <f t="shared" si="78"/>
        <v>4514</v>
      </c>
      <c r="S443" s="9">
        <f t="shared" si="79"/>
        <v>7469725</v>
      </c>
      <c r="T443" s="15">
        <f t="shared" si="80"/>
        <v>16.686436250344954</v>
      </c>
      <c r="U443" s="15">
        <f>IF(O443="Exclude",0,G443*Fuel_Price!$B$2)</f>
        <v>1276.1471200000001</v>
      </c>
      <c r="V443" s="15">
        <f t="shared" si="81"/>
        <v>2989922.7577359979</v>
      </c>
    </row>
    <row r="444" spans="1:22">
      <c r="A444" s="1" t="s">
        <v>1137</v>
      </c>
      <c r="B444" s="1" t="s">
        <v>1138</v>
      </c>
      <c r="C444" s="1" t="s">
        <v>1102</v>
      </c>
      <c r="D444" s="1" t="s">
        <v>12</v>
      </c>
      <c r="E444" s="12">
        <v>8649</v>
      </c>
      <c r="F444" s="12" t="s">
        <v>13</v>
      </c>
      <c r="G444" s="6">
        <v>1858.1</v>
      </c>
      <c r="H444" s="1">
        <v>21.16</v>
      </c>
      <c r="J444" t="str">
        <f t="shared" si="72"/>
        <v>OK</v>
      </c>
      <c r="K444" t="str">
        <f t="shared" si="73"/>
        <v>OK</v>
      </c>
      <c r="L444">
        <f t="shared" si="82"/>
        <v>12</v>
      </c>
      <c r="M444">
        <f t="shared" si="74"/>
        <v>10</v>
      </c>
      <c r="N444" s="9" t="str">
        <f t="shared" si="83"/>
        <v>Valid</v>
      </c>
      <c r="O444" t="str">
        <f t="shared" si="75"/>
        <v>Include</v>
      </c>
      <c r="P444" s="9">
        <f t="shared" si="76"/>
        <v>2035068.5799999984</v>
      </c>
      <c r="Q444" s="15">
        <f t="shared" si="77"/>
        <v>7469725</v>
      </c>
      <c r="R444" s="9">
        <f t="shared" si="78"/>
        <v>8649</v>
      </c>
      <c r="S444" s="9">
        <f t="shared" si="79"/>
        <v>7469725</v>
      </c>
      <c r="T444" s="15">
        <f t="shared" si="80"/>
        <v>16.686436250344954</v>
      </c>
      <c r="U444" s="15">
        <f>IF(O444="Exclude",0,G444*Fuel_Price!$B$2)</f>
        <v>2729.9205200000001</v>
      </c>
      <c r="V444" s="15">
        <f t="shared" si="81"/>
        <v>2989922.7577359979</v>
      </c>
    </row>
    <row r="445" spans="1:22">
      <c r="A445" s="1" t="s">
        <v>1139</v>
      </c>
      <c r="B445" s="1" t="s">
        <v>1140</v>
      </c>
      <c r="C445" s="1" t="s">
        <v>1102</v>
      </c>
      <c r="D445" s="1" t="s">
        <v>12</v>
      </c>
      <c r="E445" s="12">
        <v>11118</v>
      </c>
      <c r="F445" s="12" t="s">
        <v>13</v>
      </c>
      <c r="G445" s="6">
        <v>1581.07</v>
      </c>
      <c r="H445" s="1">
        <v>31.97</v>
      </c>
      <c r="J445" t="str">
        <f t="shared" si="72"/>
        <v>OK</v>
      </c>
      <c r="K445" t="str">
        <f t="shared" si="73"/>
        <v>OK</v>
      </c>
      <c r="L445">
        <f t="shared" si="82"/>
        <v>12</v>
      </c>
      <c r="M445">
        <f t="shared" si="74"/>
        <v>10</v>
      </c>
      <c r="N445" s="9" t="str">
        <f t="shared" si="83"/>
        <v>Valid</v>
      </c>
      <c r="O445" t="str">
        <f t="shared" si="75"/>
        <v>Include</v>
      </c>
      <c r="P445" s="9">
        <f t="shared" si="76"/>
        <v>2035068.5799999984</v>
      </c>
      <c r="Q445" s="15">
        <f t="shared" si="77"/>
        <v>7469725</v>
      </c>
      <c r="R445" s="9">
        <f t="shared" si="78"/>
        <v>11118</v>
      </c>
      <c r="S445" s="9">
        <f t="shared" si="79"/>
        <v>7469725</v>
      </c>
      <c r="T445" s="15">
        <f t="shared" si="80"/>
        <v>16.686436250344954</v>
      </c>
      <c r="U445" s="15">
        <f>IF(O445="Exclude",0,G445*Fuel_Price!$B$2)</f>
        <v>2322.9080439999998</v>
      </c>
      <c r="V445" s="15">
        <f t="shared" si="81"/>
        <v>2989922.7577359979</v>
      </c>
    </row>
    <row r="446" spans="1:22">
      <c r="A446" s="1" t="s">
        <v>1141</v>
      </c>
      <c r="B446" s="1" t="s">
        <v>1142</v>
      </c>
      <c r="C446" s="1" t="s">
        <v>1102</v>
      </c>
      <c r="D446" s="1" t="s">
        <v>12</v>
      </c>
      <c r="E446" s="12">
        <v>5819</v>
      </c>
      <c r="F446" s="12" t="s">
        <v>13</v>
      </c>
      <c r="G446" s="6">
        <v>1119.77</v>
      </c>
      <c r="H446" s="1">
        <v>23.62</v>
      </c>
      <c r="J446" t="str">
        <f t="shared" si="72"/>
        <v>OK</v>
      </c>
      <c r="K446" t="str">
        <f t="shared" si="73"/>
        <v>OK</v>
      </c>
      <c r="L446">
        <f t="shared" si="82"/>
        <v>12</v>
      </c>
      <c r="M446">
        <f t="shared" si="74"/>
        <v>10</v>
      </c>
      <c r="N446" s="9" t="str">
        <f t="shared" si="83"/>
        <v>Valid</v>
      </c>
      <c r="O446" t="str">
        <f t="shared" si="75"/>
        <v>Include</v>
      </c>
      <c r="P446" s="9">
        <f t="shared" si="76"/>
        <v>2035068.5799999984</v>
      </c>
      <c r="Q446" s="15">
        <f t="shared" si="77"/>
        <v>7469725</v>
      </c>
      <c r="R446" s="9">
        <f t="shared" si="78"/>
        <v>5819</v>
      </c>
      <c r="S446" s="9">
        <f t="shared" si="79"/>
        <v>7469725</v>
      </c>
      <c r="T446" s="15">
        <f t="shared" si="80"/>
        <v>16.686436250344954</v>
      </c>
      <c r="U446" s="15">
        <f>IF(O446="Exclude",0,G446*Fuel_Price!$B$2)</f>
        <v>1645.166084</v>
      </c>
      <c r="V446" s="15">
        <f t="shared" si="81"/>
        <v>2989922.7577359979</v>
      </c>
    </row>
    <row r="447" spans="1:22">
      <c r="A447" s="1" t="s">
        <v>1143</v>
      </c>
      <c r="B447" s="1" t="s">
        <v>1144</v>
      </c>
      <c r="C447" s="1" t="s">
        <v>1102</v>
      </c>
      <c r="D447" s="1" t="s">
        <v>12</v>
      </c>
      <c r="E447" s="12">
        <v>2803</v>
      </c>
      <c r="F447" s="12" t="s">
        <v>13</v>
      </c>
      <c r="G447" s="6">
        <v>610.72</v>
      </c>
      <c r="H447" s="1">
        <v>20.87</v>
      </c>
      <c r="J447" t="str">
        <f t="shared" si="72"/>
        <v>OK</v>
      </c>
      <c r="K447" t="str">
        <f t="shared" si="73"/>
        <v>OK</v>
      </c>
      <c r="L447">
        <f t="shared" si="82"/>
        <v>12</v>
      </c>
      <c r="M447">
        <f t="shared" si="74"/>
        <v>10</v>
      </c>
      <c r="N447" s="9" t="str">
        <f t="shared" si="83"/>
        <v>Valid</v>
      </c>
      <c r="O447" t="str">
        <f t="shared" si="75"/>
        <v>Include</v>
      </c>
      <c r="P447" s="9">
        <f t="shared" si="76"/>
        <v>2035068.5799999984</v>
      </c>
      <c r="Q447" s="15">
        <f t="shared" si="77"/>
        <v>7469725</v>
      </c>
      <c r="R447" s="9">
        <f t="shared" si="78"/>
        <v>2803</v>
      </c>
      <c r="S447" s="9">
        <f t="shared" si="79"/>
        <v>7469725</v>
      </c>
      <c r="T447" s="15">
        <f t="shared" si="80"/>
        <v>16.686436250344954</v>
      </c>
      <c r="U447" s="15">
        <f>IF(O447="Exclude",0,G447*Fuel_Price!$B$2)</f>
        <v>897.26982400000009</v>
      </c>
      <c r="V447" s="15">
        <f t="shared" si="81"/>
        <v>2989922.7577359979</v>
      </c>
    </row>
    <row r="448" spans="1:22">
      <c r="A448" s="1" t="s">
        <v>1145</v>
      </c>
      <c r="B448" s="1" t="s">
        <v>1146</v>
      </c>
      <c r="C448" s="1" t="s">
        <v>1102</v>
      </c>
      <c r="D448" s="1" t="s">
        <v>12</v>
      </c>
      <c r="E448" s="12">
        <v>5576</v>
      </c>
      <c r="F448" s="12" t="s">
        <v>13</v>
      </c>
      <c r="G448" s="6">
        <v>1002.16</v>
      </c>
      <c r="H448" s="1">
        <v>25.29</v>
      </c>
      <c r="J448" t="str">
        <f t="shared" si="72"/>
        <v>OK</v>
      </c>
      <c r="K448" t="str">
        <f t="shared" si="73"/>
        <v>OK</v>
      </c>
      <c r="L448">
        <f t="shared" si="82"/>
        <v>12</v>
      </c>
      <c r="M448">
        <f t="shared" si="74"/>
        <v>10</v>
      </c>
      <c r="N448" s="9" t="str">
        <f t="shared" si="83"/>
        <v>Valid</v>
      </c>
      <c r="O448" t="str">
        <f t="shared" si="75"/>
        <v>Include</v>
      </c>
      <c r="P448" s="9">
        <f t="shared" si="76"/>
        <v>2035068.5799999984</v>
      </c>
      <c r="Q448" s="15">
        <f t="shared" si="77"/>
        <v>7469725</v>
      </c>
      <c r="R448" s="9">
        <f t="shared" si="78"/>
        <v>5576</v>
      </c>
      <c r="S448" s="9">
        <f t="shared" si="79"/>
        <v>7469725</v>
      </c>
      <c r="T448" s="15">
        <f t="shared" si="80"/>
        <v>16.686436250344954</v>
      </c>
      <c r="U448" s="15">
        <f>IF(O448="Exclude",0,G448*Fuel_Price!$B$2)</f>
        <v>1472.373472</v>
      </c>
      <c r="V448" s="15">
        <f t="shared" si="81"/>
        <v>2989922.7577359979</v>
      </c>
    </row>
    <row r="449" spans="1:22">
      <c r="A449" s="1" t="s">
        <v>1147</v>
      </c>
      <c r="B449" s="1" t="s">
        <v>1148</v>
      </c>
      <c r="C449" s="1" t="s">
        <v>1102</v>
      </c>
      <c r="D449" s="1" t="s">
        <v>12</v>
      </c>
      <c r="E449" s="12">
        <v>6500</v>
      </c>
      <c r="F449" s="12" t="s">
        <v>13</v>
      </c>
      <c r="G449" s="6">
        <v>1275.1400000000001</v>
      </c>
      <c r="H449" s="1">
        <v>23.17</v>
      </c>
      <c r="J449" t="str">
        <f t="shared" si="72"/>
        <v>OK</v>
      </c>
      <c r="K449" t="str">
        <f t="shared" si="73"/>
        <v>OK</v>
      </c>
      <c r="L449">
        <f t="shared" si="82"/>
        <v>12</v>
      </c>
      <c r="M449">
        <f t="shared" si="74"/>
        <v>10</v>
      </c>
      <c r="N449" s="9" t="str">
        <f t="shared" si="83"/>
        <v>Valid</v>
      </c>
      <c r="O449" t="str">
        <f t="shared" si="75"/>
        <v>Include</v>
      </c>
      <c r="P449" s="9">
        <f t="shared" si="76"/>
        <v>2035068.5799999984</v>
      </c>
      <c r="Q449" s="15">
        <f t="shared" si="77"/>
        <v>7469725</v>
      </c>
      <c r="R449" s="9">
        <f t="shared" si="78"/>
        <v>6500</v>
      </c>
      <c r="S449" s="9">
        <f t="shared" si="79"/>
        <v>7469725</v>
      </c>
      <c r="T449" s="15">
        <f t="shared" si="80"/>
        <v>16.686436250344954</v>
      </c>
      <c r="U449" s="15">
        <f>IF(O449="Exclude",0,G449*Fuel_Price!$B$2)</f>
        <v>1873.4356880000003</v>
      </c>
      <c r="V449" s="15">
        <f t="shared" si="81"/>
        <v>2989922.7577359979</v>
      </c>
    </row>
    <row r="450" spans="1:22">
      <c r="A450" s="1" t="s">
        <v>1149</v>
      </c>
      <c r="B450" s="1" t="s">
        <v>1150</v>
      </c>
      <c r="C450" s="1" t="s">
        <v>1102</v>
      </c>
      <c r="D450" s="1" t="s">
        <v>12</v>
      </c>
      <c r="E450" s="12">
        <v>4954</v>
      </c>
      <c r="F450" s="12" t="s">
        <v>13</v>
      </c>
      <c r="G450" s="6">
        <v>725.43</v>
      </c>
      <c r="H450" s="1">
        <v>31.05</v>
      </c>
      <c r="J450" t="str">
        <f t="shared" ref="J450:J513" si="84">IF(OR(H450&lt;=0,H450&gt;100),"Check","OK")</f>
        <v>OK</v>
      </c>
      <c r="K450" t="str">
        <f t="shared" ref="K450:K513" si="85">IF(E450&lt;0,"Check","OK")</f>
        <v>OK</v>
      </c>
      <c r="L450">
        <f t="shared" si="82"/>
        <v>12</v>
      </c>
      <c r="M450">
        <f t="shared" ref="M450:M513" si="86">COUNTIF(K:K,"Check")</f>
        <v>10</v>
      </c>
      <c r="N450" s="9" t="str">
        <f t="shared" si="83"/>
        <v>Valid</v>
      </c>
      <c r="O450" t="str">
        <f t="shared" ref="O450:O513" si="87">IF(N450="Review","Exclude","Include")</f>
        <v>Include</v>
      </c>
      <c r="P450" s="9">
        <f t="shared" ref="P450:P513" si="88">SUMIF(O:O,"Include",G:G)</f>
        <v>2035068.5799999984</v>
      </c>
      <c r="Q450" s="15">
        <f t="shared" ref="Q450:Q513" si="89">SUMIF(O:O,"Include",E:E)</f>
        <v>7469725</v>
      </c>
      <c r="R450" s="9">
        <f t="shared" ref="R450:R513" si="90">IF(O450="Exclude",0,E450)</f>
        <v>4954</v>
      </c>
      <c r="S450" s="9">
        <f t="shared" ref="S450:S513" si="91">SUM(R:R)</f>
        <v>7469725</v>
      </c>
      <c r="T450" s="15">
        <f t="shared" ref="T450:T513" si="92">S450/(P450/4.54609)</f>
        <v>16.686436250344954</v>
      </c>
      <c r="U450" s="15">
        <f>IF(O450="Exclude",0,G450*Fuel_Price!$B$2)</f>
        <v>1065.8017560000001</v>
      </c>
      <c r="V450" s="15">
        <f t="shared" ref="V450:V513" si="93">SUM(U:U)</f>
        <v>2989922.7577359979</v>
      </c>
    </row>
    <row r="451" spans="1:22">
      <c r="A451" s="1" t="s">
        <v>1151</v>
      </c>
      <c r="B451" s="1" t="s">
        <v>1152</v>
      </c>
      <c r="C451" s="1" t="s">
        <v>1102</v>
      </c>
      <c r="D451" s="1" t="s">
        <v>12</v>
      </c>
      <c r="E451" s="12">
        <v>6539</v>
      </c>
      <c r="F451" s="12" t="s">
        <v>13</v>
      </c>
      <c r="G451" s="6">
        <v>1033.18</v>
      </c>
      <c r="H451" s="1">
        <v>28.77</v>
      </c>
      <c r="J451" t="str">
        <f t="shared" si="84"/>
        <v>OK</v>
      </c>
      <c r="K451" t="str">
        <f t="shared" si="85"/>
        <v>OK</v>
      </c>
      <c r="L451">
        <f t="shared" ref="L451:L514" si="94">COUNTIF(J:J,"Check")</f>
        <v>12</v>
      </c>
      <c r="M451">
        <f t="shared" si="86"/>
        <v>10</v>
      </c>
      <c r="N451" s="9" t="str">
        <f t="shared" si="83"/>
        <v>Valid</v>
      </c>
      <c r="O451" t="str">
        <f t="shared" si="87"/>
        <v>Include</v>
      </c>
      <c r="P451" s="9">
        <f t="shared" si="88"/>
        <v>2035068.5799999984</v>
      </c>
      <c r="Q451" s="15">
        <f t="shared" si="89"/>
        <v>7469725</v>
      </c>
      <c r="R451" s="9">
        <f t="shared" si="90"/>
        <v>6539</v>
      </c>
      <c r="S451" s="9">
        <f t="shared" si="91"/>
        <v>7469725</v>
      </c>
      <c r="T451" s="15">
        <f t="shared" si="92"/>
        <v>16.686436250344954</v>
      </c>
      <c r="U451" s="15">
        <f>IF(O451="Exclude",0,G451*Fuel_Price!$B$2)</f>
        <v>1517.9480560000002</v>
      </c>
      <c r="V451" s="15">
        <f t="shared" si="93"/>
        <v>2989922.7577359979</v>
      </c>
    </row>
    <row r="452" spans="1:22">
      <c r="A452" s="1" t="s">
        <v>1153</v>
      </c>
      <c r="B452" s="1" t="s">
        <v>1154</v>
      </c>
      <c r="C452" s="1" t="s">
        <v>1102</v>
      </c>
      <c r="D452" s="1" t="s">
        <v>12</v>
      </c>
      <c r="E452" s="12">
        <v>7567</v>
      </c>
      <c r="F452" s="12" t="s">
        <v>13</v>
      </c>
      <c r="G452" s="6">
        <v>1353.46</v>
      </c>
      <c r="H452" s="1">
        <v>25.42</v>
      </c>
      <c r="J452" t="str">
        <f t="shared" si="84"/>
        <v>OK</v>
      </c>
      <c r="K452" t="str">
        <f t="shared" si="85"/>
        <v>OK</v>
      </c>
      <c r="L452">
        <f t="shared" si="94"/>
        <v>12</v>
      </c>
      <c r="M452">
        <f t="shared" si="86"/>
        <v>10</v>
      </c>
      <c r="N452" s="9" t="str">
        <f t="shared" si="83"/>
        <v>Valid</v>
      </c>
      <c r="O452" t="str">
        <f t="shared" si="87"/>
        <v>Include</v>
      </c>
      <c r="P452" s="9">
        <f t="shared" si="88"/>
        <v>2035068.5799999984</v>
      </c>
      <c r="Q452" s="15">
        <f t="shared" si="89"/>
        <v>7469725</v>
      </c>
      <c r="R452" s="9">
        <f t="shared" si="90"/>
        <v>7567</v>
      </c>
      <c r="S452" s="9">
        <f t="shared" si="91"/>
        <v>7469725</v>
      </c>
      <c r="T452" s="15">
        <f t="shared" si="92"/>
        <v>16.686436250344954</v>
      </c>
      <c r="U452" s="15">
        <f>IF(O452="Exclude",0,G452*Fuel_Price!$B$2)</f>
        <v>1988.5034320000002</v>
      </c>
      <c r="V452" s="15">
        <f t="shared" si="93"/>
        <v>2989922.7577359979</v>
      </c>
    </row>
    <row r="453" spans="1:22">
      <c r="A453" s="1" t="s">
        <v>1155</v>
      </c>
      <c r="B453" s="1" t="s">
        <v>1156</v>
      </c>
      <c r="C453" s="1" t="s">
        <v>1102</v>
      </c>
      <c r="D453" s="1" t="s">
        <v>12</v>
      </c>
      <c r="E453" s="12">
        <v>4043</v>
      </c>
      <c r="F453" s="12" t="s">
        <v>13</v>
      </c>
      <c r="G453" s="6">
        <v>876.45</v>
      </c>
      <c r="H453" s="1">
        <v>20.97</v>
      </c>
      <c r="J453" t="str">
        <f t="shared" si="84"/>
        <v>OK</v>
      </c>
      <c r="K453" t="str">
        <f t="shared" si="85"/>
        <v>OK</v>
      </c>
      <c r="L453">
        <f t="shared" si="94"/>
        <v>12</v>
      </c>
      <c r="M453">
        <f t="shared" si="86"/>
        <v>10</v>
      </c>
      <c r="N453" s="9" t="str">
        <f t="shared" si="83"/>
        <v>Valid</v>
      </c>
      <c r="O453" t="str">
        <f t="shared" si="87"/>
        <v>Include</v>
      </c>
      <c r="P453" s="9">
        <f t="shared" si="88"/>
        <v>2035068.5799999984</v>
      </c>
      <c r="Q453" s="15">
        <f t="shared" si="89"/>
        <v>7469725</v>
      </c>
      <c r="R453" s="9">
        <f t="shared" si="90"/>
        <v>4043</v>
      </c>
      <c r="S453" s="9">
        <f t="shared" si="91"/>
        <v>7469725</v>
      </c>
      <c r="T453" s="15">
        <f t="shared" si="92"/>
        <v>16.686436250344954</v>
      </c>
      <c r="U453" s="15">
        <f>IF(O453="Exclude",0,G453*Fuel_Price!$B$2)</f>
        <v>1287.6803400000001</v>
      </c>
      <c r="V453" s="15">
        <f t="shared" si="93"/>
        <v>2989922.7577359979</v>
      </c>
    </row>
    <row r="454" spans="1:22">
      <c r="A454" s="1" t="s">
        <v>1157</v>
      </c>
      <c r="B454" s="1" t="s">
        <v>1158</v>
      </c>
      <c r="C454" s="1" t="s">
        <v>1102</v>
      </c>
      <c r="D454" s="1" t="s">
        <v>12</v>
      </c>
      <c r="E454" s="12">
        <v>11818</v>
      </c>
      <c r="F454" s="12" t="s">
        <v>13</v>
      </c>
      <c r="G454" s="6">
        <v>1847.92</v>
      </c>
      <c r="H454" s="1">
        <v>29.07</v>
      </c>
      <c r="J454" t="str">
        <f t="shared" si="84"/>
        <v>OK</v>
      </c>
      <c r="K454" t="str">
        <f t="shared" si="85"/>
        <v>OK</v>
      </c>
      <c r="L454">
        <f t="shared" si="94"/>
        <v>12</v>
      </c>
      <c r="M454">
        <f t="shared" si="86"/>
        <v>10</v>
      </c>
      <c r="N454" s="9" t="str">
        <f t="shared" si="83"/>
        <v>Valid</v>
      </c>
      <c r="O454" t="str">
        <f t="shared" si="87"/>
        <v>Include</v>
      </c>
      <c r="P454" s="9">
        <f t="shared" si="88"/>
        <v>2035068.5799999984</v>
      </c>
      <c r="Q454" s="15">
        <f t="shared" si="89"/>
        <v>7469725</v>
      </c>
      <c r="R454" s="9">
        <f t="shared" si="90"/>
        <v>11818</v>
      </c>
      <c r="S454" s="9">
        <f t="shared" si="91"/>
        <v>7469725</v>
      </c>
      <c r="T454" s="15">
        <f t="shared" si="92"/>
        <v>16.686436250344954</v>
      </c>
      <c r="U454" s="15">
        <f>IF(O454="Exclude",0,G454*Fuel_Price!$B$2)</f>
        <v>2714.9640640000002</v>
      </c>
      <c r="V454" s="15">
        <f t="shared" si="93"/>
        <v>2989922.7577359979</v>
      </c>
    </row>
    <row r="455" spans="1:22">
      <c r="A455" s="1" t="s">
        <v>1159</v>
      </c>
      <c r="B455" s="1" t="s">
        <v>1160</v>
      </c>
      <c r="C455" s="1" t="s">
        <v>1102</v>
      </c>
      <c r="D455" s="1" t="s">
        <v>12</v>
      </c>
      <c r="E455" s="12">
        <v>4223</v>
      </c>
      <c r="F455" s="12" t="s">
        <v>13</v>
      </c>
      <c r="G455" s="6">
        <v>688.41</v>
      </c>
      <c r="H455" s="1">
        <v>27.89</v>
      </c>
      <c r="J455" t="str">
        <f t="shared" si="84"/>
        <v>OK</v>
      </c>
      <c r="K455" t="str">
        <f t="shared" si="85"/>
        <v>OK</v>
      </c>
      <c r="L455">
        <f t="shared" si="94"/>
        <v>12</v>
      </c>
      <c r="M455">
        <f t="shared" si="86"/>
        <v>10</v>
      </c>
      <c r="N455" s="9" t="str">
        <f t="shared" ref="N455:N518" si="95">IF(OR(H455&lt;=0,H455&gt;100,E455&lt;0),"Review","Valid")</f>
        <v>Valid</v>
      </c>
      <c r="O455" t="str">
        <f t="shared" si="87"/>
        <v>Include</v>
      </c>
      <c r="P455" s="9">
        <f t="shared" si="88"/>
        <v>2035068.5799999984</v>
      </c>
      <c r="Q455" s="15">
        <f t="shared" si="89"/>
        <v>7469725</v>
      </c>
      <c r="R455" s="9">
        <f t="shared" si="90"/>
        <v>4223</v>
      </c>
      <c r="S455" s="9">
        <f t="shared" si="91"/>
        <v>7469725</v>
      </c>
      <c r="T455" s="15">
        <f t="shared" si="92"/>
        <v>16.686436250344954</v>
      </c>
      <c r="U455" s="15">
        <f>IF(O455="Exclude",0,G455*Fuel_Price!$B$2)</f>
        <v>1011.411972</v>
      </c>
      <c r="V455" s="15">
        <f t="shared" si="93"/>
        <v>2989922.7577359979</v>
      </c>
    </row>
    <row r="456" spans="1:22">
      <c r="A456" s="1" t="s">
        <v>1161</v>
      </c>
      <c r="B456" s="1" t="s">
        <v>1162</v>
      </c>
      <c r="C456" s="1" t="s">
        <v>1102</v>
      </c>
      <c r="D456" s="1" t="s">
        <v>12</v>
      </c>
      <c r="E456" s="12">
        <v>6290</v>
      </c>
      <c r="F456" s="12" t="s">
        <v>13</v>
      </c>
      <c r="G456" s="6">
        <v>1233.99</v>
      </c>
      <c r="H456" s="1">
        <v>23.17</v>
      </c>
      <c r="J456" t="str">
        <f t="shared" si="84"/>
        <v>OK</v>
      </c>
      <c r="K456" t="str">
        <f t="shared" si="85"/>
        <v>OK</v>
      </c>
      <c r="L456">
        <f t="shared" si="94"/>
        <v>12</v>
      </c>
      <c r="M456">
        <f t="shared" si="86"/>
        <v>10</v>
      </c>
      <c r="N456" s="9" t="str">
        <f t="shared" si="95"/>
        <v>Valid</v>
      </c>
      <c r="O456" t="str">
        <f t="shared" si="87"/>
        <v>Include</v>
      </c>
      <c r="P456" s="9">
        <f t="shared" si="88"/>
        <v>2035068.5799999984</v>
      </c>
      <c r="Q456" s="15">
        <f t="shared" si="89"/>
        <v>7469725</v>
      </c>
      <c r="R456" s="9">
        <f t="shared" si="90"/>
        <v>6290</v>
      </c>
      <c r="S456" s="9">
        <f t="shared" si="91"/>
        <v>7469725</v>
      </c>
      <c r="T456" s="15">
        <f t="shared" si="92"/>
        <v>16.686436250344954</v>
      </c>
      <c r="U456" s="15">
        <f>IF(O456="Exclude",0,G456*Fuel_Price!$B$2)</f>
        <v>1812.978108</v>
      </c>
      <c r="V456" s="15">
        <f t="shared" si="93"/>
        <v>2989922.7577359979</v>
      </c>
    </row>
    <row r="457" spans="1:22">
      <c r="A457" s="1" t="s">
        <v>1163</v>
      </c>
      <c r="B457" s="1" t="s">
        <v>1164</v>
      </c>
      <c r="C457" s="1" t="s">
        <v>1102</v>
      </c>
      <c r="D457" s="1" t="s">
        <v>12</v>
      </c>
      <c r="E457" s="12">
        <v>3383</v>
      </c>
      <c r="F457" s="12" t="s">
        <v>13</v>
      </c>
      <c r="G457" s="6">
        <v>650.59</v>
      </c>
      <c r="H457" s="1">
        <v>23.64</v>
      </c>
      <c r="J457" t="str">
        <f t="shared" si="84"/>
        <v>OK</v>
      </c>
      <c r="K457" t="str">
        <f t="shared" si="85"/>
        <v>OK</v>
      </c>
      <c r="L457">
        <f t="shared" si="94"/>
        <v>12</v>
      </c>
      <c r="M457">
        <f t="shared" si="86"/>
        <v>10</v>
      </c>
      <c r="N457" s="9" t="str">
        <f t="shared" si="95"/>
        <v>Valid</v>
      </c>
      <c r="O457" t="str">
        <f t="shared" si="87"/>
        <v>Include</v>
      </c>
      <c r="P457" s="9">
        <f t="shared" si="88"/>
        <v>2035068.5799999984</v>
      </c>
      <c r="Q457" s="15">
        <f t="shared" si="89"/>
        <v>7469725</v>
      </c>
      <c r="R457" s="9">
        <f t="shared" si="90"/>
        <v>3383</v>
      </c>
      <c r="S457" s="9">
        <f t="shared" si="91"/>
        <v>7469725</v>
      </c>
      <c r="T457" s="15">
        <f t="shared" si="92"/>
        <v>16.686436250344954</v>
      </c>
      <c r="U457" s="15">
        <f>IF(O457="Exclude",0,G457*Fuel_Price!$B$2)</f>
        <v>955.84682800000007</v>
      </c>
      <c r="V457" s="15">
        <f t="shared" si="93"/>
        <v>2989922.7577359979</v>
      </c>
    </row>
    <row r="458" spans="1:22">
      <c r="A458" s="1" t="s">
        <v>1165</v>
      </c>
      <c r="B458" s="1" t="s">
        <v>1166</v>
      </c>
      <c r="C458" s="1" t="s">
        <v>1102</v>
      </c>
      <c r="D458" s="1" t="s">
        <v>12</v>
      </c>
      <c r="E458" s="12">
        <v>3743</v>
      </c>
      <c r="F458" s="12" t="s">
        <v>13</v>
      </c>
      <c r="G458" s="6">
        <v>638.57000000000005</v>
      </c>
      <c r="H458" s="1">
        <v>26.65</v>
      </c>
      <c r="J458" t="str">
        <f t="shared" si="84"/>
        <v>OK</v>
      </c>
      <c r="K458" t="str">
        <f t="shared" si="85"/>
        <v>OK</v>
      </c>
      <c r="L458">
        <f t="shared" si="94"/>
        <v>12</v>
      </c>
      <c r="M458">
        <f t="shared" si="86"/>
        <v>10</v>
      </c>
      <c r="N458" s="9" t="str">
        <f t="shared" si="95"/>
        <v>Valid</v>
      </c>
      <c r="O458" t="str">
        <f t="shared" si="87"/>
        <v>Include</v>
      </c>
      <c r="P458" s="9">
        <f t="shared" si="88"/>
        <v>2035068.5799999984</v>
      </c>
      <c r="Q458" s="15">
        <f t="shared" si="89"/>
        <v>7469725</v>
      </c>
      <c r="R458" s="9">
        <f t="shared" si="90"/>
        <v>3743</v>
      </c>
      <c r="S458" s="9">
        <f t="shared" si="91"/>
        <v>7469725</v>
      </c>
      <c r="T458" s="15">
        <f t="shared" si="92"/>
        <v>16.686436250344954</v>
      </c>
      <c r="U458" s="15">
        <f>IF(O458="Exclude",0,G458*Fuel_Price!$B$2)</f>
        <v>938.18704400000013</v>
      </c>
      <c r="V458" s="15">
        <f t="shared" si="93"/>
        <v>2989922.7577359979</v>
      </c>
    </row>
    <row r="459" spans="1:22">
      <c r="A459" s="1" t="s">
        <v>1167</v>
      </c>
      <c r="B459" s="1" t="s">
        <v>1168</v>
      </c>
      <c r="C459" s="1" t="s">
        <v>1102</v>
      </c>
      <c r="D459" s="1" t="s">
        <v>12</v>
      </c>
      <c r="E459" s="12">
        <v>11954</v>
      </c>
      <c r="F459" s="12" t="s">
        <v>13</v>
      </c>
      <c r="G459" s="6">
        <v>1795.28</v>
      </c>
      <c r="H459" s="1">
        <v>30.27</v>
      </c>
      <c r="J459" t="str">
        <f t="shared" si="84"/>
        <v>OK</v>
      </c>
      <c r="K459" t="str">
        <f t="shared" si="85"/>
        <v>OK</v>
      </c>
      <c r="L459">
        <f t="shared" si="94"/>
        <v>12</v>
      </c>
      <c r="M459">
        <f t="shared" si="86"/>
        <v>10</v>
      </c>
      <c r="N459" s="9" t="str">
        <f t="shared" si="95"/>
        <v>Valid</v>
      </c>
      <c r="O459" t="str">
        <f t="shared" si="87"/>
        <v>Include</v>
      </c>
      <c r="P459" s="9">
        <f t="shared" si="88"/>
        <v>2035068.5799999984</v>
      </c>
      <c r="Q459" s="15">
        <f t="shared" si="89"/>
        <v>7469725</v>
      </c>
      <c r="R459" s="9">
        <f t="shared" si="90"/>
        <v>11954</v>
      </c>
      <c r="S459" s="9">
        <f t="shared" si="91"/>
        <v>7469725</v>
      </c>
      <c r="T459" s="15">
        <f t="shared" si="92"/>
        <v>16.686436250344954</v>
      </c>
      <c r="U459" s="15">
        <f>IF(O459="Exclude",0,G459*Fuel_Price!$B$2)</f>
        <v>2637.625376</v>
      </c>
      <c r="V459" s="15">
        <f t="shared" si="93"/>
        <v>2989922.7577359979</v>
      </c>
    </row>
    <row r="460" spans="1:22">
      <c r="A460" s="1" t="s">
        <v>1169</v>
      </c>
      <c r="B460" s="1" t="s">
        <v>1170</v>
      </c>
      <c r="C460" s="1" t="s">
        <v>1102</v>
      </c>
      <c r="D460" s="1" t="s">
        <v>12</v>
      </c>
      <c r="E460" s="12">
        <v>7948</v>
      </c>
      <c r="F460" s="12" t="s">
        <v>13</v>
      </c>
      <c r="G460" s="6">
        <v>1252.46</v>
      </c>
      <c r="H460" s="1">
        <v>28.85</v>
      </c>
      <c r="J460" t="str">
        <f t="shared" si="84"/>
        <v>OK</v>
      </c>
      <c r="K460" t="str">
        <f t="shared" si="85"/>
        <v>OK</v>
      </c>
      <c r="L460">
        <f t="shared" si="94"/>
        <v>12</v>
      </c>
      <c r="M460">
        <f t="shared" si="86"/>
        <v>10</v>
      </c>
      <c r="N460" s="9" t="str">
        <f t="shared" si="95"/>
        <v>Valid</v>
      </c>
      <c r="O460" t="str">
        <f t="shared" si="87"/>
        <v>Include</v>
      </c>
      <c r="P460" s="9">
        <f t="shared" si="88"/>
        <v>2035068.5799999984</v>
      </c>
      <c r="Q460" s="15">
        <f t="shared" si="89"/>
        <v>7469725</v>
      </c>
      <c r="R460" s="9">
        <f t="shared" si="90"/>
        <v>7948</v>
      </c>
      <c r="S460" s="9">
        <f t="shared" si="91"/>
        <v>7469725</v>
      </c>
      <c r="T460" s="15">
        <f t="shared" si="92"/>
        <v>16.686436250344954</v>
      </c>
      <c r="U460" s="15">
        <f>IF(O460="Exclude",0,G460*Fuel_Price!$B$2)</f>
        <v>1840.1142320000001</v>
      </c>
      <c r="V460" s="15">
        <f t="shared" si="93"/>
        <v>2989922.7577359979</v>
      </c>
    </row>
    <row r="461" spans="1:22">
      <c r="A461" s="1" t="s">
        <v>1171</v>
      </c>
      <c r="B461" s="1" t="s">
        <v>1172</v>
      </c>
      <c r="C461" s="1" t="s">
        <v>1102</v>
      </c>
      <c r="D461" s="1" t="s">
        <v>12</v>
      </c>
      <c r="E461" s="12">
        <v>4052</v>
      </c>
      <c r="F461" s="12" t="s">
        <v>13</v>
      </c>
      <c r="G461" s="6">
        <v>782.07</v>
      </c>
      <c r="H461" s="1">
        <v>23.55</v>
      </c>
      <c r="J461" t="str">
        <f t="shared" si="84"/>
        <v>OK</v>
      </c>
      <c r="K461" t="str">
        <f t="shared" si="85"/>
        <v>OK</v>
      </c>
      <c r="L461">
        <f t="shared" si="94"/>
        <v>12</v>
      </c>
      <c r="M461">
        <f t="shared" si="86"/>
        <v>10</v>
      </c>
      <c r="N461" s="9" t="str">
        <f t="shared" si="95"/>
        <v>Valid</v>
      </c>
      <c r="O461" t="str">
        <f t="shared" si="87"/>
        <v>Include</v>
      </c>
      <c r="P461" s="9">
        <f t="shared" si="88"/>
        <v>2035068.5799999984</v>
      </c>
      <c r="Q461" s="15">
        <f t="shared" si="89"/>
        <v>7469725</v>
      </c>
      <c r="R461" s="9">
        <f t="shared" si="90"/>
        <v>4052</v>
      </c>
      <c r="S461" s="9">
        <f t="shared" si="91"/>
        <v>7469725</v>
      </c>
      <c r="T461" s="15">
        <f t="shared" si="92"/>
        <v>16.686436250344954</v>
      </c>
      <c r="U461" s="15">
        <f>IF(O461="Exclude",0,G461*Fuel_Price!$B$2)</f>
        <v>1149.0172440000001</v>
      </c>
      <c r="V461" s="15">
        <f t="shared" si="93"/>
        <v>2989922.7577359979</v>
      </c>
    </row>
    <row r="462" spans="1:22">
      <c r="A462" s="1" t="s">
        <v>1173</v>
      </c>
      <c r="B462" s="1" t="s">
        <v>1174</v>
      </c>
      <c r="C462" s="1" t="s">
        <v>1102</v>
      </c>
      <c r="D462" s="1" t="s">
        <v>12</v>
      </c>
      <c r="E462" s="12">
        <v>2209</v>
      </c>
      <c r="F462" s="12" t="s">
        <v>13</v>
      </c>
      <c r="G462" s="6">
        <v>499.19</v>
      </c>
      <c r="H462" s="1">
        <v>20.12</v>
      </c>
      <c r="J462" t="str">
        <f t="shared" si="84"/>
        <v>OK</v>
      </c>
      <c r="K462" t="str">
        <f t="shared" si="85"/>
        <v>OK</v>
      </c>
      <c r="L462">
        <f t="shared" si="94"/>
        <v>12</v>
      </c>
      <c r="M462">
        <f t="shared" si="86"/>
        <v>10</v>
      </c>
      <c r="N462" s="9" t="str">
        <f t="shared" si="95"/>
        <v>Valid</v>
      </c>
      <c r="O462" t="str">
        <f t="shared" si="87"/>
        <v>Include</v>
      </c>
      <c r="P462" s="9">
        <f t="shared" si="88"/>
        <v>2035068.5799999984</v>
      </c>
      <c r="Q462" s="15">
        <f t="shared" si="89"/>
        <v>7469725</v>
      </c>
      <c r="R462" s="9">
        <f t="shared" si="90"/>
        <v>2209</v>
      </c>
      <c r="S462" s="9">
        <f t="shared" si="91"/>
        <v>7469725</v>
      </c>
      <c r="T462" s="15">
        <f t="shared" si="92"/>
        <v>16.686436250344954</v>
      </c>
      <c r="U462" s="15">
        <f>IF(O462="Exclude",0,G462*Fuel_Price!$B$2)</f>
        <v>733.40994799999999</v>
      </c>
      <c r="V462" s="15">
        <f t="shared" si="93"/>
        <v>2989922.7577359979</v>
      </c>
    </row>
    <row r="463" spans="1:22">
      <c r="A463" s="1" t="s">
        <v>1175</v>
      </c>
      <c r="B463" s="1" t="s">
        <v>1176</v>
      </c>
      <c r="C463" s="1" t="s">
        <v>1102</v>
      </c>
      <c r="D463" s="1" t="s">
        <v>12</v>
      </c>
      <c r="E463" s="12">
        <v>4189</v>
      </c>
      <c r="F463" s="12" t="s">
        <v>13</v>
      </c>
      <c r="G463" s="6">
        <v>823.76</v>
      </c>
      <c r="H463" s="1">
        <v>23.12</v>
      </c>
      <c r="J463" t="str">
        <f t="shared" si="84"/>
        <v>OK</v>
      </c>
      <c r="K463" t="str">
        <f t="shared" si="85"/>
        <v>OK</v>
      </c>
      <c r="L463">
        <f t="shared" si="94"/>
        <v>12</v>
      </c>
      <c r="M463">
        <f t="shared" si="86"/>
        <v>10</v>
      </c>
      <c r="N463" s="9" t="str">
        <f t="shared" si="95"/>
        <v>Valid</v>
      </c>
      <c r="O463" t="str">
        <f t="shared" si="87"/>
        <v>Include</v>
      </c>
      <c r="P463" s="9">
        <f t="shared" si="88"/>
        <v>2035068.5799999984</v>
      </c>
      <c r="Q463" s="15">
        <f t="shared" si="89"/>
        <v>7469725</v>
      </c>
      <c r="R463" s="9">
        <f t="shared" si="90"/>
        <v>4189</v>
      </c>
      <c r="S463" s="9">
        <f t="shared" si="91"/>
        <v>7469725</v>
      </c>
      <c r="T463" s="15">
        <f t="shared" si="92"/>
        <v>16.686436250344954</v>
      </c>
      <c r="U463" s="15">
        <f>IF(O463="Exclude",0,G463*Fuel_Price!$B$2)</f>
        <v>1210.268192</v>
      </c>
      <c r="V463" s="15">
        <f t="shared" si="93"/>
        <v>2989922.7577359979</v>
      </c>
    </row>
    <row r="464" spans="1:22">
      <c r="A464" s="1" t="s">
        <v>1177</v>
      </c>
      <c r="B464" s="1" t="s">
        <v>1178</v>
      </c>
      <c r="C464" s="1" t="s">
        <v>1102</v>
      </c>
      <c r="D464" s="1" t="s">
        <v>12</v>
      </c>
      <c r="E464" s="12">
        <v>13220</v>
      </c>
      <c r="F464" s="12" t="s">
        <v>13</v>
      </c>
      <c r="G464" s="6">
        <v>2030.11</v>
      </c>
      <c r="H464" s="1">
        <v>29.6</v>
      </c>
      <c r="J464" t="str">
        <f t="shared" si="84"/>
        <v>OK</v>
      </c>
      <c r="K464" t="str">
        <f t="shared" si="85"/>
        <v>OK</v>
      </c>
      <c r="L464">
        <f t="shared" si="94"/>
        <v>12</v>
      </c>
      <c r="M464">
        <f t="shared" si="86"/>
        <v>10</v>
      </c>
      <c r="N464" s="9" t="str">
        <f t="shared" si="95"/>
        <v>Valid</v>
      </c>
      <c r="O464" t="str">
        <f t="shared" si="87"/>
        <v>Include</v>
      </c>
      <c r="P464" s="9">
        <f t="shared" si="88"/>
        <v>2035068.5799999984</v>
      </c>
      <c r="Q464" s="15">
        <f t="shared" si="89"/>
        <v>7469725</v>
      </c>
      <c r="R464" s="9">
        <f t="shared" si="90"/>
        <v>13220</v>
      </c>
      <c r="S464" s="9">
        <f t="shared" si="91"/>
        <v>7469725</v>
      </c>
      <c r="T464" s="15">
        <f t="shared" si="92"/>
        <v>16.686436250344954</v>
      </c>
      <c r="U464" s="15">
        <f>IF(O464="Exclude",0,G464*Fuel_Price!$B$2)</f>
        <v>2982.637612</v>
      </c>
      <c r="V464" s="15">
        <f t="shared" si="93"/>
        <v>2989922.7577359979</v>
      </c>
    </row>
    <row r="465" spans="1:22">
      <c r="A465" s="1" t="s">
        <v>1179</v>
      </c>
      <c r="B465" s="1" t="s">
        <v>1180</v>
      </c>
      <c r="C465" s="1" t="s">
        <v>1102</v>
      </c>
      <c r="D465" s="1" t="s">
        <v>12</v>
      </c>
      <c r="E465" s="12">
        <v>3254</v>
      </c>
      <c r="F465" s="12" t="s">
        <v>13</v>
      </c>
      <c r="G465" s="6">
        <v>647.07000000000005</v>
      </c>
      <c r="H465" s="1">
        <v>22.86</v>
      </c>
      <c r="J465" t="str">
        <f t="shared" si="84"/>
        <v>OK</v>
      </c>
      <c r="K465" t="str">
        <f t="shared" si="85"/>
        <v>OK</v>
      </c>
      <c r="L465">
        <f t="shared" si="94"/>
        <v>12</v>
      </c>
      <c r="M465">
        <f t="shared" si="86"/>
        <v>10</v>
      </c>
      <c r="N465" s="9" t="str">
        <f t="shared" si="95"/>
        <v>Valid</v>
      </c>
      <c r="O465" t="str">
        <f t="shared" si="87"/>
        <v>Include</v>
      </c>
      <c r="P465" s="9">
        <f t="shared" si="88"/>
        <v>2035068.5799999984</v>
      </c>
      <c r="Q465" s="15">
        <f t="shared" si="89"/>
        <v>7469725</v>
      </c>
      <c r="R465" s="9">
        <f t="shared" si="90"/>
        <v>3254</v>
      </c>
      <c r="S465" s="9">
        <f t="shared" si="91"/>
        <v>7469725</v>
      </c>
      <c r="T465" s="15">
        <f t="shared" si="92"/>
        <v>16.686436250344954</v>
      </c>
      <c r="U465" s="15">
        <f>IF(O465="Exclude",0,G465*Fuel_Price!$B$2)</f>
        <v>950.67524400000013</v>
      </c>
      <c r="V465" s="15">
        <f t="shared" si="93"/>
        <v>2989922.7577359979</v>
      </c>
    </row>
    <row r="466" spans="1:22">
      <c r="A466" s="1" t="s">
        <v>1181</v>
      </c>
      <c r="B466" s="1" t="s">
        <v>1182</v>
      </c>
      <c r="C466" s="1" t="s">
        <v>1102</v>
      </c>
      <c r="D466" s="1" t="s">
        <v>12</v>
      </c>
      <c r="E466" s="12">
        <v>5684</v>
      </c>
      <c r="F466" s="12" t="s">
        <v>13</v>
      </c>
      <c r="G466" s="6">
        <v>833.17</v>
      </c>
      <c r="H466" s="1">
        <v>31.01</v>
      </c>
      <c r="J466" t="str">
        <f t="shared" si="84"/>
        <v>OK</v>
      </c>
      <c r="K466" t="str">
        <f t="shared" si="85"/>
        <v>OK</v>
      </c>
      <c r="L466">
        <f t="shared" si="94"/>
        <v>12</v>
      </c>
      <c r="M466">
        <f t="shared" si="86"/>
        <v>10</v>
      </c>
      <c r="N466" s="9" t="str">
        <f t="shared" si="95"/>
        <v>Valid</v>
      </c>
      <c r="O466" t="str">
        <f t="shared" si="87"/>
        <v>Include</v>
      </c>
      <c r="P466" s="9">
        <f t="shared" si="88"/>
        <v>2035068.5799999984</v>
      </c>
      <c r="Q466" s="15">
        <f t="shared" si="89"/>
        <v>7469725</v>
      </c>
      <c r="R466" s="9">
        <f t="shared" si="90"/>
        <v>5684</v>
      </c>
      <c r="S466" s="9">
        <f t="shared" si="91"/>
        <v>7469725</v>
      </c>
      <c r="T466" s="15">
        <f t="shared" si="92"/>
        <v>16.686436250344954</v>
      </c>
      <c r="U466" s="15">
        <f>IF(O466="Exclude",0,G466*Fuel_Price!$B$2)</f>
        <v>1224.0933640000001</v>
      </c>
      <c r="V466" s="15">
        <f t="shared" si="93"/>
        <v>2989922.7577359979</v>
      </c>
    </row>
    <row r="467" spans="1:22">
      <c r="A467" s="1" t="s">
        <v>1183</v>
      </c>
      <c r="B467" s="1" t="s">
        <v>1184</v>
      </c>
      <c r="C467" s="1" t="s">
        <v>1102</v>
      </c>
      <c r="D467" s="1" t="s">
        <v>12</v>
      </c>
      <c r="E467" s="12">
        <v>3856</v>
      </c>
      <c r="F467" s="12" t="s">
        <v>13</v>
      </c>
      <c r="G467" s="6">
        <v>638.80999999999995</v>
      </c>
      <c r="H467" s="1">
        <v>27.44</v>
      </c>
      <c r="J467" t="str">
        <f t="shared" si="84"/>
        <v>OK</v>
      </c>
      <c r="K467" t="str">
        <f t="shared" si="85"/>
        <v>OK</v>
      </c>
      <c r="L467">
        <f t="shared" si="94"/>
        <v>12</v>
      </c>
      <c r="M467">
        <f t="shared" si="86"/>
        <v>10</v>
      </c>
      <c r="N467" s="9" t="str">
        <f t="shared" si="95"/>
        <v>Valid</v>
      </c>
      <c r="O467" t="str">
        <f t="shared" si="87"/>
        <v>Include</v>
      </c>
      <c r="P467" s="9">
        <f t="shared" si="88"/>
        <v>2035068.5799999984</v>
      </c>
      <c r="Q467" s="15">
        <f t="shared" si="89"/>
        <v>7469725</v>
      </c>
      <c r="R467" s="9">
        <f t="shared" si="90"/>
        <v>3856</v>
      </c>
      <c r="S467" s="9">
        <f t="shared" si="91"/>
        <v>7469725</v>
      </c>
      <c r="T467" s="15">
        <f t="shared" si="92"/>
        <v>16.686436250344954</v>
      </c>
      <c r="U467" s="15">
        <f>IF(O467="Exclude",0,G467*Fuel_Price!$B$2)</f>
        <v>938.53965199999993</v>
      </c>
      <c r="V467" s="15">
        <f t="shared" si="93"/>
        <v>2989922.7577359979</v>
      </c>
    </row>
    <row r="468" spans="1:22">
      <c r="A468" s="1" t="s">
        <v>1185</v>
      </c>
      <c r="B468" s="1" t="s">
        <v>1186</v>
      </c>
      <c r="C468" s="1" t="s">
        <v>1102</v>
      </c>
      <c r="D468" s="1" t="s">
        <v>12</v>
      </c>
      <c r="E468" s="12">
        <v>8322</v>
      </c>
      <c r="F468" s="12" t="s">
        <v>13</v>
      </c>
      <c r="G468" s="6">
        <v>1239.3800000000001</v>
      </c>
      <c r="H468" s="1">
        <v>30.53</v>
      </c>
      <c r="J468" t="str">
        <f t="shared" si="84"/>
        <v>OK</v>
      </c>
      <c r="K468" t="str">
        <f t="shared" si="85"/>
        <v>OK</v>
      </c>
      <c r="L468">
        <f t="shared" si="94"/>
        <v>12</v>
      </c>
      <c r="M468">
        <f t="shared" si="86"/>
        <v>10</v>
      </c>
      <c r="N468" s="9" t="str">
        <f t="shared" si="95"/>
        <v>Valid</v>
      </c>
      <c r="O468" t="str">
        <f t="shared" si="87"/>
        <v>Include</v>
      </c>
      <c r="P468" s="9">
        <f t="shared" si="88"/>
        <v>2035068.5799999984</v>
      </c>
      <c r="Q468" s="15">
        <f t="shared" si="89"/>
        <v>7469725</v>
      </c>
      <c r="R468" s="9">
        <f t="shared" si="90"/>
        <v>8322</v>
      </c>
      <c r="S468" s="9">
        <f t="shared" si="91"/>
        <v>7469725</v>
      </c>
      <c r="T468" s="15">
        <f t="shared" si="92"/>
        <v>16.686436250344954</v>
      </c>
      <c r="U468" s="15">
        <f>IF(O468="Exclude",0,G468*Fuel_Price!$B$2)</f>
        <v>1820.8970960000001</v>
      </c>
      <c r="V468" s="15">
        <f t="shared" si="93"/>
        <v>2989922.7577359979</v>
      </c>
    </row>
    <row r="469" spans="1:22">
      <c r="A469" s="1" t="s">
        <v>1187</v>
      </c>
      <c r="B469" s="1" t="s">
        <v>1188</v>
      </c>
      <c r="C469" s="1" t="s">
        <v>1102</v>
      </c>
      <c r="D469" s="1" t="s">
        <v>12</v>
      </c>
      <c r="E469" s="12">
        <v>3756</v>
      </c>
      <c r="F469" s="12" t="s">
        <v>13</v>
      </c>
      <c r="G469" s="6">
        <v>646.16999999999996</v>
      </c>
      <c r="H469" s="1">
        <v>26.43</v>
      </c>
      <c r="J469" t="str">
        <f t="shared" si="84"/>
        <v>OK</v>
      </c>
      <c r="K469" t="str">
        <f t="shared" si="85"/>
        <v>OK</v>
      </c>
      <c r="L469">
        <f t="shared" si="94"/>
        <v>12</v>
      </c>
      <c r="M469">
        <f t="shared" si="86"/>
        <v>10</v>
      </c>
      <c r="N469" s="9" t="str">
        <f t="shared" si="95"/>
        <v>Valid</v>
      </c>
      <c r="O469" t="str">
        <f t="shared" si="87"/>
        <v>Include</v>
      </c>
      <c r="P469" s="9">
        <f t="shared" si="88"/>
        <v>2035068.5799999984</v>
      </c>
      <c r="Q469" s="15">
        <f t="shared" si="89"/>
        <v>7469725</v>
      </c>
      <c r="R469" s="9">
        <f t="shared" si="90"/>
        <v>3756</v>
      </c>
      <c r="S469" s="9">
        <f t="shared" si="91"/>
        <v>7469725</v>
      </c>
      <c r="T469" s="15">
        <f t="shared" si="92"/>
        <v>16.686436250344954</v>
      </c>
      <c r="U469" s="15">
        <f>IF(O469="Exclude",0,G469*Fuel_Price!$B$2)</f>
        <v>949.35296399999993</v>
      </c>
      <c r="V469" s="15">
        <f t="shared" si="93"/>
        <v>2989922.7577359979</v>
      </c>
    </row>
    <row r="470" spans="1:22">
      <c r="A470" s="1" t="s">
        <v>1189</v>
      </c>
      <c r="B470" s="1" t="s">
        <v>1190</v>
      </c>
      <c r="C470" s="1" t="s">
        <v>1102</v>
      </c>
      <c r="D470" s="1" t="s">
        <v>12</v>
      </c>
      <c r="E470" s="12">
        <v>3066</v>
      </c>
      <c r="F470" s="12" t="s">
        <v>13</v>
      </c>
      <c r="G470" s="6">
        <v>682.1</v>
      </c>
      <c r="H470" s="1">
        <v>20.43</v>
      </c>
      <c r="J470" t="str">
        <f t="shared" si="84"/>
        <v>OK</v>
      </c>
      <c r="K470" t="str">
        <f t="shared" si="85"/>
        <v>OK</v>
      </c>
      <c r="L470">
        <f t="shared" si="94"/>
        <v>12</v>
      </c>
      <c r="M470">
        <f t="shared" si="86"/>
        <v>10</v>
      </c>
      <c r="N470" s="9" t="str">
        <f t="shared" si="95"/>
        <v>Valid</v>
      </c>
      <c r="O470" t="str">
        <f t="shared" si="87"/>
        <v>Include</v>
      </c>
      <c r="P470" s="9">
        <f t="shared" si="88"/>
        <v>2035068.5799999984</v>
      </c>
      <c r="Q470" s="15">
        <f t="shared" si="89"/>
        <v>7469725</v>
      </c>
      <c r="R470" s="9">
        <f t="shared" si="90"/>
        <v>3066</v>
      </c>
      <c r="S470" s="9">
        <f t="shared" si="91"/>
        <v>7469725</v>
      </c>
      <c r="T470" s="15">
        <f t="shared" si="92"/>
        <v>16.686436250344954</v>
      </c>
      <c r="U470" s="15">
        <f>IF(O470="Exclude",0,G470*Fuel_Price!$B$2)</f>
        <v>1002.1413200000001</v>
      </c>
      <c r="V470" s="15">
        <f t="shared" si="93"/>
        <v>2989922.7577359979</v>
      </c>
    </row>
    <row r="471" spans="1:22">
      <c r="A471" s="1" t="s">
        <v>1191</v>
      </c>
      <c r="B471" s="1" t="s">
        <v>1192</v>
      </c>
      <c r="C471" s="1" t="s">
        <v>1102</v>
      </c>
      <c r="D471" s="1" t="s">
        <v>12</v>
      </c>
      <c r="E471" s="12">
        <v>2252</v>
      </c>
      <c r="F471" s="12" t="s">
        <v>13</v>
      </c>
      <c r="G471" s="6">
        <v>467.45</v>
      </c>
      <c r="H471" s="1">
        <v>21.9</v>
      </c>
      <c r="J471" t="str">
        <f t="shared" si="84"/>
        <v>OK</v>
      </c>
      <c r="K471" t="str">
        <f t="shared" si="85"/>
        <v>OK</v>
      </c>
      <c r="L471">
        <f t="shared" si="94"/>
        <v>12</v>
      </c>
      <c r="M471">
        <f t="shared" si="86"/>
        <v>10</v>
      </c>
      <c r="N471" s="9" t="str">
        <f t="shared" si="95"/>
        <v>Valid</v>
      </c>
      <c r="O471" t="str">
        <f t="shared" si="87"/>
        <v>Include</v>
      </c>
      <c r="P471" s="9">
        <f t="shared" si="88"/>
        <v>2035068.5799999984</v>
      </c>
      <c r="Q471" s="15">
        <f t="shared" si="89"/>
        <v>7469725</v>
      </c>
      <c r="R471" s="9">
        <f t="shared" si="90"/>
        <v>2252</v>
      </c>
      <c r="S471" s="9">
        <f t="shared" si="91"/>
        <v>7469725</v>
      </c>
      <c r="T471" s="15">
        <f t="shared" si="92"/>
        <v>16.686436250344954</v>
      </c>
      <c r="U471" s="15">
        <f>IF(O471="Exclude",0,G471*Fuel_Price!$B$2)</f>
        <v>686.77754000000004</v>
      </c>
      <c r="V471" s="15">
        <f t="shared" si="93"/>
        <v>2989922.7577359979</v>
      </c>
    </row>
    <row r="472" spans="1:22">
      <c r="A472" s="1" t="s">
        <v>1193</v>
      </c>
      <c r="B472" s="1" t="s">
        <v>1194</v>
      </c>
      <c r="C472" s="1" t="s">
        <v>1102</v>
      </c>
      <c r="D472" s="1" t="s">
        <v>12</v>
      </c>
      <c r="E472" s="12">
        <v>5927</v>
      </c>
      <c r="F472" s="12" t="s">
        <v>13</v>
      </c>
      <c r="G472" s="6">
        <v>933.01</v>
      </c>
      <c r="H472" s="1">
        <v>28.88</v>
      </c>
      <c r="J472" t="str">
        <f t="shared" si="84"/>
        <v>OK</v>
      </c>
      <c r="K472" t="str">
        <f t="shared" si="85"/>
        <v>OK</v>
      </c>
      <c r="L472">
        <f t="shared" si="94"/>
        <v>12</v>
      </c>
      <c r="M472">
        <f t="shared" si="86"/>
        <v>10</v>
      </c>
      <c r="N472" s="9" t="str">
        <f t="shared" si="95"/>
        <v>Valid</v>
      </c>
      <c r="O472" t="str">
        <f t="shared" si="87"/>
        <v>Include</v>
      </c>
      <c r="P472" s="9">
        <f t="shared" si="88"/>
        <v>2035068.5799999984</v>
      </c>
      <c r="Q472" s="15">
        <f t="shared" si="89"/>
        <v>7469725</v>
      </c>
      <c r="R472" s="9">
        <f t="shared" si="90"/>
        <v>5927</v>
      </c>
      <c r="S472" s="9">
        <f t="shared" si="91"/>
        <v>7469725</v>
      </c>
      <c r="T472" s="15">
        <f t="shared" si="92"/>
        <v>16.686436250344954</v>
      </c>
      <c r="U472" s="15">
        <f>IF(O472="Exclude",0,G472*Fuel_Price!$B$2)</f>
        <v>1370.778292</v>
      </c>
      <c r="V472" s="15">
        <f t="shared" si="93"/>
        <v>2989922.7577359979</v>
      </c>
    </row>
    <row r="473" spans="1:22">
      <c r="A473" s="1" t="s">
        <v>1195</v>
      </c>
      <c r="B473" s="1" t="s">
        <v>1196</v>
      </c>
      <c r="C473" s="1" t="s">
        <v>1102</v>
      </c>
      <c r="D473" s="1" t="s">
        <v>12</v>
      </c>
      <c r="E473" s="12">
        <v>11338</v>
      </c>
      <c r="F473" s="12" t="s">
        <v>13</v>
      </c>
      <c r="G473" s="6">
        <v>1594.03</v>
      </c>
      <c r="H473" s="1">
        <v>32.340000000000003</v>
      </c>
      <c r="J473" t="str">
        <f t="shared" si="84"/>
        <v>OK</v>
      </c>
      <c r="K473" t="str">
        <f t="shared" si="85"/>
        <v>OK</v>
      </c>
      <c r="L473">
        <f t="shared" si="94"/>
        <v>12</v>
      </c>
      <c r="M473">
        <f t="shared" si="86"/>
        <v>10</v>
      </c>
      <c r="N473" s="9" t="str">
        <f t="shared" si="95"/>
        <v>Valid</v>
      </c>
      <c r="O473" t="str">
        <f t="shared" si="87"/>
        <v>Include</v>
      </c>
      <c r="P473" s="9">
        <f t="shared" si="88"/>
        <v>2035068.5799999984</v>
      </c>
      <c r="Q473" s="15">
        <f t="shared" si="89"/>
        <v>7469725</v>
      </c>
      <c r="R473" s="9">
        <f t="shared" si="90"/>
        <v>11338</v>
      </c>
      <c r="S473" s="9">
        <f t="shared" si="91"/>
        <v>7469725</v>
      </c>
      <c r="T473" s="15">
        <f t="shared" si="92"/>
        <v>16.686436250344954</v>
      </c>
      <c r="U473" s="15">
        <f>IF(O473="Exclude",0,G473*Fuel_Price!$B$2)</f>
        <v>2341.9488759999999</v>
      </c>
      <c r="V473" s="15">
        <f t="shared" si="93"/>
        <v>2989922.7577359979</v>
      </c>
    </row>
    <row r="474" spans="1:22">
      <c r="A474" s="1" t="s">
        <v>1197</v>
      </c>
      <c r="B474" s="1" t="s">
        <v>1198</v>
      </c>
      <c r="C474" s="1" t="s">
        <v>1102</v>
      </c>
      <c r="D474" s="1" t="s">
        <v>12</v>
      </c>
      <c r="E474" s="12">
        <v>9832</v>
      </c>
      <c r="F474" s="12" t="s">
        <v>13</v>
      </c>
      <c r="G474" s="6">
        <v>1571.5</v>
      </c>
      <c r="H474" s="1">
        <v>28.44</v>
      </c>
      <c r="J474" t="str">
        <f t="shared" si="84"/>
        <v>OK</v>
      </c>
      <c r="K474" t="str">
        <f t="shared" si="85"/>
        <v>OK</v>
      </c>
      <c r="L474">
        <f t="shared" si="94"/>
        <v>12</v>
      </c>
      <c r="M474">
        <f t="shared" si="86"/>
        <v>10</v>
      </c>
      <c r="N474" s="9" t="str">
        <f t="shared" si="95"/>
        <v>Valid</v>
      </c>
      <c r="O474" t="str">
        <f t="shared" si="87"/>
        <v>Include</v>
      </c>
      <c r="P474" s="9">
        <f t="shared" si="88"/>
        <v>2035068.5799999984</v>
      </c>
      <c r="Q474" s="15">
        <f t="shared" si="89"/>
        <v>7469725</v>
      </c>
      <c r="R474" s="9">
        <f t="shared" si="90"/>
        <v>9832</v>
      </c>
      <c r="S474" s="9">
        <f t="shared" si="91"/>
        <v>7469725</v>
      </c>
      <c r="T474" s="15">
        <f t="shared" si="92"/>
        <v>16.686436250344954</v>
      </c>
      <c r="U474" s="15">
        <f>IF(O474="Exclude",0,G474*Fuel_Price!$B$2)</f>
        <v>2308.8478</v>
      </c>
      <c r="V474" s="15">
        <f t="shared" si="93"/>
        <v>2989922.7577359979</v>
      </c>
    </row>
    <row r="475" spans="1:22">
      <c r="A475" s="1" t="s">
        <v>1199</v>
      </c>
      <c r="B475" s="1" t="s">
        <v>1200</v>
      </c>
      <c r="C475" s="1" t="s">
        <v>1102</v>
      </c>
      <c r="D475" s="1" t="s">
        <v>12</v>
      </c>
      <c r="E475" s="12">
        <v>1541</v>
      </c>
      <c r="F475" s="12" t="s">
        <v>13</v>
      </c>
      <c r="G475" s="6">
        <v>273.93</v>
      </c>
      <c r="H475" s="1">
        <v>25.57</v>
      </c>
      <c r="J475" t="str">
        <f t="shared" si="84"/>
        <v>OK</v>
      </c>
      <c r="K475" t="str">
        <f t="shared" si="85"/>
        <v>OK</v>
      </c>
      <c r="L475">
        <f t="shared" si="94"/>
        <v>12</v>
      </c>
      <c r="M475">
        <f t="shared" si="86"/>
        <v>10</v>
      </c>
      <c r="N475" s="9" t="str">
        <f t="shared" si="95"/>
        <v>Valid</v>
      </c>
      <c r="O475" t="str">
        <f t="shared" si="87"/>
        <v>Include</v>
      </c>
      <c r="P475" s="9">
        <f t="shared" si="88"/>
        <v>2035068.5799999984</v>
      </c>
      <c r="Q475" s="15">
        <f t="shared" si="89"/>
        <v>7469725</v>
      </c>
      <c r="R475" s="9">
        <f t="shared" si="90"/>
        <v>1541</v>
      </c>
      <c r="S475" s="9">
        <f t="shared" si="91"/>
        <v>7469725</v>
      </c>
      <c r="T475" s="15">
        <f t="shared" si="92"/>
        <v>16.686436250344954</v>
      </c>
      <c r="U475" s="15">
        <f>IF(O475="Exclude",0,G475*Fuel_Price!$B$2)</f>
        <v>402.45795600000002</v>
      </c>
      <c r="V475" s="15">
        <f t="shared" si="93"/>
        <v>2989922.7577359979</v>
      </c>
    </row>
    <row r="476" spans="1:22">
      <c r="A476" s="1" t="s">
        <v>1201</v>
      </c>
      <c r="B476" s="1" t="s">
        <v>1202</v>
      </c>
      <c r="C476" s="1" t="s">
        <v>1102</v>
      </c>
      <c r="D476" s="1" t="s">
        <v>12</v>
      </c>
      <c r="E476" s="12">
        <v>4100</v>
      </c>
      <c r="F476" s="12" t="s">
        <v>13</v>
      </c>
      <c r="G476" s="6">
        <v>710.99</v>
      </c>
      <c r="H476" s="1">
        <v>26.22</v>
      </c>
      <c r="J476" t="str">
        <f t="shared" si="84"/>
        <v>OK</v>
      </c>
      <c r="K476" t="str">
        <f t="shared" si="85"/>
        <v>OK</v>
      </c>
      <c r="L476">
        <f t="shared" si="94"/>
        <v>12</v>
      </c>
      <c r="M476">
        <f t="shared" si="86"/>
        <v>10</v>
      </c>
      <c r="N476" s="9" t="str">
        <f t="shared" si="95"/>
        <v>Valid</v>
      </c>
      <c r="O476" t="str">
        <f t="shared" si="87"/>
        <v>Include</v>
      </c>
      <c r="P476" s="9">
        <f t="shared" si="88"/>
        <v>2035068.5799999984</v>
      </c>
      <c r="Q476" s="15">
        <f t="shared" si="89"/>
        <v>7469725</v>
      </c>
      <c r="R476" s="9">
        <f t="shared" si="90"/>
        <v>4100</v>
      </c>
      <c r="S476" s="9">
        <f t="shared" si="91"/>
        <v>7469725</v>
      </c>
      <c r="T476" s="15">
        <f t="shared" si="92"/>
        <v>16.686436250344954</v>
      </c>
      <c r="U476" s="15">
        <f>IF(O476="Exclude",0,G476*Fuel_Price!$B$2)</f>
        <v>1044.5865080000001</v>
      </c>
      <c r="V476" s="15">
        <f t="shared" si="93"/>
        <v>2989922.7577359979</v>
      </c>
    </row>
    <row r="477" spans="1:22">
      <c r="A477" s="1" t="s">
        <v>1206</v>
      </c>
      <c r="B477" s="1" t="s">
        <v>1207</v>
      </c>
      <c r="C477" s="1" t="s">
        <v>1102</v>
      </c>
      <c r="D477" s="1" t="s">
        <v>12</v>
      </c>
      <c r="E477" s="12">
        <v>10161</v>
      </c>
      <c r="F477" s="12" t="s">
        <v>13</v>
      </c>
      <c r="G477" s="6">
        <v>1390.91</v>
      </c>
      <c r="H477" s="1">
        <v>33.21</v>
      </c>
      <c r="J477" t="str">
        <f t="shared" si="84"/>
        <v>OK</v>
      </c>
      <c r="K477" t="str">
        <f t="shared" si="85"/>
        <v>OK</v>
      </c>
      <c r="L477">
        <f t="shared" si="94"/>
        <v>12</v>
      </c>
      <c r="M477">
        <f t="shared" si="86"/>
        <v>10</v>
      </c>
      <c r="N477" s="9" t="str">
        <f t="shared" si="95"/>
        <v>Valid</v>
      </c>
      <c r="O477" t="str">
        <f t="shared" si="87"/>
        <v>Include</v>
      </c>
      <c r="P477" s="9">
        <f t="shared" si="88"/>
        <v>2035068.5799999984</v>
      </c>
      <c r="Q477" s="15">
        <f t="shared" si="89"/>
        <v>7469725</v>
      </c>
      <c r="R477" s="9">
        <f t="shared" si="90"/>
        <v>10161</v>
      </c>
      <c r="S477" s="9">
        <f t="shared" si="91"/>
        <v>7469725</v>
      </c>
      <c r="T477" s="15">
        <f t="shared" si="92"/>
        <v>16.686436250344954</v>
      </c>
      <c r="U477" s="15">
        <f>IF(O477="Exclude",0,G477*Fuel_Price!$B$2)</f>
        <v>2043.5249720000002</v>
      </c>
      <c r="V477" s="15">
        <f t="shared" si="93"/>
        <v>2989922.7577359979</v>
      </c>
    </row>
    <row r="478" spans="1:22">
      <c r="A478" s="1" t="s">
        <v>1208</v>
      </c>
      <c r="B478" s="1" t="s">
        <v>1209</v>
      </c>
      <c r="C478" s="1" t="s">
        <v>1102</v>
      </c>
      <c r="D478" s="1" t="s">
        <v>12</v>
      </c>
      <c r="E478" s="12">
        <v>11372</v>
      </c>
      <c r="F478" s="12" t="s">
        <v>13</v>
      </c>
      <c r="G478" s="6">
        <v>1581.63</v>
      </c>
      <c r="H478" s="1">
        <v>32.69</v>
      </c>
      <c r="J478" t="str">
        <f t="shared" si="84"/>
        <v>OK</v>
      </c>
      <c r="K478" t="str">
        <f t="shared" si="85"/>
        <v>OK</v>
      </c>
      <c r="L478">
        <f t="shared" si="94"/>
        <v>12</v>
      </c>
      <c r="M478">
        <f t="shared" si="86"/>
        <v>10</v>
      </c>
      <c r="N478" s="9" t="str">
        <f t="shared" si="95"/>
        <v>Valid</v>
      </c>
      <c r="O478" t="str">
        <f t="shared" si="87"/>
        <v>Include</v>
      </c>
      <c r="P478" s="9">
        <f t="shared" si="88"/>
        <v>2035068.5799999984</v>
      </c>
      <c r="Q478" s="15">
        <f t="shared" si="89"/>
        <v>7469725</v>
      </c>
      <c r="R478" s="9">
        <f t="shared" si="90"/>
        <v>11372</v>
      </c>
      <c r="S478" s="9">
        <f t="shared" si="91"/>
        <v>7469725</v>
      </c>
      <c r="T478" s="15">
        <f t="shared" si="92"/>
        <v>16.686436250344954</v>
      </c>
      <c r="U478" s="15">
        <f>IF(O478="Exclude",0,G478*Fuel_Price!$B$2)</f>
        <v>2323.7307960000003</v>
      </c>
      <c r="V478" s="15">
        <f t="shared" si="93"/>
        <v>2989922.7577359979</v>
      </c>
    </row>
    <row r="479" spans="1:22">
      <c r="A479" s="1" t="s">
        <v>1212</v>
      </c>
      <c r="B479" s="1" t="s">
        <v>1213</v>
      </c>
      <c r="C479" s="1" t="s">
        <v>1102</v>
      </c>
      <c r="D479" s="1" t="s">
        <v>12</v>
      </c>
      <c r="E479" s="12">
        <v>6418</v>
      </c>
      <c r="F479" s="12" t="s">
        <v>13</v>
      </c>
      <c r="G479" s="6">
        <v>998.5</v>
      </c>
      <c r="H479" s="1">
        <v>29.22</v>
      </c>
      <c r="J479" t="str">
        <f t="shared" si="84"/>
        <v>OK</v>
      </c>
      <c r="K479" t="str">
        <f t="shared" si="85"/>
        <v>OK</v>
      </c>
      <c r="L479">
        <f t="shared" si="94"/>
        <v>12</v>
      </c>
      <c r="M479">
        <f t="shared" si="86"/>
        <v>10</v>
      </c>
      <c r="N479" s="9" t="str">
        <f t="shared" si="95"/>
        <v>Valid</v>
      </c>
      <c r="O479" t="str">
        <f t="shared" si="87"/>
        <v>Include</v>
      </c>
      <c r="P479" s="9">
        <f t="shared" si="88"/>
        <v>2035068.5799999984</v>
      </c>
      <c r="Q479" s="15">
        <f t="shared" si="89"/>
        <v>7469725</v>
      </c>
      <c r="R479" s="9">
        <f t="shared" si="90"/>
        <v>6418</v>
      </c>
      <c r="S479" s="9">
        <f t="shared" si="91"/>
        <v>7469725</v>
      </c>
      <c r="T479" s="15">
        <f t="shared" si="92"/>
        <v>16.686436250344954</v>
      </c>
      <c r="U479" s="15">
        <f>IF(O479="Exclude",0,G479*Fuel_Price!$B$2)</f>
        <v>1466.9962</v>
      </c>
      <c r="V479" s="15">
        <f t="shared" si="93"/>
        <v>2989922.7577359979</v>
      </c>
    </row>
    <row r="480" spans="1:22">
      <c r="A480" s="1" t="s">
        <v>1214</v>
      </c>
      <c r="B480" s="1" t="s">
        <v>1215</v>
      </c>
      <c r="C480" s="1" t="s">
        <v>1102</v>
      </c>
      <c r="D480" s="1" t="s">
        <v>12</v>
      </c>
      <c r="E480" s="12">
        <v>10748</v>
      </c>
      <c r="F480" s="12" t="s">
        <v>13</v>
      </c>
      <c r="G480" s="6">
        <v>1581.72</v>
      </c>
      <c r="H480" s="1">
        <v>30.89</v>
      </c>
      <c r="J480" t="str">
        <f t="shared" si="84"/>
        <v>OK</v>
      </c>
      <c r="K480" t="str">
        <f t="shared" si="85"/>
        <v>OK</v>
      </c>
      <c r="L480">
        <f t="shared" si="94"/>
        <v>12</v>
      </c>
      <c r="M480">
        <f t="shared" si="86"/>
        <v>10</v>
      </c>
      <c r="N480" s="9" t="str">
        <f t="shared" si="95"/>
        <v>Valid</v>
      </c>
      <c r="O480" t="str">
        <f t="shared" si="87"/>
        <v>Include</v>
      </c>
      <c r="P480" s="9">
        <f t="shared" si="88"/>
        <v>2035068.5799999984</v>
      </c>
      <c r="Q480" s="15">
        <f t="shared" si="89"/>
        <v>7469725</v>
      </c>
      <c r="R480" s="9">
        <f t="shared" si="90"/>
        <v>10748</v>
      </c>
      <c r="S480" s="9">
        <f t="shared" si="91"/>
        <v>7469725</v>
      </c>
      <c r="T480" s="15">
        <f t="shared" si="92"/>
        <v>16.686436250344954</v>
      </c>
      <c r="U480" s="15">
        <f>IF(O480="Exclude",0,G480*Fuel_Price!$B$2)</f>
        <v>2323.8630240000002</v>
      </c>
      <c r="V480" s="15">
        <f t="shared" si="93"/>
        <v>2989922.7577359979</v>
      </c>
    </row>
    <row r="481" spans="1:22">
      <c r="A481" s="1" t="s">
        <v>1216</v>
      </c>
      <c r="B481" s="1" t="s">
        <v>1217</v>
      </c>
      <c r="C481" s="1" t="s">
        <v>1102</v>
      </c>
      <c r="D481" s="1" t="s">
        <v>12</v>
      </c>
      <c r="E481" s="12">
        <v>7518</v>
      </c>
      <c r="F481" s="12" t="s">
        <v>13</v>
      </c>
      <c r="G481" s="6">
        <v>1228.8699999999999</v>
      </c>
      <c r="H481" s="1">
        <v>27.81</v>
      </c>
      <c r="J481" t="str">
        <f t="shared" si="84"/>
        <v>OK</v>
      </c>
      <c r="K481" t="str">
        <f t="shared" si="85"/>
        <v>OK</v>
      </c>
      <c r="L481">
        <f t="shared" si="94"/>
        <v>12</v>
      </c>
      <c r="M481">
        <f t="shared" si="86"/>
        <v>10</v>
      </c>
      <c r="N481" s="9" t="str">
        <f t="shared" si="95"/>
        <v>Valid</v>
      </c>
      <c r="O481" t="str">
        <f t="shared" si="87"/>
        <v>Include</v>
      </c>
      <c r="P481" s="9">
        <f t="shared" si="88"/>
        <v>2035068.5799999984</v>
      </c>
      <c r="Q481" s="15">
        <f t="shared" si="89"/>
        <v>7469725</v>
      </c>
      <c r="R481" s="9">
        <f t="shared" si="90"/>
        <v>7518</v>
      </c>
      <c r="S481" s="9">
        <f t="shared" si="91"/>
        <v>7469725</v>
      </c>
      <c r="T481" s="15">
        <f t="shared" si="92"/>
        <v>16.686436250344954</v>
      </c>
      <c r="U481" s="15">
        <f>IF(O481="Exclude",0,G481*Fuel_Price!$B$2)</f>
        <v>1805.4558039999999</v>
      </c>
      <c r="V481" s="15">
        <f t="shared" si="93"/>
        <v>2989922.7577359979</v>
      </c>
    </row>
    <row r="482" spans="1:22">
      <c r="A482" s="1" t="s">
        <v>1218</v>
      </c>
      <c r="B482" s="1" t="s">
        <v>1219</v>
      </c>
      <c r="C482" s="1" t="s">
        <v>1102</v>
      </c>
      <c r="D482" s="1" t="s">
        <v>12</v>
      </c>
      <c r="E482" s="12">
        <v>5511</v>
      </c>
      <c r="F482" s="12" t="s">
        <v>13</v>
      </c>
      <c r="G482" s="6">
        <v>933.68</v>
      </c>
      <c r="H482" s="1">
        <v>26.83</v>
      </c>
      <c r="J482" t="str">
        <f t="shared" si="84"/>
        <v>OK</v>
      </c>
      <c r="K482" t="str">
        <f t="shared" si="85"/>
        <v>OK</v>
      </c>
      <c r="L482">
        <f t="shared" si="94"/>
        <v>12</v>
      </c>
      <c r="M482">
        <f t="shared" si="86"/>
        <v>10</v>
      </c>
      <c r="N482" s="9" t="str">
        <f t="shared" si="95"/>
        <v>Valid</v>
      </c>
      <c r="O482" t="str">
        <f t="shared" si="87"/>
        <v>Include</v>
      </c>
      <c r="P482" s="9">
        <f t="shared" si="88"/>
        <v>2035068.5799999984</v>
      </c>
      <c r="Q482" s="15">
        <f t="shared" si="89"/>
        <v>7469725</v>
      </c>
      <c r="R482" s="9">
        <f t="shared" si="90"/>
        <v>5511</v>
      </c>
      <c r="S482" s="9">
        <f t="shared" si="91"/>
        <v>7469725</v>
      </c>
      <c r="T482" s="15">
        <f t="shared" si="92"/>
        <v>16.686436250344954</v>
      </c>
      <c r="U482" s="15">
        <f>IF(O482="Exclude",0,G482*Fuel_Price!$B$2)</f>
        <v>1371.7626559999999</v>
      </c>
      <c r="V482" s="15">
        <f t="shared" si="93"/>
        <v>2989922.7577359979</v>
      </c>
    </row>
    <row r="483" spans="1:22">
      <c r="A483" s="1" t="s">
        <v>1220</v>
      </c>
      <c r="B483" s="1" t="s">
        <v>1221</v>
      </c>
      <c r="C483" s="1" t="s">
        <v>1102</v>
      </c>
      <c r="D483" s="1" t="s">
        <v>12</v>
      </c>
      <c r="E483" s="12">
        <v>8078</v>
      </c>
      <c r="F483" s="12" t="s">
        <v>13</v>
      </c>
      <c r="G483" s="6">
        <v>1362.07</v>
      </c>
      <c r="H483" s="1">
        <v>26.96</v>
      </c>
      <c r="J483" t="str">
        <f t="shared" si="84"/>
        <v>OK</v>
      </c>
      <c r="K483" t="str">
        <f t="shared" si="85"/>
        <v>OK</v>
      </c>
      <c r="L483">
        <f t="shared" si="94"/>
        <v>12</v>
      </c>
      <c r="M483">
        <f t="shared" si="86"/>
        <v>10</v>
      </c>
      <c r="N483" s="9" t="str">
        <f t="shared" si="95"/>
        <v>Valid</v>
      </c>
      <c r="O483" t="str">
        <f t="shared" si="87"/>
        <v>Include</v>
      </c>
      <c r="P483" s="9">
        <f t="shared" si="88"/>
        <v>2035068.5799999984</v>
      </c>
      <c r="Q483" s="15">
        <f t="shared" si="89"/>
        <v>7469725</v>
      </c>
      <c r="R483" s="9">
        <f t="shared" si="90"/>
        <v>8078</v>
      </c>
      <c r="S483" s="9">
        <f t="shared" si="91"/>
        <v>7469725</v>
      </c>
      <c r="T483" s="15">
        <f t="shared" si="92"/>
        <v>16.686436250344954</v>
      </c>
      <c r="U483" s="15">
        <f>IF(O483="Exclude",0,G483*Fuel_Price!$B$2)</f>
        <v>2001.1532440000001</v>
      </c>
      <c r="V483" s="15">
        <f t="shared" si="93"/>
        <v>2989922.7577359979</v>
      </c>
    </row>
    <row r="484" spans="1:22">
      <c r="A484" s="1" t="s">
        <v>1222</v>
      </c>
      <c r="B484" s="1" t="s">
        <v>1223</v>
      </c>
      <c r="C484" s="1" t="s">
        <v>1102</v>
      </c>
      <c r="D484" s="1" t="s">
        <v>12</v>
      </c>
      <c r="E484" s="12">
        <v>5957</v>
      </c>
      <c r="F484" s="12" t="s">
        <v>13</v>
      </c>
      <c r="G484" s="6">
        <v>953.52</v>
      </c>
      <c r="H484" s="1">
        <v>28.4</v>
      </c>
      <c r="J484" t="str">
        <f t="shared" si="84"/>
        <v>OK</v>
      </c>
      <c r="K484" t="str">
        <f t="shared" si="85"/>
        <v>OK</v>
      </c>
      <c r="L484">
        <f t="shared" si="94"/>
        <v>12</v>
      </c>
      <c r="M484">
        <f t="shared" si="86"/>
        <v>10</v>
      </c>
      <c r="N484" s="9" t="str">
        <f t="shared" si="95"/>
        <v>Valid</v>
      </c>
      <c r="O484" t="str">
        <f t="shared" si="87"/>
        <v>Include</v>
      </c>
      <c r="P484" s="9">
        <f t="shared" si="88"/>
        <v>2035068.5799999984</v>
      </c>
      <c r="Q484" s="15">
        <f t="shared" si="89"/>
        <v>7469725</v>
      </c>
      <c r="R484" s="9">
        <f t="shared" si="90"/>
        <v>5957</v>
      </c>
      <c r="S484" s="9">
        <f t="shared" si="91"/>
        <v>7469725</v>
      </c>
      <c r="T484" s="15">
        <f t="shared" si="92"/>
        <v>16.686436250344954</v>
      </c>
      <c r="U484" s="15">
        <f>IF(O484="Exclude",0,G484*Fuel_Price!$B$2)</f>
        <v>1400.9115839999999</v>
      </c>
      <c r="V484" s="15">
        <f t="shared" si="93"/>
        <v>2989922.7577359979</v>
      </c>
    </row>
    <row r="485" spans="1:22">
      <c r="A485" s="1" t="s">
        <v>1224</v>
      </c>
      <c r="B485" s="1" t="s">
        <v>1225</v>
      </c>
      <c r="C485" s="1" t="s">
        <v>1102</v>
      </c>
      <c r="D485" s="1" t="s">
        <v>12</v>
      </c>
      <c r="E485" s="12">
        <v>8561</v>
      </c>
      <c r="F485" s="12" t="s">
        <v>13</v>
      </c>
      <c r="G485" s="6">
        <v>1191.33</v>
      </c>
      <c r="H485" s="1">
        <v>32.67</v>
      </c>
      <c r="J485" t="str">
        <f t="shared" si="84"/>
        <v>OK</v>
      </c>
      <c r="K485" t="str">
        <f t="shared" si="85"/>
        <v>OK</v>
      </c>
      <c r="L485">
        <f t="shared" si="94"/>
        <v>12</v>
      </c>
      <c r="M485">
        <f t="shared" si="86"/>
        <v>10</v>
      </c>
      <c r="N485" s="9" t="str">
        <f t="shared" si="95"/>
        <v>Valid</v>
      </c>
      <c r="O485" t="str">
        <f t="shared" si="87"/>
        <v>Include</v>
      </c>
      <c r="P485" s="9">
        <f t="shared" si="88"/>
        <v>2035068.5799999984</v>
      </c>
      <c r="Q485" s="15">
        <f t="shared" si="89"/>
        <v>7469725</v>
      </c>
      <c r="R485" s="9">
        <f t="shared" si="90"/>
        <v>8561</v>
      </c>
      <c r="S485" s="9">
        <f t="shared" si="91"/>
        <v>7469725</v>
      </c>
      <c r="T485" s="15">
        <f t="shared" si="92"/>
        <v>16.686436250344954</v>
      </c>
      <c r="U485" s="15">
        <f>IF(O485="Exclude",0,G485*Fuel_Price!$B$2)</f>
        <v>1750.302036</v>
      </c>
      <c r="V485" s="15">
        <f t="shared" si="93"/>
        <v>2989922.7577359979</v>
      </c>
    </row>
    <row r="486" spans="1:22">
      <c r="A486" s="1" t="s">
        <v>1229</v>
      </c>
      <c r="B486" s="1" t="s">
        <v>1230</v>
      </c>
      <c r="C486" s="1" t="s">
        <v>1102</v>
      </c>
      <c r="D486" s="1" t="s">
        <v>12</v>
      </c>
      <c r="E486" s="12">
        <v>6781</v>
      </c>
      <c r="F486" s="12" t="s">
        <v>13</v>
      </c>
      <c r="G486" s="6">
        <v>980.49</v>
      </c>
      <c r="H486" s="1">
        <v>31.44</v>
      </c>
      <c r="J486" t="str">
        <f t="shared" si="84"/>
        <v>OK</v>
      </c>
      <c r="K486" t="str">
        <f t="shared" si="85"/>
        <v>OK</v>
      </c>
      <c r="L486">
        <f t="shared" si="94"/>
        <v>12</v>
      </c>
      <c r="M486">
        <f t="shared" si="86"/>
        <v>10</v>
      </c>
      <c r="N486" s="9" t="str">
        <f t="shared" si="95"/>
        <v>Valid</v>
      </c>
      <c r="O486" t="str">
        <f t="shared" si="87"/>
        <v>Include</v>
      </c>
      <c r="P486" s="9">
        <f t="shared" si="88"/>
        <v>2035068.5799999984</v>
      </c>
      <c r="Q486" s="15">
        <f t="shared" si="89"/>
        <v>7469725</v>
      </c>
      <c r="R486" s="9">
        <f t="shared" si="90"/>
        <v>6781</v>
      </c>
      <c r="S486" s="9">
        <f t="shared" si="91"/>
        <v>7469725</v>
      </c>
      <c r="T486" s="15">
        <f t="shared" si="92"/>
        <v>16.686436250344954</v>
      </c>
      <c r="U486" s="15">
        <f>IF(O486="Exclude",0,G486*Fuel_Price!$B$2)</f>
        <v>1440.5359080000001</v>
      </c>
      <c r="V486" s="15">
        <f t="shared" si="93"/>
        <v>2989922.7577359979</v>
      </c>
    </row>
    <row r="487" spans="1:22">
      <c r="A487" s="1" t="s">
        <v>1231</v>
      </c>
      <c r="B487" s="1" t="s">
        <v>1232</v>
      </c>
      <c r="C487" s="1" t="s">
        <v>1102</v>
      </c>
      <c r="D487" s="1" t="s">
        <v>12</v>
      </c>
      <c r="E487" s="12">
        <v>6471</v>
      </c>
      <c r="F487" s="12" t="s">
        <v>13</v>
      </c>
      <c r="G487" s="6">
        <v>1132.28</v>
      </c>
      <c r="H487" s="1">
        <v>25.98</v>
      </c>
      <c r="J487" t="str">
        <f t="shared" si="84"/>
        <v>OK</v>
      </c>
      <c r="K487" t="str">
        <f t="shared" si="85"/>
        <v>OK</v>
      </c>
      <c r="L487">
        <f t="shared" si="94"/>
        <v>12</v>
      </c>
      <c r="M487">
        <f t="shared" si="86"/>
        <v>10</v>
      </c>
      <c r="N487" s="9" t="str">
        <f t="shared" si="95"/>
        <v>Valid</v>
      </c>
      <c r="O487" t="str">
        <f t="shared" si="87"/>
        <v>Include</v>
      </c>
      <c r="P487" s="9">
        <f t="shared" si="88"/>
        <v>2035068.5799999984</v>
      </c>
      <c r="Q487" s="15">
        <f t="shared" si="89"/>
        <v>7469725</v>
      </c>
      <c r="R487" s="9">
        <f t="shared" si="90"/>
        <v>6471</v>
      </c>
      <c r="S487" s="9">
        <f t="shared" si="91"/>
        <v>7469725</v>
      </c>
      <c r="T487" s="15">
        <f t="shared" si="92"/>
        <v>16.686436250344954</v>
      </c>
      <c r="U487" s="15">
        <f>IF(O487="Exclude",0,G487*Fuel_Price!$B$2)</f>
        <v>1663.5457759999999</v>
      </c>
      <c r="V487" s="15">
        <f t="shared" si="93"/>
        <v>2989922.7577359979</v>
      </c>
    </row>
    <row r="488" spans="1:22">
      <c r="A488" s="1" t="s">
        <v>1233</v>
      </c>
      <c r="B488" s="1" t="s">
        <v>1234</v>
      </c>
      <c r="C488" s="1" t="s">
        <v>1102</v>
      </c>
      <c r="D488" s="1" t="s">
        <v>12</v>
      </c>
      <c r="E488" s="12">
        <v>14108</v>
      </c>
      <c r="F488" s="12" t="s">
        <v>13</v>
      </c>
      <c r="G488" s="6">
        <v>2063.17</v>
      </c>
      <c r="H488" s="1">
        <v>31.09</v>
      </c>
      <c r="J488" t="str">
        <f t="shared" si="84"/>
        <v>OK</v>
      </c>
      <c r="K488" t="str">
        <f t="shared" si="85"/>
        <v>OK</v>
      </c>
      <c r="L488">
        <f t="shared" si="94"/>
        <v>12</v>
      </c>
      <c r="M488">
        <f t="shared" si="86"/>
        <v>10</v>
      </c>
      <c r="N488" s="9" t="str">
        <f t="shared" si="95"/>
        <v>Valid</v>
      </c>
      <c r="O488" t="str">
        <f t="shared" si="87"/>
        <v>Include</v>
      </c>
      <c r="P488" s="9">
        <f t="shared" si="88"/>
        <v>2035068.5799999984</v>
      </c>
      <c r="Q488" s="15">
        <f t="shared" si="89"/>
        <v>7469725</v>
      </c>
      <c r="R488" s="9">
        <f t="shared" si="90"/>
        <v>14108</v>
      </c>
      <c r="S488" s="9">
        <f t="shared" si="91"/>
        <v>7469725</v>
      </c>
      <c r="T488" s="15">
        <f t="shared" si="92"/>
        <v>16.686436250344954</v>
      </c>
      <c r="U488" s="15">
        <f>IF(O488="Exclude",0,G488*Fuel_Price!$B$2)</f>
        <v>3031.2093640000003</v>
      </c>
      <c r="V488" s="15">
        <f t="shared" si="93"/>
        <v>2989922.7577359979</v>
      </c>
    </row>
    <row r="489" spans="1:22">
      <c r="A489" s="1" t="s">
        <v>1237</v>
      </c>
      <c r="B489" s="1" t="s">
        <v>1238</v>
      </c>
      <c r="C489" s="1" t="s">
        <v>1102</v>
      </c>
      <c r="D489" s="1" t="s">
        <v>12</v>
      </c>
      <c r="E489" s="12">
        <v>4059</v>
      </c>
      <c r="F489" s="12" t="s">
        <v>13</v>
      </c>
      <c r="G489" s="6">
        <v>671.21</v>
      </c>
      <c r="H489" s="1">
        <v>27.49</v>
      </c>
      <c r="J489" t="str">
        <f t="shared" si="84"/>
        <v>OK</v>
      </c>
      <c r="K489" t="str">
        <f t="shared" si="85"/>
        <v>OK</v>
      </c>
      <c r="L489">
        <f t="shared" si="94"/>
        <v>12</v>
      </c>
      <c r="M489">
        <f t="shared" si="86"/>
        <v>10</v>
      </c>
      <c r="N489" s="9" t="str">
        <f t="shared" si="95"/>
        <v>Valid</v>
      </c>
      <c r="O489" t="str">
        <f t="shared" si="87"/>
        <v>Include</v>
      </c>
      <c r="P489" s="9">
        <f t="shared" si="88"/>
        <v>2035068.5799999984</v>
      </c>
      <c r="Q489" s="15">
        <f t="shared" si="89"/>
        <v>7469725</v>
      </c>
      <c r="R489" s="9">
        <f t="shared" si="90"/>
        <v>4059</v>
      </c>
      <c r="S489" s="9">
        <f t="shared" si="91"/>
        <v>7469725</v>
      </c>
      <c r="T489" s="15">
        <f t="shared" si="92"/>
        <v>16.686436250344954</v>
      </c>
      <c r="U489" s="15">
        <f>IF(O489="Exclude",0,G489*Fuel_Price!$B$2)</f>
        <v>986.14173200000005</v>
      </c>
      <c r="V489" s="15">
        <f t="shared" si="93"/>
        <v>2989922.7577359979</v>
      </c>
    </row>
    <row r="490" spans="1:22">
      <c r="A490" s="1" t="s">
        <v>1239</v>
      </c>
      <c r="B490" s="1" t="s">
        <v>1240</v>
      </c>
      <c r="C490" s="1" t="s">
        <v>1228</v>
      </c>
      <c r="D490" s="1" t="s">
        <v>12</v>
      </c>
      <c r="E490" s="12">
        <v>43</v>
      </c>
      <c r="F490" s="12" t="s">
        <v>13</v>
      </c>
      <c r="G490" s="6">
        <v>96.62</v>
      </c>
      <c r="H490" s="1">
        <v>2.02</v>
      </c>
      <c r="J490" t="str">
        <f t="shared" si="84"/>
        <v>OK</v>
      </c>
      <c r="K490" t="str">
        <f t="shared" si="85"/>
        <v>OK</v>
      </c>
      <c r="L490">
        <f t="shared" si="94"/>
        <v>12</v>
      </c>
      <c r="M490">
        <f t="shared" si="86"/>
        <v>10</v>
      </c>
      <c r="N490" s="9" t="str">
        <f t="shared" si="95"/>
        <v>Valid</v>
      </c>
      <c r="O490" t="str">
        <f t="shared" si="87"/>
        <v>Include</v>
      </c>
      <c r="P490" s="9">
        <f t="shared" si="88"/>
        <v>2035068.5799999984</v>
      </c>
      <c r="Q490" s="15">
        <f t="shared" si="89"/>
        <v>7469725</v>
      </c>
      <c r="R490" s="9">
        <f t="shared" si="90"/>
        <v>43</v>
      </c>
      <c r="S490" s="9">
        <f t="shared" si="91"/>
        <v>7469725</v>
      </c>
      <c r="T490" s="15">
        <f t="shared" si="92"/>
        <v>16.686436250344954</v>
      </c>
      <c r="U490" s="15">
        <f>IF(O490="Exclude",0,G490*Fuel_Price!$B$2)</f>
        <v>141.954104</v>
      </c>
      <c r="V490" s="15">
        <f t="shared" si="93"/>
        <v>2989922.7577359979</v>
      </c>
    </row>
    <row r="491" spans="1:22">
      <c r="A491" s="1" t="s">
        <v>1241</v>
      </c>
      <c r="B491" s="1" t="s">
        <v>1242</v>
      </c>
      <c r="C491" s="1" t="s">
        <v>1243</v>
      </c>
      <c r="D491" s="1" t="s">
        <v>12</v>
      </c>
      <c r="E491" s="12">
        <v>4383</v>
      </c>
      <c r="F491" s="12" t="s">
        <v>13</v>
      </c>
      <c r="G491" s="6">
        <v>666.95</v>
      </c>
      <c r="H491" s="1">
        <v>29.88</v>
      </c>
      <c r="J491" t="str">
        <f t="shared" si="84"/>
        <v>OK</v>
      </c>
      <c r="K491" t="str">
        <f t="shared" si="85"/>
        <v>OK</v>
      </c>
      <c r="L491">
        <f t="shared" si="94"/>
        <v>12</v>
      </c>
      <c r="M491">
        <f t="shared" si="86"/>
        <v>10</v>
      </c>
      <c r="N491" s="9" t="str">
        <f t="shared" si="95"/>
        <v>Valid</v>
      </c>
      <c r="O491" t="str">
        <f t="shared" si="87"/>
        <v>Include</v>
      </c>
      <c r="P491" s="9">
        <f t="shared" si="88"/>
        <v>2035068.5799999984</v>
      </c>
      <c r="Q491" s="15">
        <f t="shared" si="89"/>
        <v>7469725</v>
      </c>
      <c r="R491" s="9">
        <f t="shared" si="90"/>
        <v>4383</v>
      </c>
      <c r="S491" s="9">
        <f t="shared" si="91"/>
        <v>7469725</v>
      </c>
      <c r="T491" s="15">
        <f t="shared" si="92"/>
        <v>16.686436250344954</v>
      </c>
      <c r="U491" s="15">
        <f>IF(O491="Exclude",0,G491*Fuel_Price!$B$2)</f>
        <v>979.88294000000008</v>
      </c>
      <c r="V491" s="15">
        <f t="shared" si="93"/>
        <v>2989922.7577359979</v>
      </c>
    </row>
    <row r="492" spans="1:22">
      <c r="A492" s="1" t="s">
        <v>1244</v>
      </c>
      <c r="B492" s="1" t="s">
        <v>1245</v>
      </c>
      <c r="C492" s="1" t="s">
        <v>1102</v>
      </c>
      <c r="D492" s="1" t="s">
        <v>12</v>
      </c>
      <c r="E492" s="12">
        <v>8914</v>
      </c>
      <c r="F492" s="12" t="s">
        <v>13</v>
      </c>
      <c r="G492" s="6">
        <v>1430.81</v>
      </c>
      <c r="H492" s="1">
        <v>28.32</v>
      </c>
      <c r="J492" t="str">
        <f t="shared" si="84"/>
        <v>OK</v>
      </c>
      <c r="K492" t="str">
        <f t="shared" si="85"/>
        <v>OK</v>
      </c>
      <c r="L492">
        <f t="shared" si="94"/>
        <v>12</v>
      </c>
      <c r="M492">
        <f t="shared" si="86"/>
        <v>10</v>
      </c>
      <c r="N492" s="9" t="str">
        <f t="shared" si="95"/>
        <v>Valid</v>
      </c>
      <c r="O492" t="str">
        <f t="shared" si="87"/>
        <v>Include</v>
      </c>
      <c r="P492" s="9">
        <f t="shared" si="88"/>
        <v>2035068.5799999984</v>
      </c>
      <c r="Q492" s="15">
        <f t="shared" si="89"/>
        <v>7469725</v>
      </c>
      <c r="R492" s="9">
        <f t="shared" si="90"/>
        <v>8914</v>
      </c>
      <c r="S492" s="9">
        <f t="shared" si="91"/>
        <v>7469725</v>
      </c>
      <c r="T492" s="15">
        <f t="shared" si="92"/>
        <v>16.686436250344954</v>
      </c>
      <c r="U492" s="15">
        <f>IF(O492="Exclude",0,G492*Fuel_Price!$B$2)</f>
        <v>2102.1460520000001</v>
      </c>
      <c r="V492" s="15">
        <f t="shared" si="93"/>
        <v>2989922.7577359979</v>
      </c>
    </row>
    <row r="493" spans="1:22">
      <c r="A493" s="1" t="s">
        <v>1246</v>
      </c>
      <c r="B493" s="1" t="s">
        <v>1247</v>
      </c>
      <c r="C493" s="1" t="s">
        <v>1102</v>
      </c>
      <c r="D493" s="1" t="s">
        <v>12</v>
      </c>
      <c r="E493" s="12">
        <v>7267</v>
      </c>
      <c r="F493" s="12" t="s">
        <v>13</v>
      </c>
      <c r="G493" s="6">
        <v>1101.6500000000001</v>
      </c>
      <c r="H493" s="1">
        <v>29.99</v>
      </c>
      <c r="J493" t="str">
        <f t="shared" si="84"/>
        <v>OK</v>
      </c>
      <c r="K493" t="str">
        <f t="shared" si="85"/>
        <v>OK</v>
      </c>
      <c r="L493">
        <f t="shared" si="94"/>
        <v>12</v>
      </c>
      <c r="M493">
        <f t="shared" si="86"/>
        <v>10</v>
      </c>
      <c r="N493" s="9" t="str">
        <f t="shared" si="95"/>
        <v>Valid</v>
      </c>
      <c r="O493" t="str">
        <f t="shared" si="87"/>
        <v>Include</v>
      </c>
      <c r="P493" s="9">
        <f t="shared" si="88"/>
        <v>2035068.5799999984</v>
      </c>
      <c r="Q493" s="15">
        <f t="shared" si="89"/>
        <v>7469725</v>
      </c>
      <c r="R493" s="9">
        <f t="shared" si="90"/>
        <v>7267</v>
      </c>
      <c r="S493" s="9">
        <f t="shared" si="91"/>
        <v>7469725</v>
      </c>
      <c r="T493" s="15">
        <f t="shared" si="92"/>
        <v>16.686436250344954</v>
      </c>
      <c r="U493" s="15">
        <f>IF(O493="Exclude",0,G493*Fuel_Price!$B$2)</f>
        <v>1618.5441800000001</v>
      </c>
      <c r="V493" s="15">
        <f t="shared" si="93"/>
        <v>2989922.7577359979</v>
      </c>
    </row>
    <row r="494" spans="1:22">
      <c r="A494" s="1" t="s">
        <v>1248</v>
      </c>
      <c r="B494" s="1" t="s">
        <v>1249</v>
      </c>
      <c r="C494" s="1" t="s">
        <v>1102</v>
      </c>
      <c r="D494" s="1" t="s">
        <v>12</v>
      </c>
      <c r="E494" s="12">
        <v>2181</v>
      </c>
      <c r="F494" s="12" t="s">
        <v>13</v>
      </c>
      <c r="G494" s="6">
        <v>418.03</v>
      </c>
      <c r="H494" s="1">
        <v>23.72</v>
      </c>
      <c r="J494" t="str">
        <f t="shared" si="84"/>
        <v>OK</v>
      </c>
      <c r="K494" t="str">
        <f t="shared" si="85"/>
        <v>OK</v>
      </c>
      <c r="L494">
        <f t="shared" si="94"/>
        <v>12</v>
      </c>
      <c r="M494">
        <f t="shared" si="86"/>
        <v>10</v>
      </c>
      <c r="N494" s="9" t="str">
        <f t="shared" si="95"/>
        <v>Valid</v>
      </c>
      <c r="O494" t="str">
        <f t="shared" si="87"/>
        <v>Include</v>
      </c>
      <c r="P494" s="9">
        <f t="shared" si="88"/>
        <v>2035068.5799999984</v>
      </c>
      <c r="Q494" s="15">
        <f t="shared" si="89"/>
        <v>7469725</v>
      </c>
      <c r="R494" s="9">
        <f t="shared" si="90"/>
        <v>2181</v>
      </c>
      <c r="S494" s="9">
        <f t="shared" si="91"/>
        <v>7469725</v>
      </c>
      <c r="T494" s="15">
        <f t="shared" si="92"/>
        <v>16.686436250344954</v>
      </c>
      <c r="U494" s="15">
        <f>IF(O494="Exclude",0,G494*Fuel_Price!$B$2)</f>
        <v>614.16967599999998</v>
      </c>
      <c r="V494" s="15">
        <f t="shared" si="93"/>
        <v>2989922.7577359979</v>
      </c>
    </row>
    <row r="495" spans="1:22">
      <c r="A495" s="1" t="s">
        <v>1250</v>
      </c>
      <c r="B495" s="1" t="s">
        <v>1251</v>
      </c>
      <c r="C495" s="1" t="s">
        <v>1102</v>
      </c>
      <c r="D495" s="1" t="s">
        <v>12</v>
      </c>
      <c r="E495" s="12">
        <v>6003</v>
      </c>
      <c r="F495" s="12" t="s">
        <v>13</v>
      </c>
      <c r="G495" s="6">
        <v>1104.43</v>
      </c>
      <c r="H495" s="1">
        <v>24.71</v>
      </c>
      <c r="J495" t="str">
        <f t="shared" si="84"/>
        <v>OK</v>
      </c>
      <c r="K495" t="str">
        <f t="shared" si="85"/>
        <v>OK</v>
      </c>
      <c r="L495">
        <f t="shared" si="94"/>
        <v>12</v>
      </c>
      <c r="M495">
        <f t="shared" si="86"/>
        <v>10</v>
      </c>
      <c r="N495" s="9" t="str">
        <f t="shared" si="95"/>
        <v>Valid</v>
      </c>
      <c r="O495" t="str">
        <f t="shared" si="87"/>
        <v>Include</v>
      </c>
      <c r="P495" s="9">
        <f t="shared" si="88"/>
        <v>2035068.5799999984</v>
      </c>
      <c r="Q495" s="15">
        <f t="shared" si="89"/>
        <v>7469725</v>
      </c>
      <c r="R495" s="9">
        <f t="shared" si="90"/>
        <v>6003</v>
      </c>
      <c r="S495" s="9">
        <f t="shared" si="91"/>
        <v>7469725</v>
      </c>
      <c r="T495" s="15">
        <f t="shared" si="92"/>
        <v>16.686436250344954</v>
      </c>
      <c r="U495" s="15">
        <f>IF(O495="Exclude",0,G495*Fuel_Price!$B$2)</f>
        <v>1622.6285560000001</v>
      </c>
      <c r="V495" s="15">
        <f t="shared" si="93"/>
        <v>2989922.7577359979</v>
      </c>
    </row>
    <row r="496" spans="1:22">
      <c r="A496" s="1" t="s">
        <v>1255</v>
      </c>
      <c r="B496" s="1" t="s">
        <v>1256</v>
      </c>
      <c r="C496" s="1" t="s">
        <v>1102</v>
      </c>
      <c r="D496" s="1" t="s">
        <v>12</v>
      </c>
      <c r="E496" s="12">
        <v>9589</v>
      </c>
      <c r="F496" s="12" t="s">
        <v>13</v>
      </c>
      <c r="G496" s="6">
        <v>1405.09</v>
      </c>
      <c r="H496" s="1">
        <v>31.02</v>
      </c>
      <c r="J496" t="str">
        <f t="shared" si="84"/>
        <v>OK</v>
      </c>
      <c r="K496" t="str">
        <f t="shared" si="85"/>
        <v>OK</v>
      </c>
      <c r="L496">
        <f t="shared" si="94"/>
        <v>12</v>
      </c>
      <c r="M496">
        <f t="shared" si="86"/>
        <v>10</v>
      </c>
      <c r="N496" s="9" t="str">
        <f t="shared" si="95"/>
        <v>Valid</v>
      </c>
      <c r="O496" t="str">
        <f t="shared" si="87"/>
        <v>Include</v>
      </c>
      <c r="P496" s="9">
        <f t="shared" si="88"/>
        <v>2035068.5799999984</v>
      </c>
      <c r="Q496" s="15">
        <f t="shared" si="89"/>
        <v>7469725</v>
      </c>
      <c r="R496" s="9">
        <f t="shared" si="90"/>
        <v>9589</v>
      </c>
      <c r="S496" s="9">
        <f t="shared" si="91"/>
        <v>7469725</v>
      </c>
      <c r="T496" s="15">
        <f t="shared" si="92"/>
        <v>16.686436250344954</v>
      </c>
      <c r="U496" s="15">
        <f>IF(O496="Exclude",0,G496*Fuel_Price!$B$2)</f>
        <v>2064.3582280000001</v>
      </c>
      <c r="V496" s="15">
        <f t="shared" si="93"/>
        <v>2989922.7577359979</v>
      </c>
    </row>
    <row r="497" spans="1:22">
      <c r="A497" s="1" t="s">
        <v>1257</v>
      </c>
      <c r="B497" s="1" t="s">
        <v>1258</v>
      </c>
      <c r="C497" s="1" t="s">
        <v>1102</v>
      </c>
      <c r="D497" s="1" t="s">
        <v>12</v>
      </c>
      <c r="E497" s="12">
        <v>9952</v>
      </c>
      <c r="F497" s="12" t="s">
        <v>13</v>
      </c>
      <c r="G497" s="6">
        <v>1611.57</v>
      </c>
      <c r="H497" s="1">
        <v>28.07</v>
      </c>
      <c r="J497" t="str">
        <f t="shared" si="84"/>
        <v>OK</v>
      </c>
      <c r="K497" t="str">
        <f t="shared" si="85"/>
        <v>OK</v>
      </c>
      <c r="L497">
        <f t="shared" si="94"/>
        <v>12</v>
      </c>
      <c r="M497">
        <f t="shared" si="86"/>
        <v>10</v>
      </c>
      <c r="N497" s="9" t="str">
        <f t="shared" si="95"/>
        <v>Valid</v>
      </c>
      <c r="O497" t="str">
        <f t="shared" si="87"/>
        <v>Include</v>
      </c>
      <c r="P497" s="9">
        <f t="shared" si="88"/>
        <v>2035068.5799999984</v>
      </c>
      <c r="Q497" s="15">
        <f t="shared" si="89"/>
        <v>7469725</v>
      </c>
      <c r="R497" s="9">
        <f t="shared" si="90"/>
        <v>9952</v>
      </c>
      <c r="S497" s="9">
        <f t="shared" si="91"/>
        <v>7469725</v>
      </c>
      <c r="T497" s="15">
        <f t="shared" si="92"/>
        <v>16.686436250344954</v>
      </c>
      <c r="U497" s="15">
        <f>IF(O497="Exclude",0,G497*Fuel_Price!$B$2)</f>
        <v>2367.718644</v>
      </c>
      <c r="V497" s="15">
        <f t="shared" si="93"/>
        <v>2989922.7577359979</v>
      </c>
    </row>
    <row r="498" spans="1:22">
      <c r="A498" s="1" t="s">
        <v>1261</v>
      </c>
      <c r="B498" s="1" t="s">
        <v>1262</v>
      </c>
      <c r="C498" s="1" t="s">
        <v>1102</v>
      </c>
      <c r="D498" s="1" t="s">
        <v>12</v>
      </c>
      <c r="E498" s="12">
        <v>9396</v>
      </c>
      <c r="F498" s="12" t="s">
        <v>13</v>
      </c>
      <c r="G498" s="6">
        <v>1459.16</v>
      </c>
      <c r="H498" s="1">
        <v>29.27</v>
      </c>
      <c r="J498" t="str">
        <f t="shared" si="84"/>
        <v>OK</v>
      </c>
      <c r="K498" t="str">
        <f t="shared" si="85"/>
        <v>OK</v>
      </c>
      <c r="L498">
        <f t="shared" si="94"/>
        <v>12</v>
      </c>
      <c r="M498">
        <f t="shared" si="86"/>
        <v>10</v>
      </c>
      <c r="N498" s="9" t="str">
        <f t="shared" si="95"/>
        <v>Valid</v>
      </c>
      <c r="O498" t="str">
        <f t="shared" si="87"/>
        <v>Include</v>
      </c>
      <c r="P498" s="9">
        <f t="shared" si="88"/>
        <v>2035068.5799999984</v>
      </c>
      <c r="Q498" s="15">
        <f t="shared" si="89"/>
        <v>7469725</v>
      </c>
      <c r="R498" s="9">
        <f t="shared" si="90"/>
        <v>9396</v>
      </c>
      <c r="S498" s="9">
        <f t="shared" si="91"/>
        <v>7469725</v>
      </c>
      <c r="T498" s="15">
        <f t="shared" si="92"/>
        <v>16.686436250344954</v>
      </c>
      <c r="U498" s="15">
        <f>IF(O498="Exclude",0,G498*Fuel_Price!$B$2)</f>
        <v>2143.7978720000001</v>
      </c>
      <c r="V498" s="15">
        <f t="shared" si="93"/>
        <v>2989922.7577359979</v>
      </c>
    </row>
    <row r="499" spans="1:22">
      <c r="A499" s="1" t="s">
        <v>1263</v>
      </c>
      <c r="B499" s="1" t="s">
        <v>1264</v>
      </c>
      <c r="C499" s="1" t="s">
        <v>1102</v>
      </c>
      <c r="D499" s="1" t="s">
        <v>12</v>
      </c>
      <c r="E499" s="12">
        <v>13709</v>
      </c>
      <c r="F499" s="12" t="s">
        <v>13</v>
      </c>
      <c r="G499" s="6">
        <v>2127.8200000000002</v>
      </c>
      <c r="H499" s="1">
        <v>29.29</v>
      </c>
      <c r="J499" t="str">
        <f t="shared" si="84"/>
        <v>OK</v>
      </c>
      <c r="K499" t="str">
        <f t="shared" si="85"/>
        <v>OK</v>
      </c>
      <c r="L499">
        <f t="shared" si="94"/>
        <v>12</v>
      </c>
      <c r="M499">
        <f t="shared" si="86"/>
        <v>10</v>
      </c>
      <c r="N499" s="9" t="str">
        <f t="shared" si="95"/>
        <v>Valid</v>
      </c>
      <c r="O499" t="str">
        <f t="shared" si="87"/>
        <v>Include</v>
      </c>
      <c r="P499" s="9">
        <f t="shared" si="88"/>
        <v>2035068.5799999984</v>
      </c>
      <c r="Q499" s="15">
        <f t="shared" si="89"/>
        <v>7469725</v>
      </c>
      <c r="R499" s="9">
        <f t="shared" si="90"/>
        <v>13709</v>
      </c>
      <c r="S499" s="9">
        <f t="shared" si="91"/>
        <v>7469725</v>
      </c>
      <c r="T499" s="15">
        <f t="shared" si="92"/>
        <v>16.686436250344954</v>
      </c>
      <c r="U499" s="15">
        <f>IF(O499="Exclude",0,G499*Fuel_Price!$B$2)</f>
        <v>3126.1931440000003</v>
      </c>
      <c r="V499" s="15">
        <f t="shared" si="93"/>
        <v>2989922.7577359979</v>
      </c>
    </row>
    <row r="500" spans="1:22">
      <c r="A500" s="1" t="s">
        <v>1265</v>
      </c>
      <c r="B500" s="1" t="s">
        <v>1266</v>
      </c>
      <c r="C500" s="1" t="s">
        <v>1102</v>
      </c>
      <c r="D500" s="1" t="s">
        <v>12</v>
      </c>
      <c r="E500" s="12">
        <v>3818</v>
      </c>
      <c r="F500" s="12" t="s">
        <v>13</v>
      </c>
      <c r="G500" s="6">
        <v>699.38</v>
      </c>
      <c r="H500" s="1">
        <v>24.82</v>
      </c>
      <c r="J500" t="str">
        <f t="shared" si="84"/>
        <v>OK</v>
      </c>
      <c r="K500" t="str">
        <f t="shared" si="85"/>
        <v>OK</v>
      </c>
      <c r="L500">
        <f t="shared" si="94"/>
        <v>12</v>
      </c>
      <c r="M500">
        <f t="shared" si="86"/>
        <v>10</v>
      </c>
      <c r="N500" s="9" t="str">
        <f t="shared" si="95"/>
        <v>Valid</v>
      </c>
      <c r="O500" t="str">
        <f t="shared" si="87"/>
        <v>Include</v>
      </c>
      <c r="P500" s="9">
        <f t="shared" si="88"/>
        <v>2035068.5799999984</v>
      </c>
      <c r="Q500" s="15">
        <f t="shared" si="89"/>
        <v>7469725</v>
      </c>
      <c r="R500" s="9">
        <f t="shared" si="90"/>
        <v>3818</v>
      </c>
      <c r="S500" s="9">
        <f t="shared" si="91"/>
        <v>7469725</v>
      </c>
      <c r="T500" s="15">
        <f t="shared" si="92"/>
        <v>16.686436250344954</v>
      </c>
      <c r="U500" s="15">
        <f>IF(O500="Exclude",0,G500*Fuel_Price!$B$2)</f>
        <v>1027.529096</v>
      </c>
      <c r="V500" s="15">
        <f t="shared" si="93"/>
        <v>2989922.7577359979</v>
      </c>
    </row>
    <row r="501" spans="1:22">
      <c r="A501" s="1" t="s">
        <v>1267</v>
      </c>
      <c r="B501" s="1" t="s">
        <v>1268</v>
      </c>
      <c r="C501" s="1" t="s">
        <v>1102</v>
      </c>
      <c r="D501" s="1" t="s">
        <v>12</v>
      </c>
      <c r="E501" s="12">
        <v>12219</v>
      </c>
      <c r="F501" s="12" t="s">
        <v>13</v>
      </c>
      <c r="G501" s="6">
        <v>1950.14</v>
      </c>
      <c r="H501" s="1">
        <v>28.48</v>
      </c>
      <c r="J501" t="str">
        <f t="shared" si="84"/>
        <v>OK</v>
      </c>
      <c r="K501" t="str">
        <f t="shared" si="85"/>
        <v>OK</v>
      </c>
      <c r="L501">
        <f t="shared" si="94"/>
        <v>12</v>
      </c>
      <c r="M501">
        <f t="shared" si="86"/>
        <v>10</v>
      </c>
      <c r="N501" s="9" t="str">
        <f t="shared" si="95"/>
        <v>Valid</v>
      </c>
      <c r="O501" t="str">
        <f t="shared" si="87"/>
        <v>Include</v>
      </c>
      <c r="P501" s="9">
        <f t="shared" si="88"/>
        <v>2035068.5799999984</v>
      </c>
      <c r="Q501" s="15">
        <f t="shared" si="89"/>
        <v>7469725</v>
      </c>
      <c r="R501" s="9">
        <f t="shared" si="90"/>
        <v>12219</v>
      </c>
      <c r="S501" s="9">
        <f t="shared" si="91"/>
        <v>7469725</v>
      </c>
      <c r="T501" s="15">
        <f t="shared" si="92"/>
        <v>16.686436250344954</v>
      </c>
      <c r="U501" s="15">
        <f>IF(O501="Exclude",0,G501*Fuel_Price!$B$2)</f>
        <v>2865.1456880000001</v>
      </c>
      <c r="V501" s="15">
        <f t="shared" si="93"/>
        <v>2989922.7577359979</v>
      </c>
    </row>
    <row r="502" spans="1:22">
      <c r="A502" s="1" t="s">
        <v>1272</v>
      </c>
      <c r="B502" s="1" t="s">
        <v>1273</v>
      </c>
      <c r="C502" s="1" t="s">
        <v>1102</v>
      </c>
      <c r="D502" s="1" t="s">
        <v>12</v>
      </c>
      <c r="E502" s="12">
        <v>7991</v>
      </c>
      <c r="F502" s="12" t="s">
        <v>13</v>
      </c>
      <c r="G502" s="6">
        <v>1088.8800000000001</v>
      </c>
      <c r="H502" s="1">
        <v>33.36</v>
      </c>
      <c r="J502" t="str">
        <f t="shared" si="84"/>
        <v>OK</v>
      </c>
      <c r="K502" t="str">
        <f t="shared" si="85"/>
        <v>OK</v>
      </c>
      <c r="L502">
        <f t="shared" si="94"/>
        <v>12</v>
      </c>
      <c r="M502">
        <f t="shared" si="86"/>
        <v>10</v>
      </c>
      <c r="N502" s="9" t="str">
        <f t="shared" si="95"/>
        <v>Valid</v>
      </c>
      <c r="O502" t="str">
        <f t="shared" si="87"/>
        <v>Include</v>
      </c>
      <c r="P502" s="9">
        <f t="shared" si="88"/>
        <v>2035068.5799999984</v>
      </c>
      <c r="Q502" s="15">
        <f t="shared" si="89"/>
        <v>7469725</v>
      </c>
      <c r="R502" s="9">
        <f t="shared" si="90"/>
        <v>7991</v>
      </c>
      <c r="S502" s="9">
        <f t="shared" si="91"/>
        <v>7469725</v>
      </c>
      <c r="T502" s="15">
        <f t="shared" si="92"/>
        <v>16.686436250344954</v>
      </c>
      <c r="U502" s="15">
        <f>IF(O502="Exclude",0,G502*Fuel_Price!$B$2)</f>
        <v>1599.7824960000003</v>
      </c>
      <c r="V502" s="15">
        <f t="shared" si="93"/>
        <v>2989922.7577359979</v>
      </c>
    </row>
    <row r="503" spans="1:22">
      <c r="A503" s="1" t="s">
        <v>1274</v>
      </c>
      <c r="B503" s="1" t="s">
        <v>1275</v>
      </c>
      <c r="C503" s="1" t="s">
        <v>1276</v>
      </c>
      <c r="D503" s="1" t="s">
        <v>12</v>
      </c>
      <c r="E503" s="12">
        <v>6604</v>
      </c>
      <c r="F503" s="12" t="s">
        <v>13</v>
      </c>
      <c r="G503" s="6">
        <v>871.04</v>
      </c>
      <c r="H503" s="1">
        <v>34.47</v>
      </c>
      <c r="J503" t="str">
        <f t="shared" si="84"/>
        <v>OK</v>
      </c>
      <c r="K503" t="str">
        <f t="shared" si="85"/>
        <v>OK</v>
      </c>
      <c r="L503">
        <f t="shared" si="94"/>
        <v>12</v>
      </c>
      <c r="M503">
        <f t="shared" si="86"/>
        <v>10</v>
      </c>
      <c r="N503" s="9" t="str">
        <f t="shared" si="95"/>
        <v>Valid</v>
      </c>
      <c r="O503" t="str">
        <f t="shared" si="87"/>
        <v>Include</v>
      </c>
      <c r="P503" s="9">
        <f t="shared" si="88"/>
        <v>2035068.5799999984</v>
      </c>
      <c r="Q503" s="15">
        <f t="shared" si="89"/>
        <v>7469725</v>
      </c>
      <c r="R503" s="9">
        <f t="shared" si="90"/>
        <v>6604</v>
      </c>
      <c r="S503" s="9">
        <f t="shared" si="91"/>
        <v>7469725</v>
      </c>
      <c r="T503" s="15">
        <f t="shared" si="92"/>
        <v>16.686436250344954</v>
      </c>
      <c r="U503" s="15">
        <f>IF(O503="Exclude",0,G503*Fuel_Price!$B$2)</f>
        <v>1279.7319680000001</v>
      </c>
      <c r="V503" s="15">
        <f t="shared" si="93"/>
        <v>2989922.7577359979</v>
      </c>
    </row>
    <row r="504" spans="1:22">
      <c r="A504" s="1" t="s">
        <v>1277</v>
      </c>
      <c r="B504" s="1" t="s">
        <v>1278</v>
      </c>
      <c r="C504" s="1" t="s">
        <v>1102</v>
      </c>
      <c r="D504" s="1" t="s">
        <v>12</v>
      </c>
      <c r="E504" s="12">
        <v>8657</v>
      </c>
      <c r="F504" s="12" t="s">
        <v>13</v>
      </c>
      <c r="G504" s="6">
        <v>1306.78</v>
      </c>
      <c r="H504" s="1">
        <v>30.12</v>
      </c>
      <c r="J504" t="str">
        <f t="shared" si="84"/>
        <v>OK</v>
      </c>
      <c r="K504" t="str">
        <f t="shared" si="85"/>
        <v>OK</v>
      </c>
      <c r="L504">
        <f t="shared" si="94"/>
        <v>12</v>
      </c>
      <c r="M504">
        <f t="shared" si="86"/>
        <v>10</v>
      </c>
      <c r="N504" s="9" t="str">
        <f t="shared" si="95"/>
        <v>Valid</v>
      </c>
      <c r="O504" t="str">
        <f t="shared" si="87"/>
        <v>Include</v>
      </c>
      <c r="P504" s="9">
        <f t="shared" si="88"/>
        <v>2035068.5799999984</v>
      </c>
      <c r="Q504" s="15">
        <f t="shared" si="89"/>
        <v>7469725</v>
      </c>
      <c r="R504" s="9">
        <f t="shared" si="90"/>
        <v>8657</v>
      </c>
      <c r="S504" s="9">
        <f t="shared" si="91"/>
        <v>7469725</v>
      </c>
      <c r="T504" s="15">
        <f t="shared" si="92"/>
        <v>16.686436250344954</v>
      </c>
      <c r="U504" s="15">
        <f>IF(O504="Exclude",0,G504*Fuel_Price!$B$2)</f>
        <v>1919.9211760000001</v>
      </c>
      <c r="V504" s="15">
        <f t="shared" si="93"/>
        <v>2989922.7577359979</v>
      </c>
    </row>
    <row r="505" spans="1:22">
      <c r="A505" s="1" t="s">
        <v>1279</v>
      </c>
      <c r="B505" s="1" t="s">
        <v>1280</v>
      </c>
      <c r="C505" s="1" t="s">
        <v>937</v>
      </c>
      <c r="D505" s="1" t="s">
        <v>12</v>
      </c>
      <c r="E505" s="12">
        <v>12022</v>
      </c>
      <c r="F505" s="12" t="s">
        <v>13</v>
      </c>
      <c r="G505" s="6">
        <v>1866.91</v>
      </c>
      <c r="H505" s="1">
        <v>29.27</v>
      </c>
      <c r="J505" t="str">
        <f t="shared" si="84"/>
        <v>OK</v>
      </c>
      <c r="K505" t="str">
        <f t="shared" si="85"/>
        <v>OK</v>
      </c>
      <c r="L505">
        <f t="shared" si="94"/>
        <v>12</v>
      </c>
      <c r="M505">
        <f t="shared" si="86"/>
        <v>10</v>
      </c>
      <c r="N505" s="9" t="str">
        <f t="shared" si="95"/>
        <v>Valid</v>
      </c>
      <c r="O505" t="str">
        <f t="shared" si="87"/>
        <v>Include</v>
      </c>
      <c r="P505" s="9">
        <f t="shared" si="88"/>
        <v>2035068.5799999984</v>
      </c>
      <c r="Q505" s="15">
        <f t="shared" si="89"/>
        <v>7469725</v>
      </c>
      <c r="R505" s="9">
        <f t="shared" si="90"/>
        <v>12022</v>
      </c>
      <c r="S505" s="9">
        <f t="shared" si="91"/>
        <v>7469725</v>
      </c>
      <c r="T505" s="15">
        <f t="shared" si="92"/>
        <v>16.686436250344954</v>
      </c>
      <c r="U505" s="15">
        <f>IF(O505="Exclude",0,G505*Fuel_Price!$B$2)</f>
        <v>2742.8641720000001</v>
      </c>
      <c r="V505" s="15">
        <f t="shared" si="93"/>
        <v>2989922.7577359979</v>
      </c>
    </row>
    <row r="506" spans="1:22">
      <c r="A506" s="1" t="s">
        <v>1281</v>
      </c>
      <c r="B506" s="1" t="s">
        <v>1282</v>
      </c>
      <c r="C506" s="1" t="s">
        <v>937</v>
      </c>
      <c r="D506" s="1" t="s">
        <v>12</v>
      </c>
      <c r="E506" s="12">
        <v>3157</v>
      </c>
      <c r="F506" s="12" t="s">
        <v>13</v>
      </c>
      <c r="G506" s="6">
        <v>566.95000000000005</v>
      </c>
      <c r="H506" s="1">
        <v>25.31</v>
      </c>
      <c r="J506" t="str">
        <f t="shared" si="84"/>
        <v>OK</v>
      </c>
      <c r="K506" t="str">
        <f t="shared" si="85"/>
        <v>OK</v>
      </c>
      <c r="L506">
        <f t="shared" si="94"/>
        <v>12</v>
      </c>
      <c r="M506">
        <f t="shared" si="86"/>
        <v>10</v>
      </c>
      <c r="N506" s="9" t="str">
        <f t="shared" si="95"/>
        <v>Valid</v>
      </c>
      <c r="O506" t="str">
        <f t="shared" si="87"/>
        <v>Include</v>
      </c>
      <c r="P506" s="9">
        <f t="shared" si="88"/>
        <v>2035068.5799999984</v>
      </c>
      <c r="Q506" s="15">
        <f t="shared" si="89"/>
        <v>7469725</v>
      </c>
      <c r="R506" s="9">
        <f t="shared" si="90"/>
        <v>3157</v>
      </c>
      <c r="S506" s="9">
        <f t="shared" si="91"/>
        <v>7469725</v>
      </c>
      <c r="T506" s="15">
        <f t="shared" si="92"/>
        <v>16.686436250344954</v>
      </c>
      <c r="U506" s="15">
        <f>IF(O506="Exclude",0,G506*Fuel_Price!$B$2)</f>
        <v>832.96294000000012</v>
      </c>
      <c r="V506" s="15">
        <f t="shared" si="93"/>
        <v>2989922.7577359979</v>
      </c>
    </row>
    <row r="507" spans="1:22">
      <c r="A507" s="1" t="s">
        <v>1283</v>
      </c>
      <c r="B507" s="1" t="s">
        <v>1284</v>
      </c>
      <c r="C507" s="1" t="s">
        <v>1285</v>
      </c>
      <c r="D507" s="1" t="s">
        <v>12</v>
      </c>
      <c r="E507" s="12">
        <v>2558</v>
      </c>
      <c r="F507" s="12" t="s">
        <v>13</v>
      </c>
      <c r="G507" s="6">
        <v>603.79</v>
      </c>
      <c r="H507" s="1">
        <v>19.260000000000002</v>
      </c>
      <c r="J507" t="str">
        <f t="shared" si="84"/>
        <v>OK</v>
      </c>
      <c r="K507" t="str">
        <f t="shared" si="85"/>
        <v>OK</v>
      </c>
      <c r="L507">
        <f t="shared" si="94"/>
        <v>12</v>
      </c>
      <c r="M507">
        <f t="shared" si="86"/>
        <v>10</v>
      </c>
      <c r="N507" s="9" t="str">
        <f t="shared" si="95"/>
        <v>Valid</v>
      </c>
      <c r="O507" t="str">
        <f t="shared" si="87"/>
        <v>Include</v>
      </c>
      <c r="P507" s="9">
        <f t="shared" si="88"/>
        <v>2035068.5799999984</v>
      </c>
      <c r="Q507" s="15">
        <f t="shared" si="89"/>
        <v>7469725</v>
      </c>
      <c r="R507" s="9">
        <f t="shared" si="90"/>
        <v>2558</v>
      </c>
      <c r="S507" s="9">
        <f t="shared" si="91"/>
        <v>7469725</v>
      </c>
      <c r="T507" s="15">
        <f t="shared" si="92"/>
        <v>16.686436250344954</v>
      </c>
      <c r="U507" s="15">
        <f>IF(O507="Exclude",0,G507*Fuel_Price!$B$2)</f>
        <v>887.08826799999997</v>
      </c>
      <c r="V507" s="15">
        <f t="shared" si="93"/>
        <v>2989922.7577359979</v>
      </c>
    </row>
    <row r="508" spans="1:22">
      <c r="A508" s="1" t="s">
        <v>1286</v>
      </c>
      <c r="B508" s="1" t="s">
        <v>1287</v>
      </c>
      <c r="C508" s="1" t="s">
        <v>1285</v>
      </c>
      <c r="D508" s="1" t="s">
        <v>12</v>
      </c>
      <c r="E508" s="12">
        <v>6780</v>
      </c>
      <c r="F508" s="12" t="s">
        <v>13</v>
      </c>
      <c r="G508" s="6">
        <v>1227.53</v>
      </c>
      <c r="H508" s="1">
        <v>25.11</v>
      </c>
      <c r="J508" t="str">
        <f t="shared" si="84"/>
        <v>OK</v>
      </c>
      <c r="K508" t="str">
        <f t="shared" si="85"/>
        <v>OK</v>
      </c>
      <c r="L508">
        <f t="shared" si="94"/>
        <v>12</v>
      </c>
      <c r="M508">
        <f t="shared" si="86"/>
        <v>10</v>
      </c>
      <c r="N508" s="9" t="str">
        <f t="shared" si="95"/>
        <v>Valid</v>
      </c>
      <c r="O508" t="str">
        <f t="shared" si="87"/>
        <v>Include</v>
      </c>
      <c r="P508" s="9">
        <f t="shared" si="88"/>
        <v>2035068.5799999984</v>
      </c>
      <c r="Q508" s="15">
        <f t="shared" si="89"/>
        <v>7469725</v>
      </c>
      <c r="R508" s="9">
        <f t="shared" si="90"/>
        <v>6780</v>
      </c>
      <c r="S508" s="9">
        <f t="shared" si="91"/>
        <v>7469725</v>
      </c>
      <c r="T508" s="15">
        <f t="shared" si="92"/>
        <v>16.686436250344954</v>
      </c>
      <c r="U508" s="15">
        <f>IF(O508="Exclude",0,G508*Fuel_Price!$B$2)</f>
        <v>1803.4870760000001</v>
      </c>
      <c r="V508" s="15">
        <f t="shared" si="93"/>
        <v>2989922.7577359979</v>
      </c>
    </row>
    <row r="509" spans="1:22">
      <c r="A509" s="1" t="s">
        <v>1288</v>
      </c>
      <c r="B509" s="1" t="s">
        <v>1289</v>
      </c>
      <c r="C509" s="1" t="s">
        <v>1285</v>
      </c>
      <c r="D509" s="1" t="s">
        <v>12</v>
      </c>
      <c r="E509" s="12">
        <v>3796</v>
      </c>
      <c r="F509" s="12" t="s">
        <v>13</v>
      </c>
      <c r="G509" s="6">
        <v>653.46</v>
      </c>
      <c r="H509" s="1">
        <v>26.41</v>
      </c>
      <c r="J509" t="str">
        <f t="shared" si="84"/>
        <v>OK</v>
      </c>
      <c r="K509" t="str">
        <f t="shared" si="85"/>
        <v>OK</v>
      </c>
      <c r="L509">
        <f t="shared" si="94"/>
        <v>12</v>
      </c>
      <c r="M509">
        <f t="shared" si="86"/>
        <v>10</v>
      </c>
      <c r="N509" s="9" t="str">
        <f t="shared" si="95"/>
        <v>Valid</v>
      </c>
      <c r="O509" t="str">
        <f t="shared" si="87"/>
        <v>Include</v>
      </c>
      <c r="P509" s="9">
        <f t="shared" si="88"/>
        <v>2035068.5799999984</v>
      </c>
      <c r="Q509" s="15">
        <f t="shared" si="89"/>
        <v>7469725</v>
      </c>
      <c r="R509" s="9">
        <f t="shared" si="90"/>
        <v>3796</v>
      </c>
      <c r="S509" s="9">
        <f t="shared" si="91"/>
        <v>7469725</v>
      </c>
      <c r="T509" s="15">
        <f t="shared" si="92"/>
        <v>16.686436250344954</v>
      </c>
      <c r="U509" s="15">
        <f>IF(O509="Exclude",0,G509*Fuel_Price!$B$2)</f>
        <v>960.06343200000015</v>
      </c>
      <c r="V509" s="15">
        <f t="shared" si="93"/>
        <v>2989922.7577359979</v>
      </c>
    </row>
    <row r="510" spans="1:22">
      <c r="A510" s="1" t="s">
        <v>1290</v>
      </c>
      <c r="B510" s="1" t="s">
        <v>1291</v>
      </c>
      <c r="C510" s="1" t="s">
        <v>1285</v>
      </c>
      <c r="D510" s="1" t="s">
        <v>12</v>
      </c>
      <c r="E510" s="12">
        <v>5010</v>
      </c>
      <c r="F510" s="12" t="s">
        <v>13</v>
      </c>
      <c r="G510" s="6">
        <v>767.59</v>
      </c>
      <c r="H510" s="1">
        <v>29.67</v>
      </c>
      <c r="J510" t="str">
        <f t="shared" si="84"/>
        <v>OK</v>
      </c>
      <c r="K510" t="str">
        <f t="shared" si="85"/>
        <v>OK</v>
      </c>
      <c r="L510">
        <f t="shared" si="94"/>
        <v>12</v>
      </c>
      <c r="M510">
        <f t="shared" si="86"/>
        <v>10</v>
      </c>
      <c r="N510" s="9" t="str">
        <f t="shared" si="95"/>
        <v>Valid</v>
      </c>
      <c r="O510" t="str">
        <f t="shared" si="87"/>
        <v>Include</v>
      </c>
      <c r="P510" s="9">
        <f t="shared" si="88"/>
        <v>2035068.5799999984</v>
      </c>
      <c r="Q510" s="15">
        <f t="shared" si="89"/>
        <v>7469725</v>
      </c>
      <c r="R510" s="9">
        <f t="shared" si="90"/>
        <v>5010</v>
      </c>
      <c r="S510" s="9">
        <f t="shared" si="91"/>
        <v>7469725</v>
      </c>
      <c r="T510" s="15">
        <f t="shared" si="92"/>
        <v>16.686436250344954</v>
      </c>
      <c r="U510" s="15">
        <f>IF(O510="Exclude",0,G510*Fuel_Price!$B$2)</f>
        <v>1127.743228</v>
      </c>
      <c r="V510" s="15">
        <f t="shared" si="93"/>
        <v>2989922.7577359979</v>
      </c>
    </row>
    <row r="511" spans="1:22">
      <c r="A511" s="1" t="s">
        <v>1292</v>
      </c>
      <c r="B511" s="1" t="s">
        <v>1293</v>
      </c>
      <c r="C511" s="1" t="s">
        <v>1285</v>
      </c>
      <c r="D511" s="1" t="s">
        <v>12</v>
      </c>
      <c r="E511" s="12">
        <v>4941</v>
      </c>
      <c r="F511" s="12" t="s">
        <v>13</v>
      </c>
      <c r="G511" s="6">
        <v>829.31</v>
      </c>
      <c r="H511" s="1">
        <v>27.09</v>
      </c>
      <c r="J511" t="str">
        <f t="shared" si="84"/>
        <v>OK</v>
      </c>
      <c r="K511" t="str">
        <f t="shared" si="85"/>
        <v>OK</v>
      </c>
      <c r="L511">
        <f t="shared" si="94"/>
        <v>12</v>
      </c>
      <c r="M511">
        <f t="shared" si="86"/>
        <v>10</v>
      </c>
      <c r="N511" s="9" t="str">
        <f t="shared" si="95"/>
        <v>Valid</v>
      </c>
      <c r="O511" t="str">
        <f t="shared" si="87"/>
        <v>Include</v>
      </c>
      <c r="P511" s="9">
        <f t="shared" si="88"/>
        <v>2035068.5799999984</v>
      </c>
      <c r="Q511" s="15">
        <f t="shared" si="89"/>
        <v>7469725</v>
      </c>
      <c r="R511" s="9">
        <f t="shared" si="90"/>
        <v>4941</v>
      </c>
      <c r="S511" s="9">
        <f t="shared" si="91"/>
        <v>7469725</v>
      </c>
      <c r="T511" s="15">
        <f t="shared" si="92"/>
        <v>16.686436250344954</v>
      </c>
      <c r="U511" s="15">
        <f>IF(O511="Exclude",0,G511*Fuel_Price!$B$2)</f>
        <v>1218.4222520000001</v>
      </c>
      <c r="V511" s="15">
        <f t="shared" si="93"/>
        <v>2989922.7577359979</v>
      </c>
    </row>
    <row r="512" spans="1:22">
      <c r="A512" s="1" t="s">
        <v>1294</v>
      </c>
      <c r="B512" s="1" t="s">
        <v>1295</v>
      </c>
      <c r="C512" s="1" t="s">
        <v>1296</v>
      </c>
      <c r="D512" s="1" t="s">
        <v>12</v>
      </c>
      <c r="E512" s="12">
        <v>2542</v>
      </c>
      <c r="F512" s="12" t="s">
        <v>13</v>
      </c>
      <c r="G512" s="6">
        <v>495.86</v>
      </c>
      <c r="H512" s="1">
        <v>23.31</v>
      </c>
      <c r="J512" t="str">
        <f t="shared" si="84"/>
        <v>OK</v>
      </c>
      <c r="K512" t="str">
        <f t="shared" si="85"/>
        <v>OK</v>
      </c>
      <c r="L512">
        <f t="shared" si="94"/>
        <v>12</v>
      </c>
      <c r="M512">
        <f t="shared" si="86"/>
        <v>10</v>
      </c>
      <c r="N512" s="9" t="str">
        <f t="shared" si="95"/>
        <v>Valid</v>
      </c>
      <c r="O512" t="str">
        <f t="shared" si="87"/>
        <v>Include</v>
      </c>
      <c r="P512" s="9">
        <f t="shared" si="88"/>
        <v>2035068.5799999984</v>
      </c>
      <c r="Q512" s="15">
        <f t="shared" si="89"/>
        <v>7469725</v>
      </c>
      <c r="R512" s="9">
        <f t="shared" si="90"/>
        <v>2542</v>
      </c>
      <c r="S512" s="9">
        <f t="shared" si="91"/>
        <v>7469725</v>
      </c>
      <c r="T512" s="15">
        <f t="shared" si="92"/>
        <v>16.686436250344954</v>
      </c>
      <c r="U512" s="15">
        <f>IF(O512="Exclude",0,G512*Fuel_Price!$B$2)</f>
        <v>728.51751200000001</v>
      </c>
      <c r="V512" s="15">
        <f t="shared" si="93"/>
        <v>2989922.7577359979</v>
      </c>
    </row>
    <row r="513" spans="1:22">
      <c r="A513" s="1" t="s">
        <v>1297</v>
      </c>
      <c r="B513" s="1" t="s">
        <v>1298</v>
      </c>
      <c r="C513" s="1" t="s">
        <v>1285</v>
      </c>
      <c r="D513" s="1" t="s">
        <v>12</v>
      </c>
      <c r="E513" s="12">
        <v>7818</v>
      </c>
      <c r="F513" s="12" t="s">
        <v>13</v>
      </c>
      <c r="G513" s="6">
        <v>1010.89</v>
      </c>
      <c r="H513" s="1">
        <v>35.159999999999997</v>
      </c>
      <c r="J513" t="str">
        <f t="shared" si="84"/>
        <v>OK</v>
      </c>
      <c r="K513" t="str">
        <f t="shared" si="85"/>
        <v>OK</v>
      </c>
      <c r="L513">
        <f t="shared" si="94"/>
        <v>12</v>
      </c>
      <c r="M513">
        <f t="shared" si="86"/>
        <v>10</v>
      </c>
      <c r="N513" s="9" t="str">
        <f t="shared" si="95"/>
        <v>Valid</v>
      </c>
      <c r="O513" t="str">
        <f t="shared" si="87"/>
        <v>Include</v>
      </c>
      <c r="P513" s="9">
        <f t="shared" si="88"/>
        <v>2035068.5799999984</v>
      </c>
      <c r="Q513" s="15">
        <f t="shared" si="89"/>
        <v>7469725</v>
      </c>
      <c r="R513" s="9">
        <f t="shared" si="90"/>
        <v>7818</v>
      </c>
      <c r="S513" s="9">
        <f t="shared" si="91"/>
        <v>7469725</v>
      </c>
      <c r="T513" s="15">
        <f t="shared" si="92"/>
        <v>16.686436250344954</v>
      </c>
      <c r="U513" s="15">
        <f>IF(O513="Exclude",0,G513*Fuel_Price!$B$2)</f>
        <v>1485.1995879999999</v>
      </c>
      <c r="V513" s="15">
        <f t="shared" si="93"/>
        <v>2989922.7577359979</v>
      </c>
    </row>
    <row r="514" spans="1:22">
      <c r="A514" s="1" t="s">
        <v>1299</v>
      </c>
      <c r="B514" s="1" t="s">
        <v>1300</v>
      </c>
      <c r="C514" s="1" t="s">
        <v>1285</v>
      </c>
      <c r="D514" s="1" t="s">
        <v>12</v>
      </c>
      <c r="E514" s="12">
        <v>5822</v>
      </c>
      <c r="F514" s="12" t="s">
        <v>13</v>
      </c>
      <c r="G514" s="6">
        <v>1154.95</v>
      </c>
      <c r="H514" s="1">
        <v>22.92</v>
      </c>
      <c r="J514" t="str">
        <f t="shared" ref="J514:J577" si="96">IF(OR(H514&lt;=0,H514&gt;100),"Check","OK")</f>
        <v>OK</v>
      </c>
      <c r="K514" t="str">
        <f t="shared" ref="K514:K577" si="97">IF(E514&lt;0,"Check","OK")</f>
        <v>OK</v>
      </c>
      <c r="L514">
        <f t="shared" si="94"/>
        <v>12</v>
      </c>
      <c r="M514">
        <f t="shared" ref="M514:M577" si="98">COUNTIF(K:K,"Check")</f>
        <v>10</v>
      </c>
      <c r="N514" s="9" t="str">
        <f t="shared" si="95"/>
        <v>Valid</v>
      </c>
      <c r="O514" t="str">
        <f t="shared" ref="O514:O577" si="99">IF(N514="Review","Exclude","Include")</f>
        <v>Include</v>
      </c>
      <c r="P514" s="9">
        <f t="shared" ref="P514:P577" si="100">SUMIF(O:O,"Include",G:G)</f>
        <v>2035068.5799999984</v>
      </c>
      <c r="Q514" s="15">
        <f t="shared" ref="Q514:Q577" si="101">SUMIF(O:O,"Include",E:E)</f>
        <v>7469725</v>
      </c>
      <c r="R514" s="9">
        <f t="shared" ref="R514:R577" si="102">IF(O514="Exclude",0,E514)</f>
        <v>5822</v>
      </c>
      <c r="S514" s="9">
        <f t="shared" ref="S514:S577" si="103">SUM(R:R)</f>
        <v>7469725</v>
      </c>
      <c r="T514" s="15">
        <f t="shared" ref="T514:T577" si="104">S514/(P514/4.54609)</f>
        <v>16.686436250344954</v>
      </c>
      <c r="U514" s="15">
        <f>IF(O514="Exclude",0,G514*Fuel_Price!$B$2)</f>
        <v>1696.8525400000001</v>
      </c>
      <c r="V514" s="15">
        <f t="shared" ref="V514:V577" si="105">SUM(U:U)</f>
        <v>2989922.7577359979</v>
      </c>
    </row>
    <row r="515" spans="1:22">
      <c r="A515" s="1" t="s">
        <v>1301</v>
      </c>
      <c r="B515" s="1" t="s">
        <v>1302</v>
      </c>
      <c r="C515" s="1" t="s">
        <v>1285</v>
      </c>
      <c r="D515" s="1" t="s">
        <v>12</v>
      </c>
      <c r="E515" s="12">
        <v>15093</v>
      </c>
      <c r="F515" s="12" t="s">
        <v>13</v>
      </c>
      <c r="G515" s="6">
        <v>2036.48</v>
      </c>
      <c r="H515" s="1">
        <v>33.69</v>
      </c>
      <c r="J515" t="str">
        <f t="shared" si="96"/>
        <v>OK</v>
      </c>
      <c r="K515" t="str">
        <f t="shared" si="97"/>
        <v>OK</v>
      </c>
      <c r="L515">
        <f t="shared" ref="L515:L578" si="106">COUNTIF(J:J,"Check")</f>
        <v>12</v>
      </c>
      <c r="M515">
        <f t="shared" si="98"/>
        <v>10</v>
      </c>
      <c r="N515" s="9" t="str">
        <f t="shared" si="95"/>
        <v>Valid</v>
      </c>
      <c r="O515" t="str">
        <f t="shared" si="99"/>
        <v>Include</v>
      </c>
      <c r="P515" s="9">
        <f t="shared" si="100"/>
        <v>2035068.5799999984</v>
      </c>
      <c r="Q515" s="15">
        <f t="shared" si="101"/>
        <v>7469725</v>
      </c>
      <c r="R515" s="9">
        <f t="shared" si="102"/>
        <v>15093</v>
      </c>
      <c r="S515" s="9">
        <f t="shared" si="103"/>
        <v>7469725</v>
      </c>
      <c r="T515" s="15">
        <f t="shared" si="104"/>
        <v>16.686436250344954</v>
      </c>
      <c r="U515" s="15">
        <f>IF(O515="Exclude",0,G515*Fuel_Price!$B$2)</f>
        <v>2991.996416</v>
      </c>
      <c r="V515" s="15">
        <f t="shared" si="105"/>
        <v>2989922.7577359979</v>
      </c>
    </row>
    <row r="516" spans="1:22">
      <c r="A516" s="1" t="s">
        <v>1303</v>
      </c>
      <c r="B516" s="1" t="s">
        <v>1304</v>
      </c>
      <c r="C516" s="1" t="s">
        <v>1285</v>
      </c>
      <c r="D516" s="1" t="s">
        <v>12</v>
      </c>
      <c r="E516" s="12">
        <v>9151</v>
      </c>
      <c r="F516" s="12" t="s">
        <v>13</v>
      </c>
      <c r="G516" s="6">
        <v>1533.02</v>
      </c>
      <c r="H516" s="1">
        <v>27.14</v>
      </c>
      <c r="J516" t="str">
        <f t="shared" si="96"/>
        <v>OK</v>
      </c>
      <c r="K516" t="str">
        <f t="shared" si="97"/>
        <v>OK</v>
      </c>
      <c r="L516">
        <f t="shared" si="106"/>
        <v>12</v>
      </c>
      <c r="M516">
        <f t="shared" si="98"/>
        <v>10</v>
      </c>
      <c r="N516" s="9" t="str">
        <f t="shared" si="95"/>
        <v>Valid</v>
      </c>
      <c r="O516" t="str">
        <f t="shared" si="99"/>
        <v>Include</v>
      </c>
      <c r="P516" s="9">
        <f t="shared" si="100"/>
        <v>2035068.5799999984</v>
      </c>
      <c r="Q516" s="15">
        <f t="shared" si="101"/>
        <v>7469725</v>
      </c>
      <c r="R516" s="9">
        <f t="shared" si="102"/>
        <v>9151</v>
      </c>
      <c r="S516" s="9">
        <f t="shared" si="103"/>
        <v>7469725</v>
      </c>
      <c r="T516" s="15">
        <f t="shared" si="104"/>
        <v>16.686436250344954</v>
      </c>
      <c r="U516" s="15">
        <f>IF(O516="Exclude",0,G516*Fuel_Price!$B$2)</f>
        <v>2252.3129840000001</v>
      </c>
      <c r="V516" s="15">
        <f t="shared" si="105"/>
        <v>2989922.7577359979</v>
      </c>
    </row>
    <row r="517" spans="1:22">
      <c r="A517" s="1" t="s">
        <v>1305</v>
      </c>
      <c r="B517" s="1" t="s">
        <v>1306</v>
      </c>
      <c r="C517" s="1" t="s">
        <v>1285</v>
      </c>
      <c r="D517" s="1" t="s">
        <v>12</v>
      </c>
      <c r="E517" s="12">
        <v>5000</v>
      </c>
      <c r="F517" s="12" t="s">
        <v>13</v>
      </c>
      <c r="G517" s="6">
        <v>1088.8</v>
      </c>
      <c r="H517" s="1">
        <v>20.88</v>
      </c>
      <c r="J517" t="str">
        <f t="shared" si="96"/>
        <v>OK</v>
      </c>
      <c r="K517" t="str">
        <f t="shared" si="97"/>
        <v>OK</v>
      </c>
      <c r="L517">
        <f t="shared" si="106"/>
        <v>12</v>
      </c>
      <c r="M517">
        <f t="shared" si="98"/>
        <v>10</v>
      </c>
      <c r="N517" s="9" t="str">
        <f t="shared" si="95"/>
        <v>Valid</v>
      </c>
      <c r="O517" t="str">
        <f t="shared" si="99"/>
        <v>Include</v>
      </c>
      <c r="P517" s="9">
        <f t="shared" si="100"/>
        <v>2035068.5799999984</v>
      </c>
      <c r="Q517" s="15">
        <f t="shared" si="101"/>
        <v>7469725</v>
      </c>
      <c r="R517" s="9">
        <f t="shared" si="102"/>
        <v>5000</v>
      </c>
      <c r="S517" s="9">
        <f t="shared" si="103"/>
        <v>7469725</v>
      </c>
      <c r="T517" s="15">
        <f t="shared" si="104"/>
        <v>16.686436250344954</v>
      </c>
      <c r="U517" s="15">
        <f>IF(O517="Exclude",0,G517*Fuel_Price!$B$2)</f>
        <v>1599.6649600000001</v>
      </c>
      <c r="V517" s="15">
        <f t="shared" si="105"/>
        <v>2989922.7577359979</v>
      </c>
    </row>
    <row r="518" spans="1:22">
      <c r="A518" s="1" t="s">
        <v>1307</v>
      </c>
      <c r="B518" s="1" t="s">
        <v>1308</v>
      </c>
      <c r="C518" s="1" t="s">
        <v>1285</v>
      </c>
      <c r="D518" s="1" t="s">
        <v>12</v>
      </c>
      <c r="E518" s="12">
        <v>8548</v>
      </c>
      <c r="F518" s="12" t="s">
        <v>13</v>
      </c>
      <c r="G518" s="6">
        <v>1261.52</v>
      </c>
      <c r="H518" s="1">
        <v>30.8</v>
      </c>
      <c r="J518" t="str">
        <f t="shared" si="96"/>
        <v>OK</v>
      </c>
      <c r="K518" t="str">
        <f t="shared" si="97"/>
        <v>OK</v>
      </c>
      <c r="L518">
        <f t="shared" si="106"/>
        <v>12</v>
      </c>
      <c r="M518">
        <f t="shared" si="98"/>
        <v>10</v>
      </c>
      <c r="N518" s="9" t="str">
        <f t="shared" si="95"/>
        <v>Valid</v>
      </c>
      <c r="O518" t="str">
        <f t="shared" si="99"/>
        <v>Include</v>
      </c>
      <c r="P518" s="9">
        <f t="shared" si="100"/>
        <v>2035068.5799999984</v>
      </c>
      <c r="Q518" s="15">
        <f t="shared" si="101"/>
        <v>7469725</v>
      </c>
      <c r="R518" s="9">
        <f t="shared" si="102"/>
        <v>8548</v>
      </c>
      <c r="S518" s="9">
        <f t="shared" si="103"/>
        <v>7469725</v>
      </c>
      <c r="T518" s="15">
        <f t="shared" si="104"/>
        <v>16.686436250344954</v>
      </c>
      <c r="U518" s="15">
        <f>IF(O518="Exclude",0,G518*Fuel_Price!$B$2)</f>
        <v>1853.4251839999999</v>
      </c>
      <c r="V518" s="15">
        <f t="shared" si="105"/>
        <v>2989922.7577359979</v>
      </c>
    </row>
    <row r="519" spans="1:22">
      <c r="A519" s="1" t="s">
        <v>1309</v>
      </c>
      <c r="B519" s="1" t="s">
        <v>1310</v>
      </c>
      <c r="C519" s="1" t="s">
        <v>1285</v>
      </c>
      <c r="D519" s="1" t="s">
        <v>12</v>
      </c>
      <c r="E519" s="12">
        <v>5048</v>
      </c>
      <c r="F519" s="12" t="s">
        <v>13</v>
      </c>
      <c r="G519" s="6">
        <v>948.26</v>
      </c>
      <c r="H519" s="1">
        <v>24.2</v>
      </c>
      <c r="J519" t="str">
        <f t="shared" si="96"/>
        <v>OK</v>
      </c>
      <c r="K519" t="str">
        <f t="shared" si="97"/>
        <v>OK</v>
      </c>
      <c r="L519">
        <f t="shared" si="106"/>
        <v>12</v>
      </c>
      <c r="M519">
        <f t="shared" si="98"/>
        <v>10</v>
      </c>
      <c r="N519" s="9" t="str">
        <f t="shared" ref="N519:N582" si="107">IF(OR(H519&lt;=0,H519&gt;100,E519&lt;0),"Review","Valid")</f>
        <v>Valid</v>
      </c>
      <c r="O519" t="str">
        <f t="shared" si="99"/>
        <v>Include</v>
      </c>
      <c r="P519" s="9">
        <f t="shared" si="100"/>
        <v>2035068.5799999984</v>
      </c>
      <c r="Q519" s="15">
        <f t="shared" si="101"/>
        <v>7469725</v>
      </c>
      <c r="R519" s="9">
        <f t="shared" si="102"/>
        <v>5048</v>
      </c>
      <c r="S519" s="9">
        <f t="shared" si="103"/>
        <v>7469725</v>
      </c>
      <c r="T519" s="15">
        <f t="shared" si="104"/>
        <v>16.686436250344954</v>
      </c>
      <c r="U519" s="15">
        <f>IF(O519="Exclude",0,G519*Fuel_Price!$B$2)</f>
        <v>1393.1835920000001</v>
      </c>
      <c r="V519" s="15">
        <f t="shared" si="105"/>
        <v>2989922.7577359979</v>
      </c>
    </row>
    <row r="520" spans="1:22">
      <c r="A520" s="1" t="s">
        <v>1311</v>
      </c>
      <c r="B520" s="1" t="s">
        <v>1312</v>
      </c>
      <c r="C520" s="1" t="s">
        <v>1285</v>
      </c>
      <c r="D520" s="1" t="s">
        <v>12</v>
      </c>
      <c r="E520" s="12">
        <v>11509</v>
      </c>
      <c r="F520" s="12" t="s">
        <v>13</v>
      </c>
      <c r="G520" s="6">
        <v>1602.94</v>
      </c>
      <c r="H520" s="1">
        <v>32.64</v>
      </c>
      <c r="J520" t="str">
        <f t="shared" si="96"/>
        <v>OK</v>
      </c>
      <c r="K520" t="str">
        <f t="shared" si="97"/>
        <v>OK</v>
      </c>
      <c r="L520">
        <f t="shared" si="106"/>
        <v>12</v>
      </c>
      <c r="M520">
        <f t="shared" si="98"/>
        <v>10</v>
      </c>
      <c r="N520" s="9" t="str">
        <f t="shared" si="107"/>
        <v>Valid</v>
      </c>
      <c r="O520" t="str">
        <f t="shared" si="99"/>
        <v>Include</v>
      </c>
      <c r="P520" s="9">
        <f t="shared" si="100"/>
        <v>2035068.5799999984</v>
      </c>
      <c r="Q520" s="15">
        <f t="shared" si="101"/>
        <v>7469725</v>
      </c>
      <c r="R520" s="9">
        <f t="shared" si="102"/>
        <v>11509</v>
      </c>
      <c r="S520" s="9">
        <f t="shared" si="103"/>
        <v>7469725</v>
      </c>
      <c r="T520" s="15">
        <f t="shared" si="104"/>
        <v>16.686436250344954</v>
      </c>
      <c r="U520" s="15">
        <f>IF(O520="Exclude",0,G520*Fuel_Price!$B$2)</f>
        <v>2355.039448</v>
      </c>
      <c r="V520" s="15">
        <f t="shared" si="105"/>
        <v>2989922.7577359979</v>
      </c>
    </row>
    <row r="521" spans="1:22">
      <c r="A521" s="1" t="s">
        <v>1315</v>
      </c>
      <c r="B521" s="1" t="s">
        <v>1316</v>
      </c>
      <c r="C521" s="1" t="s">
        <v>1285</v>
      </c>
      <c r="D521" s="1" t="s">
        <v>12</v>
      </c>
      <c r="E521" s="12">
        <v>10044</v>
      </c>
      <c r="F521" s="12" t="s">
        <v>13</v>
      </c>
      <c r="G521" s="6">
        <v>1625.58</v>
      </c>
      <c r="H521" s="1">
        <v>28.09</v>
      </c>
      <c r="J521" t="str">
        <f t="shared" si="96"/>
        <v>OK</v>
      </c>
      <c r="K521" t="str">
        <f t="shared" si="97"/>
        <v>OK</v>
      </c>
      <c r="L521">
        <f t="shared" si="106"/>
        <v>12</v>
      </c>
      <c r="M521">
        <f t="shared" si="98"/>
        <v>10</v>
      </c>
      <c r="N521" s="9" t="str">
        <f t="shared" si="107"/>
        <v>Valid</v>
      </c>
      <c r="O521" t="str">
        <f t="shared" si="99"/>
        <v>Include</v>
      </c>
      <c r="P521" s="9">
        <f t="shared" si="100"/>
        <v>2035068.5799999984</v>
      </c>
      <c r="Q521" s="15">
        <f t="shared" si="101"/>
        <v>7469725</v>
      </c>
      <c r="R521" s="9">
        <f t="shared" si="102"/>
        <v>10044</v>
      </c>
      <c r="S521" s="9">
        <f t="shared" si="103"/>
        <v>7469725</v>
      </c>
      <c r="T521" s="15">
        <f t="shared" si="104"/>
        <v>16.686436250344954</v>
      </c>
      <c r="U521" s="15">
        <f>IF(O521="Exclude",0,G521*Fuel_Price!$B$2)</f>
        <v>2388.3021359999998</v>
      </c>
      <c r="V521" s="15">
        <f t="shared" si="105"/>
        <v>2989922.7577359979</v>
      </c>
    </row>
    <row r="522" spans="1:22">
      <c r="A522" s="1" t="s">
        <v>1317</v>
      </c>
      <c r="B522" s="1" t="s">
        <v>1318</v>
      </c>
      <c r="C522" s="1" t="s">
        <v>937</v>
      </c>
      <c r="D522" s="1" t="s">
        <v>12</v>
      </c>
      <c r="E522" s="12">
        <v>8037</v>
      </c>
      <c r="F522" s="12" t="s">
        <v>13</v>
      </c>
      <c r="G522" s="6">
        <v>1401.12</v>
      </c>
      <c r="H522" s="1">
        <v>26.08</v>
      </c>
      <c r="J522" t="str">
        <f t="shared" si="96"/>
        <v>OK</v>
      </c>
      <c r="K522" t="str">
        <f t="shared" si="97"/>
        <v>OK</v>
      </c>
      <c r="L522">
        <f t="shared" si="106"/>
        <v>12</v>
      </c>
      <c r="M522">
        <f t="shared" si="98"/>
        <v>10</v>
      </c>
      <c r="N522" s="9" t="str">
        <f t="shared" si="107"/>
        <v>Valid</v>
      </c>
      <c r="O522" t="str">
        <f t="shared" si="99"/>
        <v>Include</v>
      </c>
      <c r="P522" s="9">
        <f t="shared" si="100"/>
        <v>2035068.5799999984</v>
      </c>
      <c r="Q522" s="15">
        <f t="shared" si="101"/>
        <v>7469725</v>
      </c>
      <c r="R522" s="9">
        <f t="shared" si="102"/>
        <v>8037</v>
      </c>
      <c r="S522" s="9">
        <f t="shared" si="103"/>
        <v>7469725</v>
      </c>
      <c r="T522" s="15">
        <f t="shared" si="104"/>
        <v>16.686436250344954</v>
      </c>
      <c r="U522" s="15">
        <f>IF(O522="Exclude",0,G522*Fuel_Price!$B$2)</f>
        <v>2058.5255039999997</v>
      </c>
      <c r="V522" s="15">
        <f t="shared" si="105"/>
        <v>2989922.7577359979</v>
      </c>
    </row>
    <row r="523" spans="1:22">
      <c r="A523" s="1" t="s">
        <v>1319</v>
      </c>
      <c r="B523" s="1" t="s">
        <v>1320</v>
      </c>
      <c r="C523" s="1" t="s">
        <v>1285</v>
      </c>
      <c r="D523" s="1" t="s">
        <v>12</v>
      </c>
      <c r="E523" s="12">
        <v>9078</v>
      </c>
      <c r="F523" s="12" t="s">
        <v>13</v>
      </c>
      <c r="G523" s="6">
        <v>1507.35</v>
      </c>
      <c r="H523" s="1">
        <v>27.38</v>
      </c>
      <c r="J523" t="str">
        <f t="shared" si="96"/>
        <v>OK</v>
      </c>
      <c r="K523" t="str">
        <f t="shared" si="97"/>
        <v>OK</v>
      </c>
      <c r="L523">
        <f t="shared" si="106"/>
        <v>12</v>
      </c>
      <c r="M523">
        <f t="shared" si="98"/>
        <v>10</v>
      </c>
      <c r="N523" s="9" t="str">
        <f t="shared" si="107"/>
        <v>Valid</v>
      </c>
      <c r="O523" t="str">
        <f t="shared" si="99"/>
        <v>Include</v>
      </c>
      <c r="P523" s="9">
        <f t="shared" si="100"/>
        <v>2035068.5799999984</v>
      </c>
      <c r="Q523" s="15">
        <f t="shared" si="101"/>
        <v>7469725</v>
      </c>
      <c r="R523" s="9">
        <f t="shared" si="102"/>
        <v>9078</v>
      </c>
      <c r="S523" s="9">
        <f t="shared" si="103"/>
        <v>7469725</v>
      </c>
      <c r="T523" s="15">
        <f t="shared" si="104"/>
        <v>16.686436250344954</v>
      </c>
      <c r="U523" s="15">
        <f>IF(O523="Exclude",0,G523*Fuel_Price!$B$2)</f>
        <v>2214.5986199999998</v>
      </c>
      <c r="V523" s="15">
        <f t="shared" si="105"/>
        <v>2989922.7577359979</v>
      </c>
    </row>
    <row r="524" spans="1:22">
      <c r="A524" s="1" t="s">
        <v>1321</v>
      </c>
      <c r="B524" s="1" t="s">
        <v>1322</v>
      </c>
      <c r="C524" s="1" t="s">
        <v>1285</v>
      </c>
      <c r="D524" s="1" t="s">
        <v>12</v>
      </c>
      <c r="E524" s="12">
        <v>13540</v>
      </c>
      <c r="F524" s="12" t="s">
        <v>13</v>
      </c>
      <c r="G524" s="6">
        <v>1718.67</v>
      </c>
      <c r="H524" s="1">
        <v>35.81</v>
      </c>
      <c r="J524" t="str">
        <f t="shared" si="96"/>
        <v>OK</v>
      </c>
      <c r="K524" t="str">
        <f t="shared" si="97"/>
        <v>OK</v>
      </c>
      <c r="L524">
        <f t="shared" si="106"/>
        <v>12</v>
      </c>
      <c r="M524">
        <f t="shared" si="98"/>
        <v>10</v>
      </c>
      <c r="N524" s="9" t="str">
        <f t="shared" si="107"/>
        <v>Valid</v>
      </c>
      <c r="O524" t="str">
        <f t="shared" si="99"/>
        <v>Include</v>
      </c>
      <c r="P524" s="9">
        <f t="shared" si="100"/>
        <v>2035068.5799999984</v>
      </c>
      <c r="Q524" s="15">
        <f t="shared" si="101"/>
        <v>7469725</v>
      </c>
      <c r="R524" s="9">
        <f t="shared" si="102"/>
        <v>13540</v>
      </c>
      <c r="S524" s="9">
        <f t="shared" si="103"/>
        <v>7469725</v>
      </c>
      <c r="T524" s="15">
        <f t="shared" si="104"/>
        <v>16.686436250344954</v>
      </c>
      <c r="U524" s="15">
        <f>IF(O524="Exclude",0,G524*Fuel_Price!$B$2)</f>
        <v>2525.0699640000003</v>
      </c>
      <c r="V524" s="15">
        <f t="shared" si="105"/>
        <v>2989922.7577359979</v>
      </c>
    </row>
    <row r="525" spans="1:22">
      <c r="A525" s="1" t="s">
        <v>1323</v>
      </c>
      <c r="B525" s="1" t="s">
        <v>1324</v>
      </c>
      <c r="C525" s="1" t="s">
        <v>1285</v>
      </c>
      <c r="D525" s="1" t="s">
        <v>12</v>
      </c>
      <c r="E525" s="12">
        <v>8482</v>
      </c>
      <c r="F525" s="12" t="s">
        <v>13</v>
      </c>
      <c r="G525" s="6">
        <v>1439.88</v>
      </c>
      <c r="H525" s="1">
        <v>26.78</v>
      </c>
      <c r="J525" t="str">
        <f t="shared" si="96"/>
        <v>OK</v>
      </c>
      <c r="K525" t="str">
        <f t="shared" si="97"/>
        <v>OK</v>
      </c>
      <c r="L525">
        <f t="shared" si="106"/>
        <v>12</v>
      </c>
      <c r="M525">
        <f t="shared" si="98"/>
        <v>10</v>
      </c>
      <c r="N525" s="9" t="str">
        <f t="shared" si="107"/>
        <v>Valid</v>
      </c>
      <c r="O525" t="str">
        <f t="shared" si="99"/>
        <v>Include</v>
      </c>
      <c r="P525" s="9">
        <f t="shared" si="100"/>
        <v>2035068.5799999984</v>
      </c>
      <c r="Q525" s="15">
        <f t="shared" si="101"/>
        <v>7469725</v>
      </c>
      <c r="R525" s="9">
        <f t="shared" si="102"/>
        <v>8482</v>
      </c>
      <c r="S525" s="9">
        <f t="shared" si="103"/>
        <v>7469725</v>
      </c>
      <c r="T525" s="15">
        <f t="shared" si="104"/>
        <v>16.686436250344954</v>
      </c>
      <c r="U525" s="15">
        <f>IF(O525="Exclude",0,G525*Fuel_Price!$B$2)</f>
        <v>2115.4716960000001</v>
      </c>
      <c r="V525" s="15">
        <f t="shared" si="105"/>
        <v>2989922.7577359979</v>
      </c>
    </row>
    <row r="526" spans="1:22">
      <c r="A526" s="1" t="s">
        <v>1325</v>
      </c>
      <c r="B526" s="1" t="s">
        <v>1326</v>
      </c>
      <c r="C526" s="1" t="s">
        <v>1285</v>
      </c>
      <c r="D526" s="1" t="s">
        <v>12</v>
      </c>
      <c r="E526" s="12">
        <v>11619</v>
      </c>
      <c r="F526" s="12" t="s">
        <v>13</v>
      </c>
      <c r="G526" s="6">
        <v>1752.16</v>
      </c>
      <c r="H526" s="1">
        <v>30.15</v>
      </c>
      <c r="J526" t="str">
        <f t="shared" si="96"/>
        <v>OK</v>
      </c>
      <c r="K526" t="str">
        <f t="shared" si="97"/>
        <v>OK</v>
      </c>
      <c r="L526">
        <f t="shared" si="106"/>
        <v>12</v>
      </c>
      <c r="M526">
        <f t="shared" si="98"/>
        <v>10</v>
      </c>
      <c r="N526" s="9" t="str">
        <f t="shared" si="107"/>
        <v>Valid</v>
      </c>
      <c r="O526" t="str">
        <f t="shared" si="99"/>
        <v>Include</v>
      </c>
      <c r="P526" s="9">
        <f t="shared" si="100"/>
        <v>2035068.5799999984</v>
      </c>
      <c r="Q526" s="15">
        <f t="shared" si="101"/>
        <v>7469725</v>
      </c>
      <c r="R526" s="9">
        <f t="shared" si="102"/>
        <v>11619</v>
      </c>
      <c r="S526" s="9">
        <f t="shared" si="103"/>
        <v>7469725</v>
      </c>
      <c r="T526" s="15">
        <f t="shared" si="104"/>
        <v>16.686436250344954</v>
      </c>
      <c r="U526" s="15">
        <f>IF(O526="Exclude",0,G526*Fuel_Price!$B$2)</f>
        <v>2574.2734720000003</v>
      </c>
      <c r="V526" s="15">
        <f t="shared" si="105"/>
        <v>2989922.7577359979</v>
      </c>
    </row>
    <row r="527" spans="1:22">
      <c r="A527" s="1" t="s">
        <v>1327</v>
      </c>
      <c r="B527" s="1" t="s">
        <v>1328</v>
      </c>
      <c r="C527" s="1" t="s">
        <v>1285</v>
      </c>
      <c r="D527" s="1" t="s">
        <v>12</v>
      </c>
      <c r="E527" s="12">
        <v>6453</v>
      </c>
      <c r="F527" s="12" t="s">
        <v>13</v>
      </c>
      <c r="G527" s="6">
        <v>1110.8</v>
      </c>
      <c r="H527" s="1">
        <v>26.41</v>
      </c>
      <c r="J527" t="str">
        <f t="shared" si="96"/>
        <v>OK</v>
      </c>
      <c r="K527" t="str">
        <f t="shared" si="97"/>
        <v>OK</v>
      </c>
      <c r="L527">
        <f t="shared" si="106"/>
        <v>12</v>
      </c>
      <c r="M527">
        <f t="shared" si="98"/>
        <v>10</v>
      </c>
      <c r="N527" s="9" t="str">
        <f t="shared" si="107"/>
        <v>Valid</v>
      </c>
      <c r="O527" t="str">
        <f t="shared" si="99"/>
        <v>Include</v>
      </c>
      <c r="P527" s="9">
        <f t="shared" si="100"/>
        <v>2035068.5799999984</v>
      </c>
      <c r="Q527" s="15">
        <f t="shared" si="101"/>
        <v>7469725</v>
      </c>
      <c r="R527" s="9">
        <f t="shared" si="102"/>
        <v>6453</v>
      </c>
      <c r="S527" s="9">
        <f t="shared" si="103"/>
        <v>7469725</v>
      </c>
      <c r="T527" s="15">
        <f t="shared" si="104"/>
        <v>16.686436250344954</v>
      </c>
      <c r="U527" s="15">
        <f>IF(O527="Exclude",0,G527*Fuel_Price!$B$2)</f>
        <v>1631.9873600000001</v>
      </c>
      <c r="V527" s="15">
        <f t="shared" si="105"/>
        <v>2989922.7577359979</v>
      </c>
    </row>
    <row r="528" spans="1:22">
      <c r="A528" s="1" t="s">
        <v>1329</v>
      </c>
      <c r="B528" s="1" t="s">
        <v>1330</v>
      </c>
      <c r="C528" s="1" t="s">
        <v>1285</v>
      </c>
      <c r="D528" s="1" t="s">
        <v>12</v>
      </c>
      <c r="E528" s="12">
        <v>8044</v>
      </c>
      <c r="F528" s="12" t="s">
        <v>13</v>
      </c>
      <c r="G528" s="6">
        <v>1365.77</v>
      </c>
      <c r="H528" s="1">
        <v>26.78</v>
      </c>
      <c r="J528" t="str">
        <f t="shared" si="96"/>
        <v>OK</v>
      </c>
      <c r="K528" t="str">
        <f t="shared" si="97"/>
        <v>OK</v>
      </c>
      <c r="L528">
        <f t="shared" si="106"/>
        <v>12</v>
      </c>
      <c r="M528">
        <f t="shared" si="98"/>
        <v>10</v>
      </c>
      <c r="N528" s="9" t="str">
        <f t="shared" si="107"/>
        <v>Valid</v>
      </c>
      <c r="O528" t="str">
        <f t="shared" si="99"/>
        <v>Include</v>
      </c>
      <c r="P528" s="9">
        <f t="shared" si="100"/>
        <v>2035068.5799999984</v>
      </c>
      <c r="Q528" s="15">
        <f t="shared" si="101"/>
        <v>7469725</v>
      </c>
      <c r="R528" s="9">
        <f t="shared" si="102"/>
        <v>8044</v>
      </c>
      <c r="S528" s="9">
        <f t="shared" si="103"/>
        <v>7469725</v>
      </c>
      <c r="T528" s="15">
        <f t="shared" si="104"/>
        <v>16.686436250344954</v>
      </c>
      <c r="U528" s="15">
        <f>IF(O528="Exclude",0,G528*Fuel_Price!$B$2)</f>
        <v>2006.5892840000001</v>
      </c>
      <c r="V528" s="15">
        <f t="shared" si="105"/>
        <v>2989922.7577359979</v>
      </c>
    </row>
    <row r="529" spans="1:22">
      <c r="A529" s="1" t="s">
        <v>1331</v>
      </c>
      <c r="B529" s="1" t="s">
        <v>1332</v>
      </c>
      <c r="C529" s="1" t="s">
        <v>1285</v>
      </c>
      <c r="D529" s="1" t="s">
        <v>12</v>
      </c>
      <c r="E529" s="12">
        <v>10791</v>
      </c>
      <c r="F529" s="12" t="s">
        <v>13</v>
      </c>
      <c r="G529" s="6">
        <v>1579</v>
      </c>
      <c r="H529" s="1">
        <v>31.07</v>
      </c>
      <c r="J529" t="str">
        <f t="shared" si="96"/>
        <v>OK</v>
      </c>
      <c r="K529" t="str">
        <f t="shared" si="97"/>
        <v>OK</v>
      </c>
      <c r="L529">
        <f t="shared" si="106"/>
        <v>12</v>
      </c>
      <c r="M529">
        <f t="shared" si="98"/>
        <v>10</v>
      </c>
      <c r="N529" s="9" t="str">
        <f t="shared" si="107"/>
        <v>Valid</v>
      </c>
      <c r="O529" t="str">
        <f t="shared" si="99"/>
        <v>Include</v>
      </c>
      <c r="P529" s="9">
        <f t="shared" si="100"/>
        <v>2035068.5799999984</v>
      </c>
      <c r="Q529" s="15">
        <f t="shared" si="101"/>
        <v>7469725</v>
      </c>
      <c r="R529" s="9">
        <f t="shared" si="102"/>
        <v>10791</v>
      </c>
      <c r="S529" s="9">
        <f t="shared" si="103"/>
        <v>7469725</v>
      </c>
      <c r="T529" s="15">
        <f t="shared" si="104"/>
        <v>16.686436250344954</v>
      </c>
      <c r="U529" s="15">
        <f>IF(O529="Exclude",0,G529*Fuel_Price!$B$2)</f>
        <v>2319.8668000000002</v>
      </c>
      <c r="V529" s="15">
        <f t="shared" si="105"/>
        <v>2989922.7577359979</v>
      </c>
    </row>
    <row r="530" spans="1:22">
      <c r="A530" s="1" t="s">
        <v>1333</v>
      </c>
      <c r="B530" s="1" t="s">
        <v>1334</v>
      </c>
      <c r="C530" s="1" t="s">
        <v>1285</v>
      </c>
      <c r="D530" s="1" t="s">
        <v>12</v>
      </c>
      <c r="E530" s="12">
        <v>2494</v>
      </c>
      <c r="F530" s="12" t="s">
        <v>13</v>
      </c>
      <c r="G530" s="6">
        <v>521.67999999999995</v>
      </c>
      <c r="H530" s="1">
        <v>21.73</v>
      </c>
      <c r="J530" t="str">
        <f t="shared" si="96"/>
        <v>OK</v>
      </c>
      <c r="K530" t="str">
        <f t="shared" si="97"/>
        <v>OK</v>
      </c>
      <c r="L530">
        <f t="shared" si="106"/>
        <v>12</v>
      </c>
      <c r="M530">
        <f t="shared" si="98"/>
        <v>10</v>
      </c>
      <c r="N530" s="9" t="str">
        <f t="shared" si="107"/>
        <v>Valid</v>
      </c>
      <c r="O530" t="str">
        <f t="shared" si="99"/>
        <v>Include</v>
      </c>
      <c r="P530" s="9">
        <f t="shared" si="100"/>
        <v>2035068.5799999984</v>
      </c>
      <c r="Q530" s="15">
        <f t="shared" si="101"/>
        <v>7469725</v>
      </c>
      <c r="R530" s="9">
        <f t="shared" si="102"/>
        <v>2494</v>
      </c>
      <c r="S530" s="9">
        <f t="shared" si="103"/>
        <v>7469725</v>
      </c>
      <c r="T530" s="15">
        <f t="shared" si="104"/>
        <v>16.686436250344954</v>
      </c>
      <c r="U530" s="15">
        <f>IF(O530="Exclude",0,G530*Fuel_Price!$B$2)</f>
        <v>766.45225599999992</v>
      </c>
      <c r="V530" s="15">
        <f t="shared" si="105"/>
        <v>2989922.7577359979</v>
      </c>
    </row>
    <row r="531" spans="1:22">
      <c r="A531" s="1" t="s">
        <v>1335</v>
      </c>
      <c r="B531" s="1" t="s">
        <v>1336</v>
      </c>
      <c r="C531" s="1" t="s">
        <v>1285</v>
      </c>
      <c r="D531" s="1" t="s">
        <v>12</v>
      </c>
      <c r="E531" s="12">
        <v>6952</v>
      </c>
      <c r="F531" s="12" t="s">
        <v>13</v>
      </c>
      <c r="G531" s="6">
        <v>1105.02</v>
      </c>
      <c r="H531" s="1">
        <v>28.6</v>
      </c>
      <c r="J531" t="str">
        <f t="shared" si="96"/>
        <v>OK</v>
      </c>
      <c r="K531" t="str">
        <f t="shared" si="97"/>
        <v>OK</v>
      </c>
      <c r="L531">
        <f t="shared" si="106"/>
        <v>12</v>
      </c>
      <c r="M531">
        <f t="shared" si="98"/>
        <v>10</v>
      </c>
      <c r="N531" s="9" t="str">
        <f t="shared" si="107"/>
        <v>Valid</v>
      </c>
      <c r="O531" t="str">
        <f t="shared" si="99"/>
        <v>Include</v>
      </c>
      <c r="P531" s="9">
        <f t="shared" si="100"/>
        <v>2035068.5799999984</v>
      </c>
      <c r="Q531" s="15">
        <f t="shared" si="101"/>
        <v>7469725</v>
      </c>
      <c r="R531" s="9">
        <f t="shared" si="102"/>
        <v>6952</v>
      </c>
      <c r="S531" s="9">
        <f t="shared" si="103"/>
        <v>7469725</v>
      </c>
      <c r="T531" s="15">
        <f t="shared" si="104"/>
        <v>16.686436250344954</v>
      </c>
      <c r="U531" s="15">
        <f>IF(O531="Exclude",0,G531*Fuel_Price!$B$2)</f>
        <v>1623.4953840000001</v>
      </c>
      <c r="V531" s="15">
        <f t="shared" si="105"/>
        <v>2989922.7577359979</v>
      </c>
    </row>
    <row r="532" spans="1:22">
      <c r="A532" s="1" t="s">
        <v>1337</v>
      </c>
      <c r="B532" s="1" t="s">
        <v>1338</v>
      </c>
      <c r="C532" s="1" t="s">
        <v>1285</v>
      </c>
      <c r="D532" s="1" t="s">
        <v>12</v>
      </c>
      <c r="E532" s="12">
        <v>2640</v>
      </c>
      <c r="F532" s="12" t="s">
        <v>13</v>
      </c>
      <c r="G532" s="6">
        <v>536.91</v>
      </c>
      <c r="H532" s="1">
        <v>22.35</v>
      </c>
      <c r="J532" t="str">
        <f t="shared" si="96"/>
        <v>OK</v>
      </c>
      <c r="K532" t="str">
        <f t="shared" si="97"/>
        <v>OK</v>
      </c>
      <c r="L532">
        <f t="shared" si="106"/>
        <v>12</v>
      </c>
      <c r="M532">
        <f t="shared" si="98"/>
        <v>10</v>
      </c>
      <c r="N532" s="9" t="str">
        <f t="shared" si="107"/>
        <v>Valid</v>
      </c>
      <c r="O532" t="str">
        <f t="shared" si="99"/>
        <v>Include</v>
      </c>
      <c r="P532" s="9">
        <f t="shared" si="100"/>
        <v>2035068.5799999984</v>
      </c>
      <c r="Q532" s="15">
        <f t="shared" si="101"/>
        <v>7469725</v>
      </c>
      <c r="R532" s="9">
        <f t="shared" si="102"/>
        <v>2640</v>
      </c>
      <c r="S532" s="9">
        <f t="shared" si="103"/>
        <v>7469725</v>
      </c>
      <c r="T532" s="15">
        <f t="shared" si="104"/>
        <v>16.686436250344954</v>
      </c>
      <c r="U532" s="15">
        <f>IF(O532="Exclude",0,G532*Fuel_Price!$B$2)</f>
        <v>788.828172</v>
      </c>
      <c r="V532" s="15">
        <f t="shared" si="105"/>
        <v>2989922.7577359979</v>
      </c>
    </row>
    <row r="533" spans="1:22">
      <c r="A533" s="1" t="s">
        <v>1339</v>
      </c>
      <c r="B533" s="1" t="s">
        <v>1340</v>
      </c>
      <c r="C533" s="1" t="s">
        <v>1285</v>
      </c>
      <c r="D533" s="1" t="s">
        <v>12</v>
      </c>
      <c r="E533" s="12">
        <v>3958</v>
      </c>
      <c r="F533" s="12" t="s">
        <v>13</v>
      </c>
      <c r="G533" s="6">
        <v>670.46</v>
      </c>
      <c r="H533" s="1">
        <v>26.84</v>
      </c>
      <c r="J533" t="str">
        <f t="shared" si="96"/>
        <v>OK</v>
      </c>
      <c r="K533" t="str">
        <f t="shared" si="97"/>
        <v>OK</v>
      </c>
      <c r="L533">
        <f t="shared" si="106"/>
        <v>12</v>
      </c>
      <c r="M533">
        <f t="shared" si="98"/>
        <v>10</v>
      </c>
      <c r="N533" s="9" t="str">
        <f t="shared" si="107"/>
        <v>Valid</v>
      </c>
      <c r="O533" t="str">
        <f t="shared" si="99"/>
        <v>Include</v>
      </c>
      <c r="P533" s="9">
        <f t="shared" si="100"/>
        <v>2035068.5799999984</v>
      </c>
      <c r="Q533" s="15">
        <f t="shared" si="101"/>
        <v>7469725</v>
      </c>
      <c r="R533" s="9">
        <f t="shared" si="102"/>
        <v>3958</v>
      </c>
      <c r="S533" s="9">
        <f t="shared" si="103"/>
        <v>7469725</v>
      </c>
      <c r="T533" s="15">
        <f t="shared" si="104"/>
        <v>16.686436250344954</v>
      </c>
      <c r="U533" s="15">
        <f>IF(O533="Exclude",0,G533*Fuel_Price!$B$2)</f>
        <v>985.03983200000005</v>
      </c>
      <c r="V533" s="15">
        <f t="shared" si="105"/>
        <v>2989922.7577359979</v>
      </c>
    </row>
    <row r="534" spans="1:22">
      <c r="A534" s="1" t="s">
        <v>1341</v>
      </c>
      <c r="B534" s="1" t="s">
        <v>1342</v>
      </c>
      <c r="C534" s="1" t="s">
        <v>1343</v>
      </c>
      <c r="D534" s="1" t="s">
        <v>12</v>
      </c>
      <c r="E534" s="12">
        <v>5075</v>
      </c>
      <c r="F534" s="12" t="s">
        <v>13</v>
      </c>
      <c r="G534" s="6">
        <v>797.54</v>
      </c>
      <c r="H534" s="1">
        <v>28.93</v>
      </c>
      <c r="J534" t="str">
        <f t="shared" si="96"/>
        <v>OK</v>
      </c>
      <c r="K534" t="str">
        <f t="shared" si="97"/>
        <v>OK</v>
      </c>
      <c r="L534">
        <f t="shared" si="106"/>
        <v>12</v>
      </c>
      <c r="M534">
        <f t="shared" si="98"/>
        <v>10</v>
      </c>
      <c r="N534" s="9" t="str">
        <f t="shared" si="107"/>
        <v>Valid</v>
      </c>
      <c r="O534" t="str">
        <f t="shared" si="99"/>
        <v>Include</v>
      </c>
      <c r="P534" s="9">
        <f t="shared" si="100"/>
        <v>2035068.5799999984</v>
      </c>
      <c r="Q534" s="15">
        <f t="shared" si="101"/>
        <v>7469725</v>
      </c>
      <c r="R534" s="9">
        <f t="shared" si="102"/>
        <v>5075</v>
      </c>
      <c r="S534" s="9">
        <f t="shared" si="103"/>
        <v>7469725</v>
      </c>
      <c r="T534" s="15">
        <f t="shared" si="104"/>
        <v>16.686436250344954</v>
      </c>
      <c r="U534" s="15">
        <f>IF(O534="Exclude",0,G534*Fuel_Price!$B$2)</f>
        <v>1171.745768</v>
      </c>
      <c r="V534" s="15">
        <f t="shared" si="105"/>
        <v>2989922.7577359979</v>
      </c>
    </row>
    <row r="535" spans="1:22">
      <c r="A535" s="1" t="s">
        <v>1344</v>
      </c>
      <c r="B535" s="1" t="s">
        <v>1345</v>
      </c>
      <c r="C535" s="1" t="s">
        <v>1285</v>
      </c>
      <c r="D535" s="1" t="s">
        <v>12</v>
      </c>
      <c r="E535" s="12">
        <v>9132</v>
      </c>
      <c r="F535" s="12" t="s">
        <v>13</v>
      </c>
      <c r="G535" s="6">
        <v>1300.93</v>
      </c>
      <c r="H535" s="1">
        <v>31.91</v>
      </c>
      <c r="J535" t="str">
        <f t="shared" si="96"/>
        <v>OK</v>
      </c>
      <c r="K535" t="str">
        <f t="shared" si="97"/>
        <v>OK</v>
      </c>
      <c r="L535">
        <f t="shared" si="106"/>
        <v>12</v>
      </c>
      <c r="M535">
        <f t="shared" si="98"/>
        <v>10</v>
      </c>
      <c r="N535" s="9" t="str">
        <f t="shared" si="107"/>
        <v>Valid</v>
      </c>
      <c r="O535" t="str">
        <f t="shared" si="99"/>
        <v>Include</v>
      </c>
      <c r="P535" s="9">
        <f t="shared" si="100"/>
        <v>2035068.5799999984</v>
      </c>
      <c r="Q535" s="15">
        <f t="shared" si="101"/>
        <v>7469725</v>
      </c>
      <c r="R535" s="9">
        <f t="shared" si="102"/>
        <v>9132</v>
      </c>
      <c r="S535" s="9">
        <f t="shared" si="103"/>
        <v>7469725</v>
      </c>
      <c r="T535" s="15">
        <f t="shared" si="104"/>
        <v>16.686436250344954</v>
      </c>
      <c r="U535" s="15">
        <f>IF(O535="Exclude",0,G535*Fuel_Price!$B$2)</f>
        <v>1911.3263560000003</v>
      </c>
      <c r="V535" s="15">
        <f t="shared" si="105"/>
        <v>2989922.7577359979</v>
      </c>
    </row>
    <row r="536" spans="1:22">
      <c r="A536" s="1" t="s">
        <v>1346</v>
      </c>
      <c r="B536" s="1" t="s">
        <v>1347</v>
      </c>
      <c r="C536" s="1" t="s">
        <v>1285</v>
      </c>
      <c r="D536" s="1" t="s">
        <v>12</v>
      </c>
      <c r="E536" s="12">
        <v>14586</v>
      </c>
      <c r="F536" s="12" t="s">
        <v>13</v>
      </c>
      <c r="G536" s="6">
        <v>1959.77</v>
      </c>
      <c r="H536" s="1">
        <v>33.840000000000003</v>
      </c>
      <c r="J536" t="str">
        <f t="shared" si="96"/>
        <v>OK</v>
      </c>
      <c r="K536" t="str">
        <f t="shared" si="97"/>
        <v>OK</v>
      </c>
      <c r="L536">
        <f t="shared" si="106"/>
        <v>12</v>
      </c>
      <c r="M536">
        <f t="shared" si="98"/>
        <v>10</v>
      </c>
      <c r="N536" s="9" t="str">
        <f t="shared" si="107"/>
        <v>Valid</v>
      </c>
      <c r="O536" t="str">
        <f t="shared" si="99"/>
        <v>Include</v>
      </c>
      <c r="P536" s="9">
        <f t="shared" si="100"/>
        <v>2035068.5799999984</v>
      </c>
      <c r="Q536" s="15">
        <f t="shared" si="101"/>
        <v>7469725</v>
      </c>
      <c r="R536" s="9">
        <f t="shared" si="102"/>
        <v>14586</v>
      </c>
      <c r="S536" s="9">
        <f t="shared" si="103"/>
        <v>7469725</v>
      </c>
      <c r="T536" s="15">
        <f t="shared" si="104"/>
        <v>16.686436250344954</v>
      </c>
      <c r="U536" s="15">
        <f>IF(O536="Exclude",0,G536*Fuel_Price!$B$2)</f>
        <v>2879.2940840000001</v>
      </c>
      <c r="V536" s="15">
        <f t="shared" si="105"/>
        <v>2989922.7577359979</v>
      </c>
    </row>
    <row r="537" spans="1:22">
      <c r="A537" s="1" t="s">
        <v>1348</v>
      </c>
      <c r="B537" s="1" t="s">
        <v>1349</v>
      </c>
      <c r="C537" s="1" t="s">
        <v>1285</v>
      </c>
      <c r="D537" s="1" t="s">
        <v>12</v>
      </c>
      <c r="E537" s="12">
        <v>4641</v>
      </c>
      <c r="F537" s="12" t="s">
        <v>13</v>
      </c>
      <c r="G537" s="6">
        <v>747.82</v>
      </c>
      <c r="H537" s="1">
        <v>28.21</v>
      </c>
      <c r="J537" t="str">
        <f t="shared" si="96"/>
        <v>OK</v>
      </c>
      <c r="K537" t="str">
        <f t="shared" si="97"/>
        <v>OK</v>
      </c>
      <c r="L537">
        <f t="shared" si="106"/>
        <v>12</v>
      </c>
      <c r="M537">
        <f t="shared" si="98"/>
        <v>10</v>
      </c>
      <c r="N537" s="9" t="str">
        <f t="shared" si="107"/>
        <v>Valid</v>
      </c>
      <c r="O537" t="str">
        <f t="shared" si="99"/>
        <v>Include</v>
      </c>
      <c r="P537" s="9">
        <f t="shared" si="100"/>
        <v>2035068.5799999984</v>
      </c>
      <c r="Q537" s="15">
        <f t="shared" si="101"/>
        <v>7469725</v>
      </c>
      <c r="R537" s="9">
        <f t="shared" si="102"/>
        <v>4641</v>
      </c>
      <c r="S537" s="9">
        <f t="shared" si="103"/>
        <v>7469725</v>
      </c>
      <c r="T537" s="15">
        <f t="shared" si="104"/>
        <v>16.686436250344954</v>
      </c>
      <c r="U537" s="15">
        <f>IF(O537="Exclude",0,G537*Fuel_Price!$B$2)</f>
        <v>1098.6971440000002</v>
      </c>
      <c r="V537" s="15">
        <f t="shared" si="105"/>
        <v>2989922.7577359979</v>
      </c>
    </row>
    <row r="538" spans="1:22">
      <c r="A538" s="1" t="s">
        <v>1350</v>
      </c>
      <c r="B538" s="1" t="s">
        <v>1351</v>
      </c>
      <c r="C538" s="1" t="s">
        <v>1285</v>
      </c>
      <c r="D538" s="1" t="s">
        <v>12</v>
      </c>
      <c r="E538" s="12">
        <v>9555</v>
      </c>
      <c r="F538" s="12" t="s">
        <v>13</v>
      </c>
      <c r="G538" s="6">
        <v>1611.77</v>
      </c>
      <c r="H538" s="1">
        <v>26.95</v>
      </c>
      <c r="J538" t="str">
        <f t="shared" si="96"/>
        <v>OK</v>
      </c>
      <c r="K538" t="str">
        <f t="shared" si="97"/>
        <v>OK</v>
      </c>
      <c r="L538">
        <f t="shared" si="106"/>
        <v>12</v>
      </c>
      <c r="M538">
        <f t="shared" si="98"/>
        <v>10</v>
      </c>
      <c r="N538" s="9" t="str">
        <f t="shared" si="107"/>
        <v>Valid</v>
      </c>
      <c r="O538" t="str">
        <f t="shared" si="99"/>
        <v>Include</v>
      </c>
      <c r="P538" s="9">
        <f t="shared" si="100"/>
        <v>2035068.5799999984</v>
      </c>
      <c r="Q538" s="15">
        <f t="shared" si="101"/>
        <v>7469725</v>
      </c>
      <c r="R538" s="9">
        <f t="shared" si="102"/>
        <v>9555</v>
      </c>
      <c r="S538" s="9">
        <f t="shared" si="103"/>
        <v>7469725</v>
      </c>
      <c r="T538" s="15">
        <f t="shared" si="104"/>
        <v>16.686436250344954</v>
      </c>
      <c r="U538" s="15">
        <f>IF(O538="Exclude",0,G538*Fuel_Price!$B$2)</f>
        <v>2368.0124839999999</v>
      </c>
      <c r="V538" s="15">
        <f t="shared" si="105"/>
        <v>2989922.7577359979</v>
      </c>
    </row>
    <row r="539" spans="1:22">
      <c r="A539" s="1" t="s">
        <v>1352</v>
      </c>
      <c r="B539" s="1" t="s">
        <v>1353</v>
      </c>
      <c r="C539" s="1" t="s">
        <v>1285</v>
      </c>
      <c r="D539" s="1" t="s">
        <v>12</v>
      </c>
      <c r="E539" s="12">
        <v>12164</v>
      </c>
      <c r="F539" s="12" t="s">
        <v>13</v>
      </c>
      <c r="G539" s="6">
        <v>1653.45</v>
      </c>
      <c r="H539" s="1">
        <v>33.44</v>
      </c>
      <c r="J539" t="str">
        <f t="shared" si="96"/>
        <v>OK</v>
      </c>
      <c r="K539" t="str">
        <f t="shared" si="97"/>
        <v>OK</v>
      </c>
      <c r="L539">
        <f t="shared" si="106"/>
        <v>12</v>
      </c>
      <c r="M539">
        <f t="shared" si="98"/>
        <v>10</v>
      </c>
      <c r="N539" s="9" t="str">
        <f t="shared" si="107"/>
        <v>Valid</v>
      </c>
      <c r="O539" t="str">
        <f t="shared" si="99"/>
        <v>Include</v>
      </c>
      <c r="P539" s="9">
        <f t="shared" si="100"/>
        <v>2035068.5799999984</v>
      </c>
      <c r="Q539" s="15">
        <f t="shared" si="101"/>
        <v>7469725</v>
      </c>
      <c r="R539" s="9">
        <f t="shared" si="102"/>
        <v>12164</v>
      </c>
      <c r="S539" s="9">
        <f t="shared" si="103"/>
        <v>7469725</v>
      </c>
      <c r="T539" s="15">
        <f t="shared" si="104"/>
        <v>16.686436250344954</v>
      </c>
      <c r="U539" s="15">
        <f>IF(O539="Exclude",0,G539*Fuel_Price!$B$2)</f>
        <v>2429.24874</v>
      </c>
      <c r="V539" s="15">
        <f t="shared" si="105"/>
        <v>2989922.7577359979</v>
      </c>
    </row>
    <row r="540" spans="1:22">
      <c r="A540" s="1" t="s">
        <v>1354</v>
      </c>
      <c r="B540" s="1" t="s">
        <v>1355</v>
      </c>
      <c r="C540" s="1" t="s">
        <v>937</v>
      </c>
      <c r="D540" s="1" t="s">
        <v>12</v>
      </c>
      <c r="E540" s="12">
        <v>11107</v>
      </c>
      <c r="F540" s="12" t="s">
        <v>13</v>
      </c>
      <c r="G540" s="6">
        <v>1647.94</v>
      </c>
      <c r="H540" s="1">
        <v>30.64</v>
      </c>
      <c r="J540" t="str">
        <f t="shared" si="96"/>
        <v>OK</v>
      </c>
      <c r="K540" t="str">
        <f t="shared" si="97"/>
        <v>OK</v>
      </c>
      <c r="L540">
        <f t="shared" si="106"/>
        <v>12</v>
      </c>
      <c r="M540">
        <f t="shared" si="98"/>
        <v>10</v>
      </c>
      <c r="N540" s="9" t="str">
        <f t="shared" si="107"/>
        <v>Valid</v>
      </c>
      <c r="O540" t="str">
        <f t="shared" si="99"/>
        <v>Include</v>
      </c>
      <c r="P540" s="9">
        <f t="shared" si="100"/>
        <v>2035068.5799999984</v>
      </c>
      <c r="Q540" s="15">
        <f t="shared" si="101"/>
        <v>7469725</v>
      </c>
      <c r="R540" s="9">
        <f t="shared" si="102"/>
        <v>11107</v>
      </c>
      <c r="S540" s="9">
        <f t="shared" si="103"/>
        <v>7469725</v>
      </c>
      <c r="T540" s="15">
        <f t="shared" si="104"/>
        <v>16.686436250344954</v>
      </c>
      <c r="U540" s="15">
        <f>IF(O540="Exclude",0,G540*Fuel_Price!$B$2)</f>
        <v>2421.153448</v>
      </c>
      <c r="V540" s="15">
        <f t="shared" si="105"/>
        <v>2989922.7577359979</v>
      </c>
    </row>
    <row r="541" spans="1:22">
      <c r="A541" s="1" t="s">
        <v>1356</v>
      </c>
      <c r="B541" s="1" t="s">
        <v>1357</v>
      </c>
      <c r="C541" s="1" t="s">
        <v>1285</v>
      </c>
      <c r="D541" s="1" t="s">
        <v>12</v>
      </c>
      <c r="E541" s="12">
        <v>7068</v>
      </c>
      <c r="F541" s="12" t="s">
        <v>13</v>
      </c>
      <c r="G541" s="6">
        <v>997.97</v>
      </c>
      <c r="H541" s="1">
        <v>32.200000000000003</v>
      </c>
      <c r="J541" t="str">
        <f t="shared" si="96"/>
        <v>OK</v>
      </c>
      <c r="K541" t="str">
        <f t="shared" si="97"/>
        <v>OK</v>
      </c>
      <c r="L541">
        <f t="shared" si="106"/>
        <v>12</v>
      </c>
      <c r="M541">
        <f t="shared" si="98"/>
        <v>10</v>
      </c>
      <c r="N541" s="9" t="str">
        <f t="shared" si="107"/>
        <v>Valid</v>
      </c>
      <c r="O541" t="str">
        <f t="shared" si="99"/>
        <v>Include</v>
      </c>
      <c r="P541" s="9">
        <f t="shared" si="100"/>
        <v>2035068.5799999984</v>
      </c>
      <c r="Q541" s="15">
        <f t="shared" si="101"/>
        <v>7469725</v>
      </c>
      <c r="R541" s="9">
        <f t="shared" si="102"/>
        <v>7068</v>
      </c>
      <c r="S541" s="9">
        <f t="shared" si="103"/>
        <v>7469725</v>
      </c>
      <c r="T541" s="15">
        <f t="shared" si="104"/>
        <v>16.686436250344954</v>
      </c>
      <c r="U541" s="15">
        <f>IF(O541="Exclude",0,G541*Fuel_Price!$B$2)</f>
        <v>1466.2175240000001</v>
      </c>
      <c r="V541" s="15">
        <f t="shared" si="105"/>
        <v>2989922.7577359979</v>
      </c>
    </row>
    <row r="542" spans="1:22">
      <c r="A542" s="1" t="s">
        <v>1358</v>
      </c>
      <c r="B542" s="1" t="s">
        <v>1359</v>
      </c>
      <c r="C542" s="1" t="s">
        <v>1285</v>
      </c>
      <c r="D542" s="1" t="s">
        <v>12</v>
      </c>
      <c r="E542" s="12">
        <v>8692</v>
      </c>
      <c r="F542" s="12" t="s">
        <v>13</v>
      </c>
      <c r="G542" s="6">
        <v>1390.87</v>
      </c>
      <c r="H542" s="1">
        <v>28.41</v>
      </c>
      <c r="J542" t="str">
        <f t="shared" si="96"/>
        <v>OK</v>
      </c>
      <c r="K542" t="str">
        <f t="shared" si="97"/>
        <v>OK</v>
      </c>
      <c r="L542">
        <f t="shared" si="106"/>
        <v>12</v>
      </c>
      <c r="M542">
        <f t="shared" si="98"/>
        <v>10</v>
      </c>
      <c r="N542" s="9" t="str">
        <f t="shared" si="107"/>
        <v>Valid</v>
      </c>
      <c r="O542" t="str">
        <f t="shared" si="99"/>
        <v>Include</v>
      </c>
      <c r="P542" s="9">
        <f t="shared" si="100"/>
        <v>2035068.5799999984</v>
      </c>
      <c r="Q542" s="15">
        <f t="shared" si="101"/>
        <v>7469725</v>
      </c>
      <c r="R542" s="9">
        <f t="shared" si="102"/>
        <v>8692</v>
      </c>
      <c r="S542" s="9">
        <f t="shared" si="103"/>
        <v>7469725</v>
      </c>
      <c r="T542" s="15">
        <f t="shared" si="104"/>
        <v>16.686436250344954</v>
      </c>
      <c r="U542" s="15">
        <f>IF(O542="Exclude",0,G542*Fuel_Price!$B$2)</f>
        <v>2043.4662039999998</v>
      </c>
      <c r="V542" s="15">
        <f t="shared" si="105"/>
        <v>2989922.7577359979</v>
      </c>
    </row>
    <row r="543" spans="1:22">
      <c r="A543" s="1" t="s">
        <v>1360</v>
      </c>
      <c r="B543" s="1" t="s">
        <v>1361</v>
      </c>
      <c r="C543" s="1" t="s">
        <v>937</v>
      </c>
      <c r="D543" s="1" t="s">
        <v>12</v>
      </c>
      <c r="E543" s="12">
        <v>5047</v>
      </c>
      <c r="F543" s="12" t="s">
        <v>13</v>
      </c>
      <c r="G543" s="6">
        <v>760.25</v>
      </c>
      <c r="H543" s="1">
        <v>30.18</v>
      </c>
      <c r="J543" t="str">
        <f t="shared" si="96"/>
        <v>OK</v>
      </c>
      <c r="K543" t="str">
        <f t="shared" si="97"/>
        <v>OK</v>
      </c>
      <c r="L543">
        <f t="shared" si="106"/>
        <v>12</v>
      </c>
      <c r="M543">
        <f t="shared" si="98"/>
        <v>10</v>
      </c>
      <c r="N543" s="9" t="str">
        <f t="shared" si="107"/>
        <v>Valid</v>
      </c>
      <c r="O543" t="str">
        <f t="shared" si="99"/>
        <v>Include</v>
      </c>
      <c r="P543" s="9">
        <f t="shared" si="100"/>
        <v>2035068.5799999984</v>
      </c>
      <c r="Q543" s="15">
        <f t="shared" si="101"/>
        <v>7469725</v>
      </c>
      <c r="R543" s="9">
        <f t="shared" si="102"/>
        <v>5047</v>
      </c>
      <c r="S543" s="9">
        <f t="shared" si="103"/>
        <v>7469725</v>
      </c>
      <c r="T543" s="15">
        <f t="shared" si="104"/>
        <v>16.686436250344954</v>
      </c>
      <c r="U543" s="15">
        <f>IF(O543="Exclude",0,G543*Fuel_Price!$B$2)</f>
        <v>1116.9593</v>
      </c>
      <c r="V543" s="15">
        <f t="shared" si="105"/>
        <v>2989922.7577359979</v>
      </c>
    </row>
    <row r="544" spans="1:22">
      <c r="A544" s="1" t="s">
        <v>1362</v>
      </c>
      <c r="B544" s="1" t="s">
        <v>1363</v>
      </c>
      <c r="C544" s="1" t="s">
        <v>937</v>
      </c>
      <c r="D544" s="1" t="s">
        <v>12</v>
      </c>
      <c r="E544" s="12">
        <v>6719</v>
      </c>
      <c r="F544" s="12" t="s">
        <v>13</v>
      </c>
      <c r="G544" s="6">
        <v>895.88</v>
      </c>
      <c r="H544" s="1">
        <v>34.1</v>
      </c>
      <c r="J544" t="str">
        <f t="shared" si="96"/>
        <v>OK</v>
      </c>
      <c r="K544" t="str">
        <f t="shared" si="97"/>
        <v>OK</v>
      </c>
      <c r="L544">
        <f t="shared" si="106"/>
        <v>12</v>
      </c>
      <c r="M544">
        <f t="shared" si="98"/>
        <v>10</v>
      </c>
      <c r="N544" s="9" t="str">
        <f t="shared" si="107"/>
        <v>Valid</v>
      </c>
      <c r="O544" t="str">
        <f t="shared" si="99"/>
        <v>Include</v>
      </c>
      <c r="P544" s="9">
        <f t="shared" si="100"/>
        <v>2035068.5799999984</v>
      </c>
      <c r="Q544" s="15">
        <f t="shared" si="101"/>
        <v>7469725</v>
      </c>
      <c r="R544" s="9">
        <f t="shared" si="102"/>
        <v>6719</v>
      </c>
      <c r="S544" s="9">
        <f t="shared" si="103"/>
        <v>7469725</v>
      </c>
      <c r="T544" s="15">
        <f t="shared" si="104"/>
        <v>16.686436250344954</v>
      </c>
      <c r="U544" s="15">
        <f>IF(O544="Exclude",0,G544*Fuel_Price!$B$2)</f>
        <v>1316.2268960000001</v>
      </c>
      <c r="V544" s="15">
        <f t="shared" si="105"/>
        <v>2989922.7577359979</v>
      </c>
    </row>
    <row r="545" spans="1:22">
      <c r="A545" s="1" t="s">
        <v>1364</v>
      </c>
      <c r="B545" s="1" t="s">
        <v>1365</v>
      </c>
      <c r="C545" s="1" t="s">
        <v>937</v>
      </c>
      <c r="D545" s="1" t="s">
        <v>12</v>
      </c>
      <c r="E545" s="12">
        <v>5234</v>
      </c>
      <c r="F545" s="12" t="s">
        <v>13</v>
      </c>
      <c r="G545" s="6">
        <v>969.95</v>
      </c>
      <c r="H545" s="1">
        <v>24.53</v>
      </c>
      <c r="J545" t="str">
        <f t="shared" si="96"/>
        <v>OK</v>
      </c>
      <c r="K545" t="str">
        <f t="shared" si="97"/>
        <v>OK</v>
      </c>
      <c r="L545">
        <f t="shared" si="106"/>
        <v>12</v>
      </c>
      <c r="M545">
        <f t="shared" si="98"/>
        <v>10</v>
      </c>
      <c r="N545" s="9" t="str">
        <f t="shared" si="107"/>
        <v>Valid</v>
      </c>
      <c r="O545" t="str">
        <f t="shared" si="99"/>
        <v>Include</v>
      </c>
      <c r="P545" s="9">
        <f t="shared" si="100"/>
        <v>2035068.5799999984</v>
      </c>
      <c r="Q545" s="15">
        <f t="shared" si="101"/>
        <v>7469725</v>
      </c>
      <c r="R545" s="9">
        <f t="shared" si="102"/>
        <v>5234</v>
      </c>
      <c r="S545" s="9">
        <f t="shared" si="103"/>
        <v>7469725</v>
      </c>
      <c r="T545" s="15">
        <f t="shared" si="104"/>
        <v>16.686436250344954</v>
      </c>
      <c r="U545" s="15">
        <f>IF(O545="Exclude",0,G545*Fuel_Price!$B$2)</f>
        <v>1425.0505400000002</v>
      </c>
      <c r="V545" s="15">
        <f t="shared" si="105"/>
        <v>2989922.7577359979</v>
      </c>
    </row>
    <row r="546" spans="1:22">
      <c r="A546" s="1" t="s">
        <v>1366</v>
      </c>
      <c r="B546" s="1" t="s">
        <v>1367</v>
      </c>
      <c r="C546" s="1" t="s">
        <v>1285</v>
      </c>
      <c r="D546" s="1" t="s">
        <v>12</v>
      </c>
      <c r="E546" s="12">
        <v>11303</v>
      </c>
      <c r="F546" s="12" t="s">
        <v>13</v>
      </c>
      <c r="G546" s="6">
        <v>1712.08</v>
      </c>
      <c r="H546" s="1">
        <v>30.01</v>
      </c>
      <c r="J546" t="str">
        <f t="shared" si="96"/>
        <v>OK</v>
      </c>
      <c r="K546" t="str">
        <f t="shared" si="97"/>
        <v>OK</v>
      </c>
      <c r="L546">
        <f t="shared" si="106"/>
        <v>12</v>
      </c>
      <c r="M546">
        <f t="shared" si="98"/>
        <v>10</v>
      </c>
      <c r="N546" s="9" t="str">
        <f t="shared" si="107"/>
        <v>Valid</v>
      </c>
      <c r="O546" t="str">
        <f t="shared" si="99"/>
        <v>Include</v>
      </c>
      <c r="P546" s="9">
        <f t="shared" si="100"/>
        <v>2035068.5799999984</v>
      </c>
      <c r="Q546" s="15">
        <f t="shared" si="101"/>
        <v>7469725</v>
      </c>
      <c r="R546" s="9">
        <f t="shared" si="102"/>
        <v>11303</v>
      </c>
      <c r="S546" s="9">
        <f t="shared" si="103"/>
        <v>7469725</v>
      </c>
      <c r="T546" s="15">
        <f t="shared" si="104"/>
        <v>16.686436250344954</v>
      </c>
      <c r="U546" s="15">
        <f>IF(O546="Exclude",0,G546*Fuel_Price!$B$2)</f>
        <v>2515.3879360000001</v>
      </c>
      <c r="V546" s="15">
        <f t="shared" si="105"/>
        <v>2989922.7577359979</v>
      </c>
    </row>
    <row r="547" spans="1:22">
      <c r="A547" s="1" t="s">
        <v>1368</v>
      </c>
      <c r="B547" s="1" t="s">
        <v>1369</v>
      </c>
      <c r="C547" s="1" t="s">
        <v>1285</v>
      </c>
      <c r="D547" s="1" t="s">
        <v>12</v>
      </c>
      <c r="E547" s="12">
        <v>7449</v>
      </c>
      <c r="F547" s="12" t="s">
        <v>13</v>
      </c>
      <c r="G547" s="6">
        <v>1185.77</v>
      </c>
      <c r="H547" s="1">
        <v>28.56</v>
      </c>
      <c r="J547" t="str">
        <f t="shared" si="96"/>
        <v>OK</v>
      </c>
      <c r="K547" t="str">
        <f t="shared" si="97"/>
        <v>OK</v>
      </c>
      <c r="L547">
        <f t="shared" si="106"/>
        <v>12</v>
      </c>
      <c r="M547">
        <f t="shared" si="98"/>
        <v>10</v>
      </c>
      <c r="N547" s="9" t="str">
        <f t="shared" si="107"/>
        <v>Valid</v>
      </c>
      <c r="O547" t="str">
        <f t="shared" si="99"/>
        <v>Include</v>
      </c>
      <c r="P547" s="9">
        <f t="shared" si="100"/>
        <v>2035068.5799999984</v>
      </c>
      <c r="Q547" s="15">
        <f t="shared" si="101"/>
        <v>7469725</v>
      </c>
      <c r="R547" s="9">
        <f t="shared" si="102"/>
        <v>7449</v>
      </c>
      <c r="S547" s="9">
        <f t="shared" si="103"/>
        <v>7469725</v>
      </c>
      <c r="T547" s="15">
        <f t="shared" si="104"/>
        <v>16.686436250344954</v>
      </c>
      <c r="U547" s="15">
        <f>IF(O547="Exclude",0,G547*Fuel_Price!$B$2)</f>
        <v>1742.133284</v>
      </c>
      <c r="V547" s="15">
        <f t="shared" si="105"/>
        <v>2989922.7577359979</v>
      </c>
    </row>
    <row r="548" spans="1:22">
      <c r="A548" s="1" t="s">
        <v>1370</v>
      </c>
      <c r="B548" s="1" t="s">
        <v>1371</v>
      </c>
      <c r="C548" s="1" t="s">
        <v>1285</v>
      </c>
      <c r="D548" s="1" t="s">
        <v>12</v>
      </c>
      <c r="E548" s="12">
        <v>8865</v>
      </c>
      <c r="F548" s="12" t="s">
        <v>13</v>
      </c>
      <c r="G548" s="6">
        <v>1381.85</v>
      </c>
      <c r="H548" s="1">
        <v>29.16</v>
      </c>
      <c r="J548" t="str">
        <f t="shared" si="96"/>
        <v>OK</v>
      </c>
      <c r="K548" t="str">
        <f t="shared" si="97"/>
        <v>OK</v>
      </c>
      <c r="L548">
        <f t="shared" si="106"/>
        <v>12</v>
      </c>
      <c r="M548">
        <f t="shared" si="98"/>
        <v>10</v>
      </c>
      <c r="N548" s="9" t="str">
        <f t="shared" si="107"/>
        <v>Valid</v>
      </c>
      <c r="O548" t="str">
        <f t="shared" si="99"/>
        <v>Include</v>
      </c>
      <c r="P548" s="9">
        <f t="shared" si="100"/>
        <v>2035068.5799999984</v>
      </c>
      <c r="Q548" s="15">
        <f t="shared" si="101"/>
        <v>7469725</v>
      </c>
      <c r="R548" s="9">
        <f t="shared" si="102"/>
        <v>8865</v>
      </c>
      <c r="S548" s="9">
        <f t="shared" si="103"/>
        <v>7469725</v>
      </c>
      <c r="T548" s="15">
        <f t="shared" si="104"/>
        <v>16.686436250344954</v>
      </c>
      <c r="U548" s="15">
        <f>IF(O548="Exclude",0,G548*Fuel_Price!$B$2)</f>
        <v>2030.2140199999999</v>
      </c>
      <c r="V548" s="15">
        <f t="shared" si="105"/>
        <v>2989922.7577359979</v>
      </c>
    </row>
    <row r="549" spans="1:22">
      <c r="A549" s="1" t="s">
        <v>1372</v>
      </c>
      <c r="B549" s="1" t="s">
        <v>1373</v>
      </c>
      <c r="C549" s="1" t="s">
        <v>1285</v>
      </c>
      <c r="D549" s="1" t="s">
        <v>12</v>
      </c>
      <c r="E549" s="12">
        <v>4259</v>
      </c>
      <c r="F549" s="12" t="s">
        <v>13</v>
      </c>
      <c r="G549" s="6">
        <v>616.02</v>
      </c>
      <c r="H549" s="1">
        <v>31.43</v>
      </c>
      <c r="J549" t="str">
        <f t="shared" si="96"/>
        <v>OK</v>
      </c>
      <c r="K549" t="str">
        <f t="shared" si="97"/>
        <v>OK</v>
      </c>
      <c r="L549">
        <f t="shared" si="106"/>
        <v>12</v>
      </c>
      <c r="M549">
        <f t="shared" si="98"/>
        <v>10</v>
      </c>
      <c r="N549" s="9" t="str">
        <f t="shared" si="107"/>
        <v>Valid</v>
      </c>
      <c r="O549" t="str">
        <f t="shared" si="99"/>
        <v>Include</v>
      </c>
      <c r="P549" s="9">
        <f t="shared" si="100"/>
        <v>2035068.5799999984</v>
      </c>
      <c r="Q549" s="15">
        <f t="shared" si="101"/>
        <v>7469725</v>
      </c>
      <c r="R549" s="9">
        <f t="shared" si="102"/>
        <v>4259</v>
      </c>
      <c r="S549" s="9">
        <f t="shared" si="103"/>
        <v>7469725</v>
      </c>
      <c r="T549" s="15">
        <f t="shared" si="104"/>
        <v>16.686436250344954</v>
      </c>
      <c r="U549" s="15">
        <f>IF(O549="Exclude",0,G549*Fuel_Price!$B$2)</f>
        <v>905.05658400000004</v>
      </c>
      <c r="V549" s="15">
        <f t="shared" si="105"/>
        <v>2989922.7577359979</v>
      </c>
    </row>
    <row r="550" spans="1:22">
      <c r="A550" s="1" t="s">
        <v>1374</v>
      </c>
      <c r="B550" s="1" t="s">
        <v>1375</v>
      </c>
      <c r="C550" s="1" t="s">
        <v>1285</v>
      </c>
      <c r="D550" s="1" t="s">
        <v>12</v>
      </c>
      <c r="E550" s="12">
        <v>11018</v>
      </c>
      <c r="F550" s="12" t="s">
        <v>13</v>
      </c>
      <c r="G550" s="6">
        <v>1577.01</v>
      </c>
      <c r="H550" s="1">
        <v>31.76</v>
      </c>
      <c r="J550" t="str">
        <f t="shared" si="96"/>
        <v>OK</v>
      </c>
      <c r="K550" t="str">
        <f t="shared" si="97"/>
        <v>OK</v>
      </c>
      <c r="L550">
        <f t="shared" si="106"/>
        <v>12</v>
      </c>
      <c r="M550">
        <f t="shared" si="98"/>
        <v>10</v>
      </c>
      <c r="N550" s="9" t="str">
        <f t="shared" si="107"/>
        <v>Valid</v>
      </c>
      <c r="O550" t="str">
        <f t="shared" si="99"/>
        <v>Include</v>
      </c>
      <c r="P550" s="9">
        <f t="shared" si="100"/>
        <v>2035068.5799999984</v>
      </c>
      <c r="Q550" s="15">
        <f t="shared" si="101"/>
        <v>7469725</v>
      </c>
      <c r="R550" s="9">
        <f t="shared" si="102"/>
        <v>11018</v>
      </c>
      <c r="S550" s="9">
        <f t="shared" si="103"/>
        <v>7469725</v>
      </c>
      <c r="T550" s="15">
        <f t="shared" si="104"/>
        <v>16.686436250344954</v>
      </c>
      <c r="U550" s="15">
        <f>IF(O550="Exclude",0,G550*Fuel_Price!$B$2)</f>
        <v>2316.943092</v>
      </c>
      <c r="V550" s="15">
        <f t="shared" si="105"/>
        <v>2989922.7577359979</v>
      </c>
    </row>
    <row r="551" spans="1:22">
      <c r="A551" s="1" t="s">
        <v>1376</v>
      </c>
      <c r="B551" s="1" t="s">
        <v>1377</v>
      </c>
      <c r="C551" s="1" t="s">
        <v>1285</v>
      </c>
      <c r="D551" s="1" t="s">
        <v>12</v>
      </c>
      <c r="E551" s="12">
        <v>4790</v>
      </c>
      <c r="F551" s="12" t="s">
        <v>13</v>
      </c>
      <c r="G551" s="6">
        <v>755.02</v>
      </c>
      <c r="H551" s="1">
        <v>28.84</v>
      </c>
      <c r="J551" t="str">
        <f t="shared" si="96"/>
        <v>OK</v>
      </c>
      <c r="K551" t="str">
        <f t="shared" si="97"/>
        <v>OK</v>
      </c>
      <c r="L551">
        <f t="shared" si="106"/>
        <v>12</v>
      </c>
      <c r="M551">
        <f t="shared" si="98"/>
        <v>10</v>
      </c>
      <c r="N551" s="9" t="str">
        <f t="shared" si="107"/>
        <v>Valid</v>
      </c>
      <c r="O551" t="str">
        <f t="shared" si="99"/>
        <v>Include</v>
      </c>
      <c r="P551" s="9">
        <f t="shared" si="100"/>
        <v>2035068.5799999984</v>
      </c>
      <c r="Q551" s="15">
        <f t="shared" si="101"/>
        <v>7469725</v>
      </c>
      <c r="R551" s="9">
        <f t="shared" si="102"/>
        <v>4790</v>
      </c>
      <c r="S551" s="9">
        <f t="shared" si="103"/>
        <v>7469725</v>
      </c>
      <c r="T551" s="15">
        <f t="shared" si="104"/>
        <v>16.686436250344954</v>
      </c>
      <c r="U551" s="15">
        <f>IF(O551="Exclude",0,G551*Fuel_Price!$B$2)</f>
        <v>1109.275384</v>
      </c>
      <c r="V551" s="15">
        <f t="shared" si="105"/>
        <v>2989922.7577359979</v>
      </c>
    </row>
    <row r="552" spans="1:22">
      <c r="A552" s="1" t="s">
        <v>1378</v>
      </c>
      <c r="B552" s="1" t="s">
        <v>1379</v>
      </c>
      <c r="C552" s="1" t="s">
        <v>1285</v>
      </c>
      <c r="D552" s="1" t="s">
        <v>12</v>
      </c>
      <c r="E552" s="12">
        <v>5025</v>
      </c>
      <c r="F552" s="12" t="s">
        <v>13</v>
      </c>
      <c r="G552" s="6">
        <v>904.5</v>
      </c>
      <c r="H552" s="1">
        <v>25.26</v>
      </c>
      <c r="J552" t="str">
        <f t="shared" si="96"/>
        <v>OK</v>
      </c>
      <c r="K552" t="str">
        <f t="shared" si="97"/>
        <v>OK</v>
      </c>
      <c r="L552">
        <f t="shared" si="106"/>
        <v>12</v>
      </c>
      <c r="M552">
        <f t="shared" si="98"/>
        <v>10</v>
      </c>
      <c r="N552" s="9" t="str">
        <f t="shared" si="107"/>
        <v>Valid</v>
      </c>
      <c r="O552" t="str">
        <f t="shared" si="99"/>
        <v>Include</v>
      </c>
      <c r="P552" s="9">
        <f t="shared" si="100"/>
        <v>2035068.5799999984</v>
      </c>
      <c r="Q552" s="15">
        <f t="shared" si="101"/>
        <v>7469725</v>
      </c>
      <c r="R552" s="9">
        <f t="shared" si="102"/>
        <v>5025</v>
      </c>
      <c r="S552" s="9">
        <f t="shared" si="103"/>
        <v>7469725</v>
      </c>
      <c r="T552" s="15">
        <f t="shared" si="104"/>
        <v>16.686436250344954</v>
      </c>
      <c r="U552" s="15">
        <f>IF(O552="Exclude",0,G552*Fuel_Price!$B$2)</f>
        <v>1328.8914</v>
      </c>
      <c r="V552" s="15">
        <f t="shared" si="105"/>
        <v>2989922.7577359979</v>
      </c>
    </row>
    <row r="553" spans="1:22">
      <c r="A553" s="1" t="s">
        <v>1380</v>
      </c>
      <c r="B553" s="1" t="s">
        <v>1381</v>
      </c>
      <c r="C553" s="1" t="s">
        <v>1285</v>
      </c>
      <c r="D553" s="1" t="s">
        <v>12</v>
      </c>
      <c r="E553" s="12">
        <v>7587</v>
      </c>
      <c r="F553" s="12" t="s">
        <v>13</v>
      </c>
      <c r="G553" s="6">
        <v>1097.8900000000001</v>
      </c>
      <c r="H553" s="1">
        <v>31.42</v>
      </c>
      <c r="J553" t="str">
        <f t="shared" si="96"/>
        <v>OK</v>
      </c>
      <c r="K553" t="str">
        <f t="shared" si="97"/>
        <v>OK</v>
      </c>
      <c r="L553">
        <f t="shared" si="106"/>
        <v>12</v>
      </c>
      <c r="M553">
        <f t="shared" si="98"/>
        <v>10</v>
      </c>
      <c r="N553" s="9" t="str">
        <f t="shared" si="107"/>
        <v>Valid</v>
      </c>
      <c r="O553" t="str">
        <f t="shared" si="99"/>
        <v>Include</v>
      </c>
      <c r="P553" s="9">
        <f t="shared" si="100"/>
        <v>2035068.5799999984</v>
      </c>
      <c r="Q553" s="15">
        <f t="shared" si="101"/>
        <v>7469725</v>
      </c>
      <c r="R553" s="9">
        <f t="shared" si="102"/>
        <v>7587</v>
      </c>
      <c r="S553" s="9">
        <f t="shared" si="103"/>
        <v>7469725</v>
      </c>
      <c r="T553" s="15">
        <f t="shared" si="104"/>
        <v>16.686436250344954</v>
      </c>
      <c r="U553" s="15">
        <f>IF(O553="Exclude",0,G553*Fuel_Price!$B$2)</f>
        <v>1613.0199880000002</v>
      </c>
      <c r="V553" s="15">
        <f t="shared" si="105"/>
        <v>2989922.7577359979</v>
      </c>
    </row>
    <row r="554" spans="1:22">
      <c r="A554" s="1" t="s">
        <v>1382</v>
      </c>
      <c r="B554" s="1" t="s">
        <v>1383</v>
      </c>
      <c r="C554" s="1" t="s">
        <v>1384</v>
      </c>
      <c r="D554" s="1" t="s">
        <v>12</v>
      </c>
      <c r="E554" s="12">
        <v>9823</v>
      </c>
      <c r="F554" s="12" t="s">
        <v>13</v>
      </c>
      <c r="G554" s="6">
        <v>1565.77</v>
      </c>
      <c r="H554" s="1">
        <v>28.52</v>
      </c>
      <c r="J554" t="str">
        <f t="shared" si="96"/>
        <v>OK</v>
      </c>
      <c r="K554" t="str">
        <f t="shared" si="97"/>
        <v>OK</v>
      </c>
      <c r="L554">
        <f t="shared" si="106"/>
        <v>12</v>
      </c>
      <c r="M554">
        <f t="shared" si="98"/>
        <v>10</v>
      </c>
      <c r="N554" s="9" t="str">
        <f t="shared" si="107"/>
        <v>Valid</v>
      </c>
      <c r="O554" t="str">
        <f t="shared" si="99"/>
        <v>Include</v>
      </c>
      <c r="P554" s="9">
        <f t="shared" si="100"/>
        <v>2035068.5799999984</v>
      </c>
      <c r="Q554" s="15">
        <f t="shared" si="101"/>
        <v>7469725</v>
      </c>
      <c r="R554" s="9">
        <f t="shared" si="102"/>
        <v>9823</v>
      </c>
      <c r="S554" s="9">
        <f t="shared" si="103"/>
        <v>7469725</v>
      </c>
      <c r="T554" s="15">
        <f t="shared" si="104"/>
        <v>16.686436250344954</v>
      </c>
      <c r="U554" s="15">
        <f>IF(O554="Exclude",0,G554*Fuel_Price!$B$2)</f>
        <v>2300.4292840000003</v>
      </c>
      <c r="V554" s="15">
        <f t="shared" si="105"/>
        <v>2989922.7577359979</v>
      </c>
    </row>
    <row r="555" spans="1:22">
      <c r="A555" s="1" t="s">
        <v>1385</v>
      </c>
      <c r="B555" s="1" t="s">
        <v>1386</v>
      </c>
      <c r="C555" s="1" t="s">
        <v>1285</v>
      </c>
      <c r="D555" s="1" t="s">
        <v>12</v>
      </c>
      <c r="E555" s="12">
        <v>8495</v>
      </c>
      <c r="F555" s="12" t="s">
        <v>13</v>
      </c>
      <c r="G555" s="6">
        <v>1339.49</v>
      </c>
      <c r="H555" s="1">
        <v>28.83</v>
      </c>
      <c r="J555" t="str">
        <f t="shared" si="96"/>
        <v>OK</v>
      </c>
      <c r="K555" t="str">
        <f t="shared" si="97"/>
        <v>OK</v>
      </c>
      <c r="L555">
        <f t="shared" si="106"/>
        <v>12</v>
      </c>
      <c r="M555">
        <f t="shared" si="98"/>
        <v>10</v>
      </c>
      <c r="N555" s="9" t="str">
        <f t="shared" si="107"/>
        <v>Valid</v>
      </c>
      <c r="O555" t="str">
        <f t="shared" si="99"/>
        <v>Include</v>
      </c>
      <c r="P555" s="9">
        <f t="shared" si="100"/>
        <v>2035068.5799999984</v>
      </c>
      <c r="Q555" s="15">
        <f t="shared" si="101"/>
        <v>7469725</v>
      </c>
      <c r="R555" s="9">
        <f t="shared" si="102"/>
        <v>8495</v>
      </c>
      <c r="S555" s="9">
        <f t="shared" si="103"/>
        <v>7469725</v>
      </c>
      <c r="T555" s="15">
        <f t="shared" si="104"/>
        <v>16.686436250344954</v>
      </c>
      <c r="U555" s="15">
        <f>IF(O555="Exclude",0,G555*Fuel_Price!$B$2)</f>
        <v>1967.9787080000001</v>
      </c>
      <c r="V555" s="15">
        <f t="shared" si="105"/>
        <v>2989922.7577359979</v>
      </c>
    </row>
    <row r="556" spans="1:22">
      <c r="A556" s="1" t="s">
        <v>1387</v>
      </c>
      <c r="B556" s="1" t="s">
        <v>1388</v>
      </c>
      <c r="C556" s="1" t="s">
        <v>1285</v>
      </c>
      <c r="D556" s="1" t="s">
        <v>12</v>
      </c>
      <c r="E556" s="12">
        <v>5312</v>
      </c>
      <c r="F556" s="12" t="s">
        <v>13</v>
      </c>
      <c r="G556" s="6">
        <v>779.05</v>
      </c>
      <c r="H556" s="1">
        <v>31</v>
      </c>
      <c r="J556" t="str">
        <f t="shared" si="96"/>
        <v>OK</v>
      </c>
      <c r="K556" t="str">
        <f t="shared" si="97"/>
        <v>OK</v>
      </c>
      <c r="L556">
        <f t="shared" si="106"/>
        <v>12</v>
      </c>
      <c r="M556">
        <f t="shared" si="98"/>
        <v>10</v>
      </c>
      <c r="N556" s="9" t="str">
        <f t="shared" si="107"/>
        <v>Valid</v>
      </c>
      <c r="O556" t="str">
        <f t="shared" si="99"/>
        <v>Include</v>
      </c>
      <c r="P556" s="9">
        <f t="shared" si="100"/>
        <v>2035068.5799999984</v>
      </c>
      <c r="Q556" s="15">
        <f t="shared" si="101"/>
        <v>7469725</v>
      </c>
      <c r="R556" s="9">
        <f t="shared" si="102"/>
        <v>5312</v>
      </c>
      <c r="S556" s="9">
        <f t="shared" si="103"/>
        <v>7469725</v>
      </c>
      <c r="T556" s="15">
        <f t="shared" si="104"/>
        <v>16.686436250344954</v>
      </c>
      <c r="U556" s="15">
        <f>IF(O556="Exclude",0,G556*Fuel_Price!$B$2)</f>
        <v>1144.58026</v>
      </c>
      <c r="V556" s="15">
        <f t="shared" si="105"/>
        <v>2989922.7577359979</v>
      </c>
    </row>
    <row r="557" spans="1:22">
      <c r="A557" s="1" t="s">
        <v>1389</v>
      </c>
      <c r="B557" s="1" t="s">
        <v>1390</v>
      </c>
      <c r="C557" s="1" t="s">
        <v>1285</v>
      </c>
      <c r="D557" s="1" t="s">
        <v>12</v>
      </c>
      <c r="E557" s="12">
        <v>8061</v>
      </c>
      <c r="F557" s="12" t="s">
        <v>13</v>
      </c>
      <c r="G557" s="6">
        <v>1166.77</v>
      </c>
      <c r="H557" s="1">
        <v>31.41</v>
      </c>
      <c r="J557" t="str">
        <f t="shared" si="96"/>
        <v>OK</v>
      </c>
      <c r="K557" t="str">
        <f t="shared" si="97"/>
        <v>OK</v>
      </c>
      <c r="L557">
        <f t="shared" si="106"/>
        <v>12</v>
      </c>
      <c r="M557">
        <f t="shared" si="98"/>
        <v>10</v>
      </c>
      <c r="N557" s="9" t="str">
        <f t="shared" si="107"/>
        <v>Valid</v>
      </c>
      <c r="O557" t="str">
        <f t="shared" si="99"/>
        <v>Include</v>
      </c>
      <c r="P557" s="9">
        <f t="shared" si="100"/>
        <v>2035068.5799999984</v>
      </c>
      <c r="Q557" s="15">
        <f t="shared" si="101"/>
        <v>7469725</v>
      </c>
      <c r="R557" s="9">
        <f t="shared" si="102"/>
        <v>8061</v>
      </c>
      <c r="S557" s="9">
        <f t="shared" si="103"/>
        <v>7469725</v>
      </c>
      <c r="T557" s="15">
        <f t="shared" si="104"/>
        <v>16.686436250344954</v>
      </c>
      <c r="U557" s="15">
        <f>IF(O557="Exclude",0,G557*Fuel_Price!$B$2)</f>
        <v>1714.218484</v>
      </c>
      <c r="V557" s="15">
        <f t="shared" si="105"/>
        <v>2989922.7577359979</v>
      </c>
    </row>
    <row r="558" spans="1:22">
      <c r="A558" s="1" t="s">
        <v>1391</v>
      </c>
      <c r="B558" s="1" t="s">
        <v>1392</v>
      </c>
      <c r="C558" s="1" t="s">
        <v>1285</v>
      </c>
      <c r="D558" s="1" t="s">
        <v>12</v>
      </c>
      <c r="E558" s="12">
        <v>5882</v>
      </c>
      <c r="F558" s="12" t="s">
        <v>13</v>
      </c>
      <c r="G558" s="6">
        <v>915.91</v>
      </c>
      <c r="H558" s="1">
        <v>29.2</v>
      </c>
      <c r="J558" t="str">
        <f t="shared" si="96"/>
        <v>OK</v>
      </c>
      <c r="K558" t="str">
        <f t="shared" si="97"/>
        <v>OK</v>
      </c>
      <c r="L558">
        <f t="shared" si="106"/>
        <v>12</v>
      </c>
      <c r="M558">
        <f t="shared" si="98"/>
        <v>10</v>
      </c>
      <c r="N558" s="9" t="str">
        <f t="shared" si="107"/>
        <v>Valid</v>
      </c>
      <c r="O558" t="str">
        <f t="shared" si="99"/>
        <v>Include</v>
      </c>
      <c r="P558" s="9">
        <f t="shared" si="100"/>
        <v>2035068.5799999984</v>
      </c>
      <c r="Q558" s="15">
        <f t="shared" si="101"/>
        <v>7469725</v>
      </c>
      <c r="R558" s="9">
        <f t="shared" si="102"/>
        <v>5882</v>
      </c>
      <c r="S558" s="9">
        <f t="shared" si="103"/>
        <v>7469725</v>
      </c>
      <c r="T558" s="15">
        <f t="shared" si="104"/>
        <v>16.686436250344954</v>
      </c>
      <c r="U558" s="15">
        <f>IF(O558="Exclude",0,G558*Fuel_Price!$B$2)</f>
        <v>1345.654972</v>
      </c>
      <c r="V558" s="15">
        <f t="shared" si="105"/>
        <v>2989922.7577359979</v>
      </c>
    </row>
    <row r="559" spans="1:22">
      <c r="A559" s="1" t="s">
        <v>1393</v>
      </c>
      <c r="B559" s="1" t="s">
        <v>1394</v>
      </c>
      <c r="C559" s="1" t="s">
        <v>1285</v>
      </c>
      <c r="D559" s="1" t="s">
        <v>12</v>
      </c>
      <c r="E559" s="12">
        <v>8361</v>
      </c>
      <c r="F559" s="12" t="s">
        <v>13</v>
      </c>
      <c r="G559" s="6">
        <v>1156.07</v>
      </c>
      <c r="H559" s="1">
        <v>32.880000000000003</v>
      </c>
      <c r="J559" t="str">
        <f t="shared" si="96"/>
        <v>OK</v>
      </c>
      <c r="K559" t="str">
        <f t="shared" si="97"/>
        <v>OK</v>
      </c>
      <c r="L559">
        <f t="shared" si="106"/>
        <v>12</v>
      </c>
      <c r="M559">
        <f t="shared" si="98"/>
        <v>10</v>
      </c>
      <c r="N559" s="9" t="str">
        <f t="shared" si="107"/>
        <v>Valid</v>
      </c>
      <c r="O559" t="str">
        <f t="shared" si="99"/>
        <v>Include</v>
      </c>
      <c r="P559" s="9">
        <f t="shared" si="100"/>
        <v>2035068.5799999984</v>
      </c>
      <c r="Q559" s="15">
        <f t="shared" si="101"/>
        <v>7469725</v>
      </c>
      <c r="R559" s="9">
        <f t="shared" si="102"/>
        <v>8361</v>
      </c>
      <c r="S559" s="9">
        <f t="shared" si="103"/>
        <v>7469725</v>
      </c>
      <c r="T559" s="15">
        <f t="shared" si="104"/>
        <v>16.686436250344954</v>
      </c>
      <c r="U559" s="15">
        <f>IF(O559="Exclude",0,G559*Fuel_Price!$B$2)</f>
        <v>1698.4980439999999</v>
      </c>
      <c r="V559" s="15">
        <f t="shared" si="105"/>
        <v>2989922.7577359979</v>
      </c>
    </row>
    <row r="560" spans="1:22">
      <c r="A560" s="1" t="s">
        <v>1395</v>
      </c>
      <c r="B560" s="1" t="s">
        <v>1396</v>
      </c>
      <c r="C560" s="1" t="s">
        <v>1397</v>
      </c>
      <c r="D560" s="1" t="s">
        <v>12</v>
      </c>
      <c r="E560" s="12">
        <v>6424</v>
      </c>
      <c r="F560" s="12" t="s">
        <v>13</v>
      </c>
      <c r="G560" s="6">
        <v>1346.46</v>
      </c>
      <c r="H560" s="1">
        <v>21.69</v>
      </c>
      <c r="J560" t="str">
        <f t="shared" si="96"/>
        <v>OK</v>
      </c>
      <c r="K560" t="str">
        <f t="shared" si="97"/>
        <v>OK</v>
      </c>
      <c r="L560">
        <f t="shared" si="106"/>
        <v>12</v>
      </c>
      <c r="M560">
        <f t="shared" si="98"/>
        <v>10</v>
      </c>
      <c r="N560" s="9" t="str">
        <f t="shared" si="107"/>
        <v>Valid</v>
      </c>
      <c r="O560" t="str">
        <f t="shared" si="99"/>
        <v>Include</v>
      </c>
      <c r="P560" s="9">
        <f t="shared" si="100"/>
        <v>2035068.5799999984</v>
      </c>
      <c r="Q560" s="15">
        <f t="shared" si="101"/>
        <v>7469725</v>
      </c>
      <c r="R560" s="9">
        <f t="shared" si="102"/>
        <v>6424</v>
      </c>
      <c r="S560" s="9">
        <f t="shared" si="103"/>
        <v>7469725</v>
      </c>
      <c r="T560" s="15">
        <f t="shared" si="104"/>
        <v>16.686436250344954</v>
      </c>
      <c r="U560" s="15">
        <f>IF(O560="Exclude",0,G560*Fuel_Price!$B$2)</f>
        <v>1978.2190320000002</v>
      </c>
      <c r="V560" s="15">
        <f t="shared" si="105"/>
        <v>2989922.7577359979</v>
      </c>
    </row>
    <row r="561" spans="1:22">
      <c r="A561" s="1" t="s">
        <v>1398</v>
      </c>
      <c r="B561" s="1" t="s">
        <v>1399</v>
      </c>
      <c r="C561" s="1" t="s">
        <v>1397</v>
      </c>
      <c r="D561" s="1" t="s">
        <v>12</v>
      </c>
      <c r="E561" s="12">
        <v>5447</v>
      </c>
      <c r="F561" s="12" t="s">
        <v>13</v>
      </c>
      <c r="G561" s="6">
        <v>1043.33</v>
      </c>
      <c r="H561" s="1">
        <v>23.73</v>
      </c>
      <c r="J561" t="str">
        <f t="shared" si="96"/>
        <v>OK</v>
      </c>
      <c r="K561" t="str">
        <f t="shared" si="97"/>
        <v>OK</v>
      </c>
      <c r="L561">
        <f t="shared" si="106"/>
        <v>12</v>
      </c>
      <c r="M561">
        <f t="shared" si="98"/>
        <v>10</v>
      </c>
      <c r="N561" s="9" t="str">
        <f t="shared" si="107"/>
        <v>Valid</v>
      </c>
      <c r="O561" t="str">
        <f t="shared" si="99"/>
        <v>Include</v>
      </c>
      <c r="P561" s="9">
        <f t="shared" si="100"/>
        <v>2035068.5799999984</v>
      </c>
      <c r="Q561" s="15">
        <f t="shared" si="101"/>
        <v>7469725</v>
      </c>
      <c r="R561" s="9">
        <f t="shared" si="102"/>
        <v>5447</v>
      </c>
      <c r="S561" s="9">
        <f t="shared" si="103"/>
        <v>7469725</v>
      </c>
      <c r="T561" s="15">
        <f t="shared" si="104"/>
        <v>16.686436250344954</v>
      </c>
      <c r="U561" s="15">
        <f>IF(O561="Exclude",0,G561*Fuel_Price!$B$2)</f>
        <v>1532.8604359999999</v>
      </c>
      <c r="V561" s="15">
        <f t="shared" si="105"/>
        <v>2989922.7577359979</v>
      </c>
    </row>
    <row r="562" spans="1:22">
      <c r="A562" s="1" t="s">
        <v>1400</v>
      </c>
      <c r="B562" s="1" t="s">
        <v>1401</v>
      </c>
      <c r="C562" s="1" t="s">
        <v>1397</v>
      </c>
      <c r="D562" s="1" t="s">
        <v>12</v>
      </c>
      <c r="E562" s="12">
        <v>6193</v>
      </c>
      <c r="F562" s="12" t="s">
        <v>13</v>
      </c>
      <c r="G562" s="6">
        <v>1572.59</v>
      </c>
      <c r="H562" s="1">
        <v>17.899999999999999</v>
      </c>
      <c r="J562" t="str">
        <f t="shared" si="96"/>
        <v>OK</v>
      </c>
      <c r="K562" t="str">
        <f t="shared" si="97"/>
        <v>OK</v>
      </c>
      <c r="L562">
        <f t="shared" si="106"/>
        <v>12</v>
      </c>
      <c r="M562">
        <f t="shared" si="98"/>
        <v>10</v>
      </c>
      <c r="N562" s="9" t="str">
        <f t="shared" si="107"/>
        <v>Valid</v>
      </c>
      <c r="O562" t="str">
        <f t="shared" si="99"/>
        <v>Include</v>
      </c>
      <c r="P562" s="9">
        <f t="shared" si="100"/>
        <v>2035068.5799999984</v>
      </c>
      <c r="Q562" s="15">
        <f t="shared" si="101"/>
        <v>7469725</v>
      </c>
      <c r="R562" s="9">
        <f t="shared" si="102"/>
        <v>6193</v>
      </c>
      <c r="S562" s="9">
        <f t="shared" si="103"/>
        <v>7469725</v>
      </c>
      <c r="T562" s="15">
        <f t="shared" si="104"/>
        <v>16.686436250344954</v>
      </c>
      <c r="U562" s="15">
        <f>IF(O562="Exclude",0,G562*Fuel_Price!$B$2)</f>
        <v>2310.4492279999999</v>
      </c>
      <c r="V562" s="15">
        <f t="shared" si="105"/>
        <v>2989922.7577359979</v>
      </c>
    </row>
    <row r="563" spans="1:22">
      <c r="A563" s="1" t="s">
        <v>1402</v>
      </c>
      <c r="B563" s="1" t="s">
        <v>1403</v>
      </c>
      <c r="C563" s="1" t="s">
        <v>937</v>
      </c>
      <c r="D563" s="1" t="s">
        <v>12</v>
      </c>
      <c r="E563" s="12">
        <v>7871</v>
      </c>
      <c r="F563" s="12" t="s">
        <v>13</v>
      </c>
      <c r="G563" s="6">
        <v>1242.08</v>
      </c>
      <c r="H563" s="1">
        <v>28.81</v>
      </c>
      <c r="J563" t="str">
        <f t="shared" si="96"/>
        <v>OK</v>
      </c>
      <c r="K563" t="str">
        <f t="shared" si="97"/>
        <v>OK</v>
      </c>
      <c r="L563">
        <f t="shared" si="106"/>
        <v>12</v>
      </c>
      <c r="M563">
        <f t="shared" si="98"/>
        <v>10</v>
      </c>
      <c r="N563" s="9" t="str">
        <f t="shared" si="107"/>
        <v>Valid</v>
      </c>
      <c r="O563" t="str">
        <f t="shared" si="99"/>
        <v>Include</v>
      </c>
      <c r="P563" s="9">
        <f t="shared" si="100"/>
        <v>2035068.5799999984</v>
      </c>
      <c r="Q563" s="15">
        <f t="shared" si="101"/>
        <v>7469725</v>
      </c>
      <c r="R563" s="9">
        <f t="shared" si="102"/>
        <v>7871</v>
      </c>
      <c r="S563" s="9">
        <f t="shared" si="103"/>
        <v>7469725</v>
      </c>
      <c r="T563" s="15">
        <f t="shared" si="104"/>
        <v>16.686436250344954</v>
      </c>
      <c r="U563" s="15">
        <f>IF(O563="Exclude",0,G563*Fuel_Price!$B$2)</f>
        <v>1824.863936</v>
      </c>
      <c r="V563" s="15">
        <f t="shared" si="105"/>
        <v>2989922.7577359979</v>
      </c>
    </row>
    <row r="564" spans="1:22">
      <c r="A564" s="1" t="s">
        <v>1404</v>
      </c>
      <c r="B564" s="1" t="s">
        <v>1405</v>
      </c>
      <c r="C564" s="1" t="s">
        <v>937</v>
      </c>
      <c r="D564" s="1" t="s">
        <v>12</v>
      </c>
      <c r="E564" s="12">
        <v>7926</v>
      </c>
      <c r="F564" s="12" t="s">
        <v>13</v>
      </c>
      <c r="G564" s="6">
        <v>1159.21</v>
      </c>
      <c r="H564" s="1">
        <v>31.08</v>
      </c>
      <c r="J564" t="str">
        <f t="shared" si="96"/>
        <v>OK</v>
      </c>
      <c r="K564" t="str">
        <f t="shared" si="97"/>
        <v>OK</v>
      </c>
      <c r="L564">
        <f t="shared" si="106"/>
        <v>12</v>
      </c>
      <c r="M564">
        <f t="shared" si="98"/>
        <v>10</v>
      </c>
      <c r="N564" s="9" t="str">
        <f t="shared" si="107"/>
        <v>Valid</v>
      </c>
      <c r="O564" t="str">
        <f t="shared" si="99"/>
        <v>Include</v>
      </c>
      <c r="P564" s="9">
        <f t="shared" si="100"/>
        <v>2035068.5799999984</v>
      </c>
      <c r="Q564" s="15">
        <f t="shared" si="101"/>
        <v>7469725</v>
      </c>
      <c r="R564" s="9">
        <f t="shared" si="102"/>
        <v>7926</v>
      </c>
      <c r="S564" s="9">
        <f t="shared" si="103"/>
        <v>7469725</v>
      </c>
      <c r="T564" s="15">
        <f t="shared" si="104"/>
        <v>16.686436250344954</v>
      </c>
      <c r="U564" s="15">
        <f>IF(O564="Exclude",0,G564*Fuel_Price!$B$2)</f>
        <v>1703.1113320000002</v>
      </c>
      <c r="V564" s="15">
        <f t="shared" si="105"/>
        <v>2989922.7577359979</v>
      </c>
    </row>
    <row r="565" spans="1:22">
      <c r="A565" s="1" t="s">
        <v>1406</v>
      </c>
      <c r="B565" s="1" t="s">
        <v>1407</v>
      </c>
      <c r="C565" s="1" t="s">
        <v>518</v>
      </c>
      <c r="D565" s="1" t="s">
        <v>12</v>
      </c>
      <c r="E565" s="12">
        <v>4162</v>
      </c>
      <c r="F565" s="12" t="s">
        <v>13</v>
      </c>
      <c r="G565" s="6">
        <v>616.05999999999995</v>
      </c>
      <c r="H565" s="1">
        <v>30.71</v>
      </c>
      <c r="J565" t="str">
        <f t="shared" si="96"/>
        <v>OK</v>
      </c>
      <c r="K565" t="str">
        <f t="shared" si="97"/>
        <v>OK</v>
      </c>
      <c r="L565">
        <f t="shared" si="106"/>
        <v>12</v>
      </c>
      <c r="M565">
        <f t="shared" si="98"/>
        <v>10</v>
      </c>
      <c r="N565" s="9" t="str">
        <f t="shared" si="107"/>
        <v>Valid</v>
      </c>
      <c r="O565" t="str">
        <f t="shared" si="99"/>
        <v>Include</v>
      </c>
      <c r="P565" s="9">
        <f t="shared" si="100"/>
        <v>2035068.5799999984</v>
      </c>
      <c r="Q565" s="15">
        <f t="shared" si="101"/>
        <v>7469725</v>
      </c>
      <c r="R565" s="9">
        <f t="shared" si="102"/>
        <v>4162</v>
      </c>
      <c r="S565" s="9">
        <f t="shared" si="103"/>
        <v>7469725</v>
      </c>
      <c r="T565" s="15">
        <f t="shared" si="104"/>
        <v>16.686436250344954</v>
      </c>
      <c r="U565" s="15">
        <f>IF(O565="Exclude",0,G565*Fuel_Price!$B$2)</f>
        <v>905.11535199999992</v>
      </c>
      <c r="V565" s="15">
        <f t="shared" si="105"/>
        <v>2989922.7577359979</v>
      </c>
    </row>
    <row r="566" spans="1:22">
      <c r="A566" s="1" t="s">
        <v>1408</v>
      </c>
      <c r="B566" s="1" t="s">
        <v>1409</v>
      </c>
      <c r="C566" s="1" t="s">
        <v>937</v>
      </c>
      <c r="D566" s="1" t="s">
        <v>12</v>
      </c>
      <c r="E566" s="12">
        <v>8463</v>
      </c>
      <c r="F566" s="12" t="s">
        <v>13</v>
      </c>
      <c r="G566" s="6">
        <v>1432.06</v>
      </c>
      <c r="H566" s="1">
        <v>26.87</v>
      </c>
      <c r="J566" t="str">
        <f t="shared" si="96"/>
        <v>OK</v>
      </c>
      <c r="K566" t="str">
        <f t="shared" si="97"/>
        <v>OK</v>
      </c>
      <c r="L566">
        <f t="shared" si="106"/>
        <v>12</v>
      </c>
      <c r="M566">
        <f t="shared" si="98"/>
        <v>10</v>
      </c>
      <c r="N566" s="9" t="str">
        <f t="shared" si="107"/>
        <v>Valid</v>
      </c>
      <c r="O566" t="str">
        <f t="shared" si="99"/>
        <v>Include</v>
      </c>
      <c r="P566" s="9">
        <f t="shared" si="100"/>
        <v>2035068.5799999984</v>
      </c>
      <c r="Q566" s="15">
        <f t="shared" si="101"/>
        <v>7469725</v>
      </c>
      <c r="R566" s="9">
        <f t="shared" si="102"/>
        <v>8463</v>
      </c>
      <c r="S566" s="9">
        <f t="shared" si="103"/>
        <v>7469725</v>
      </c>
      <c r="T566" s="15">
        <f t="shared" si="104"/>
        <v>16.686436250344954</v>
      </c>
      <c r="U566" s="15">
        <f>IF(O566="Exclude",0,G566*Fuel_Price!$B$2)</f>
        <v>2103.9825519999999</v>
      </c>
      <c r="V566" s="15">
        <f t="shared" si="105"/>
        <v>2989922.7577359979</v>
      </c>
    </row>
    <row r="567" spans="1:22">
      <c r="A567" s="1" t="s">
        <v>1410</v>
      </c>
      <c r="B567" s="1" t="s">
        <v>1411</v>
      </c>
      <c r="C567" s="1" t="s">
        <v>937</v>
      </c>
      <c r="D567" s="1" t="s">
        <v>12</v>
      </c>
      <c r="E567" s="12">
        <v>6700</v>
      </c>
      <c r="F567" s="12" t="s">
        <v>13</v>
      </c>
      <c r="G567" s="6">
        <v>1179.1600000000001</v>
      </c>
      <c r="H567" s="1">
        <v>25.83</v>
      </c>
      <c r="J567" t="str">
        <f t="shared" si="96"/>
        <v>OK</v>
      </c>
      <c r="K567" t="str">
        <f t="shared" si="97"/>
        <v>OK</v>
      </c>
      <c r="L567">
        <f t="shared" si="106"/>
        <v>12</v>
      </c>
      <c r="M567">
        <f t="shared" si="98"/>
        <v>10</v>
      </c>
      <c r="N567" s="9" t="str">
        <f t="shared" si="107"/>
        <v>Valid</v>
      </c>
      <c r="O567" t="str">
        <f t="shared" si="99"/>
        <v>Include</v>
      </c>
      <c r="P567" s="9">
        <f t="shared" si="100"/>
        <v>2035068.5799999984</v>
      </c>
      <c r="Q567" s="15">
        <f t="shared" si="101"/>
        <v>7469725</v>
      </c>
      <c r="R567" s="9">
        <f t="shared" si="102"/>
        <v>6700</v>
      </c>
      <c r="S567" s="9">
        <f t="shared" si="103"/>
        <v>7469725</v>
      </c>
      <c r="T567" s="15">
        <f t="shared" si="104"/>
        <v>16.686436250344954</v>
      </c>
      <c r="U567" s="15">
        <f>IF(O567="Exclude",0,G567*Fuel_Price!$B$2)</f>
        <v>1732.4218720000001</v>
      </c>
      <c r="V567" s="15">
        <f t="shared" si="105"/>
        <v>2989922.7577359979</v>
      </c>
    </row>
    <row r="568" spans="1:22">
      <c r="A568" s="1" t="s">
        <v>1412</v>
      </c>
      <c r="B568" s="1" t="s">
        <v>1413</v>
      </c>
      <c r="C568" s="1" t="s">
        <v>937</v>
      </c>
      <c r="D568" s="1" t="s">
        <v>12</v>
      </c>
      <c r="E568" s="12">
        <v>8564</v>
      </c>
      <c r="F568" s="12" t="s">
        <v>13</v>
      </c>
      <c r="G568" s="6">
        <v>1352.92</v>
      </c>
      <c r="H568" s="1">
        <v>28.78</v>
      </c>
      <c r="J568" t="str">
        <f t="shared" si="96"/>
        <v>OK</v>
      </c>
      <c r="K568" t="str">
        <f t="shared" si="97"/>
        <v>OK</v>
      </c>
      <c r="L568">
        <f t="shared" si="106"/>
        <v>12</v>
      </c>
      <c r="M568">
        <f t="shared" si="98"/>
        <v>10</v>
      </c>
      <c r="N568" s="9" t="str">
        <f t="shared" si="107"/>
        <v>Valid</v>
      </c>
      <c r="O568" t="str">
        <f t="shared" si="99"/>
        <v>Include</v>
      </c>
      <c r="P568" s="9">
        <f t="shared" si="100"/>
        <v>2035068.5799999984</v>
      </c>
      <c r="Q568" s="15">
        <f t="shared" si="101"/>
        <v>7469725</v>
      </c>
      <c r="R568" s="9">
        <f t="shared" si="102"/>
        <v>8564</v>
      </c>
      <c r="S568" s="9">
        <f t="shared" si="103"/>
        <v>7469725</v>
      </c>
      <c r="T568" s="15">
        <f t="shared" si="104"/>
        <v>16.686436250344954</v>
      </c>
      <c r="U568" s="15">
        <f>IF(O568="Exclude",0,G568*Fuel_Price!$B$2)</f>
        <v>1987.7100640000001</v>
      </c>
      <c r="V568" s="15">
        <f t="shared" si="105"/>
        <v>2989922.7577359979</v>
      </c>
    </row>
    <row r="569" spans="1:22">
      <c r="A569" s="1" t="s">
        <v>1414</v>
      </c>
      <c r="B569" s="1" t="s">
        <v>1415</v>
      </c>
      <c r="C569" s="1" t="s">
        <v>937</v>
      </c>
      <c r="D569" s="1" t="s">
        <v>12</v>
      </c>
      <c r="E569" s="12">
        <v>8137</v>
      </c>
      <c r="F569" s="12" t="s">
        <v>13</v>
      </c>
      <c r="G569" s="6">
        <v>1231.53</v>
      </c>
      <c r="H569" s="1">
        <v>30.04</v>
      </c>
      <c r="J569" t="str">
        <f t="shared" si="96"/>
        <v>OK</v>
      </c>
      <c r="K569" t="str">
        <f t="shared" si="97"/>
        <v>OK</v>
      </c>
      <c r="L569">
        <f t="shared" si="106"/>
        <v>12</v>
      </c>
      <c r="M569">
        <f t="shared" si="98"/>
        <v>10</v>
      </c>
      <c r="N569" s="9" t="str">
        <f t="shared" si="107"/>
        <v>Valid</v>
      </c>
      <c r="O569" t="str">
        <f t="shared" si="99"/>
        <v>Include</v>
      </c>
      <c r="P569" s="9">
        <f t="shared" si="100"/>
        <v>2035068.5799999984</v>
      </c>
      <c r="Q569" s="15">
        <f t="shared" si="101"/>
        <v>7469725</v>
      </c>
      <c r="R569" s="9">
        <f t="shared" si="102"/>
        <v>8137</v>
      </c>
      <c r="S569" s="9">
        <f t="shared" si="103"/>
        <v>7469725</v>
      </c>
      <c r="T569" s="15">
        <f t="shared" si="104"/>
        <v>16.686436250344954</v>
      </c>
      <c r="U569" s="15">
        <f>IF(O569="Exclude",0,G569*Fuel_Price!$B$2)</f>
        <v>1809.3638760000001</v>
      </c>
      <c r="V569" s="15">
        <f t="shared" si="105"/>
        <v>2989922.7577359979</v>
      </c>
    </row>
    <row r="570" spans="1:22">
      <c r="A570" s="1" t="s">
        <v>1416</v>
      </c>
      <c r="B570" s="1" t="s">
        <v>1417</v>
      </c>
      <c r="C570" s="1" t="s">
        <v>937</v>
      </c>
      <c r="D570" s="1" t="s">
        <v>12</v>
      </c>
      <c r="E570" s="12">
        <v>4522</v>
      </c>
      <c r="F570" s="12" t="s">
        <v>13</v>
      </c>
      <c r="G570" s="6">
        <v>701.27</v>
      </c>
      <c r="H570" s="1">
        <v>29.31</v>
      </c>
      <c r="J570" t="str">
        <f t="shared" si="96"/>
        <v>OK</v>
      </c>
      <c r="K570" t="str">
        <f t="shared" si="97"/>
        <v>OK</v>
      </c>
      <c r="L570">
        <f t="shared" si="106"/>
        <v>12</v>
      </c>
      <c r="M570">
        <f t="shared" si="98"/>
        <v>10</v>
      </c>
      <c r="N570" s="9" t="str">
        <f t="shared" si="107"/>
        <v>Valid</v>
      </c>
      <c r="O570" t="str">
        <f t="shared" si="99"/>
        <v>Include</v>
      </c>
      <c r="P570" s="9">
        <f t="shared" si="100"/>
        <v>2035068.5799999984</v>
      </c>
      <c r="Q570" s="15">
        <f t="shared" si="101"/>
        <v>7469725</v>
      </c>
      <c r="R570" s="9">
        <f t="shared" si="102"/>
        <v>4522</v>
      </c>
      <c r="S570" s="9">
        <f t="shared" si="103"/>
        <v>7469725</v>
      </c>
      <c r="T570" s="15">
        <f t="shared" si="104"/>
        <v>16.686436250344954</v>
      </c>
      <c r="U570" s="15">
        <f>IF(O570="Exclude",0,G570*Fuel_Price!$B$2)</f>
        <v>1030.3058840000001</v>
      </c>
      <c r="V570" s="15">
        <f t="shared" si="105"/>
        <v>2989922.7577359979</v>
      </c>
    </row>
    <row r="571" spans="1:22">
      <c r="A571" s="1" t="s">
        <v>1418</v>
      </c>
      <c r="B571" s="1" t="s">
        <v>1419</v>
      </c>
      <c r="C571" s="1" t="s">
        <v>937</v>
      </c>
      <c r="D571" s="1" t="s">
        <v>12</v>
      </c>
      <c r="E571" s="12">
        <v>1447</v>
      </c>
      <c r="F571" s="12" t="s">
        <v>13</v>
      </c>
      <c r="G571" s="6">
        <v>337.67</v>
      </c>
      <c r="H571" s="1">
        <v>19.48</v>
      </c>
      <c r="J571" t="str">
        <f t="shared" si="96"/>
        <v>OK</v>
      </c>
      <c r="K571" t="str">
        <f t="shared" si="97"/>
        <v>OK</v>
      </c>
      <c r="L571">
        <f t="shared" si="106"/>
        <v>12</v>
      </c>
      <c r="M571">
        <f t="shared" si="98"/>
        <v>10</v>
      </c>
      <c r="N571" s="9" t="str">
        <f t="shared" si="107"/>
        <v>Valid</v>
      </c>
      <c r="O571" t="str">
        <f t="shared" si="99"/>
        <v>Include</v>
      </c>
      <c r="P571" s="9">
        <f t="shared" si="100"/>
        <v>2035068.5799999984</v>
      </c>
      <c r="Q571" s="15">
        <f t="shared" si="101"/>
        <v>7469725</v>
      </c>
      <c r="R571" s="9">
        <f t="shared" si="102"/>
        <v>1447</v>
      </c>
      <c r="S571" s="9">
        <f t="shared" si="103"/>
        <v>7469725</v>
      </c>
      <c r="T571" s="15">
        <f t="shared" si="104"/>
        <v>16.686436250344954</v>
      </c>
      <c r="U571" s="15">
        <f>IF(O571="Exclude",0,G571*Fuel_Price!$B$2)</f>
        <v>496.10476400000005</v>
      </c>
      <c r="V571" s="15">
        <f t="shared" si="105"/>
        <v>2989922.7577359979</v>
      </c>
    </row>
    <row r="572" spans="1:22">
      <c r="A572" s="1" t="s">
        <v>1420</v>
      </c>
      <c r="B572" s="1" t="s">
        <v>1421</v>
      </c>
      <c r="C572" s="1" t="s">
        <v>937</v>
      </c>
      <c r="D572" s="1" t="s">
        <v>12</v>
      </c>
      <c r="E572" s="12">
        <v>6269</v>
      </c>
      <c r="F572" s="12" t="s">
        <v>13</v>
      </c>
      <c r="G572" s="6">
        <v>1014.24</v>
      </c>
      <c r="H572" s="1">
        <v>28.1</v>
      </c>
      <c r="J572" t="str">
        <f t="shared" si="96"/>
        <v>OK</v>
      </c>
      <c r="K572" t="str">
        <f t="shared" si="97"/>
        <v>OK</v>
      </c>
      <c r="L572">
        <f t="shared" si="106"/>
        <v>12</v>
      </c>
      <c r="M572">
        <f t="shared" si="98"/>
        <v>10</v>
      </c>
      <c r="N572" s="9" t="str">
        <f t="shared" si="107"/>
        <v>Valid</v>
      </c>
      <c r="O572" t="str">
        <f t="shared" si="99"/>
        <v>Include</v>
      </c>
      <c r="P572" s="9">
        <f t="shared" si="100"/>
        <v>2035068.5799999984</v>
      </c>
      <c r="Q572" s="15">
        <f t="shared" si="101"/>
        <v>7469725</v>
      </c>
      <c r="R572" s="9">
        <f t="shared" si="102"/>
        <v>6269</v>
      </c>
      <c r="S572" s="9">
        <f t="shared" si="103"/>
        <v>7469725</v>
      </c>
      <c r="T572" s="15">
        <f t="shared" si="104"/>
        <v>16.686436250344954</v>
      </c>
      <c r="U572" s="15">
        <f>IF(O572="Exclude",0,G572*Fuel_Price!$B$2)</f>
        <v>1490.121408</v>
      </c>
      <c r="V572" s="15">
        <f t="shared" si="105"/>
        <v>2989922.7577359979</v>
      </c>
    </row>
    <row r="573" spans="1:22">
      <c r="A573" s="1" t="s">
        <v>1422</v>
      </c>
      <c r="B573" s="1" t="s">
        <v>1423</v>
      </c>
      <c r="C573" s="1" t="s">
        <v>937</v>
      </c>
      <c r="D573" s="1" t="s">
        <v>12</v>
      </c>
      <c r="E573" s="12">
        <v>5557</v>
      </c>
      <c r="F573" s="12" t="s">
        <v>13</v>
      </c>
      <c r="G573" s="6">
        <v>850.68</v>
      </c>
      <c r="H573" s="1">
        <v>29.7</v>
      </c>
      <c r="J573" t="str">
        <f t="shared" si="96"/>
        <v>OK</v>
      </c>
      <c r="K573" t="str">
        <f t="shared" si="97"/>
        <v>OK</v>
      </c>
      <c r="L573">
        <f t="shared" si="106"/>
        <v>12</v>
      </c>
      <c r="M573">
        <f t="shared" si="98"/>
        <v>10</v>
      </c>
      <c r="N573" s="9" t="str">
        <f t="shared" si="107"/>
        <v>Valid</v>
      </c>
      <c r="O573" t="str">
        <f t="shared" si="99"/>
        <v>Include</v>
      </c>
      <c r="P573" s="9">
        <f t="shared" si="100"/>
        <v>2035068.5799999984</v>
      </c>
      <c r="Q573" s="15">
        <f t="shared" si="101"/>
        <v>7469725</v>
      </c>
      <c r="R573" s="9">
        <f t="shared" si="102"/>
        <v>5557</v>
      </c>
      <c r="S573" s="9">
        <f t="shared" si="103"/>
        <v>7469725</v>
      </c>
      <c r="T573" s="15">
        <f t="shared" si="104"/>
        <v>16.686436250344954</v>
      </c>
      <c r="U573" s="15">
        <f>IF(O573="Exclude",0,G573*Fuel_Price!$B$2)</f>
        <v>1249.819056</v>
      </c>
      <c r="V573" s="15">
        <f t="shared" si="105"/>
        <v>2989922.7577359979</v>
      </c>
    </row>
    <row r="574" spans="1:22">
      <c r="A574" s="1" t="s">
        <v>1424</v>
      </c>
      <c r="B574" s="1" t="s">
        <v>1425</v>
      </c>
      <c r="C574" s="1" t="s">
        <v>937</v>
      </c>
      <c r="D574" s="1" t="s">
        <v>12</v>
      </c>
      <c r="E574" s="12">
        <v>6000</v>
      </c>
      <c r="F574" s="12" t="s">
        <v>13</v>
      </c>
      <c r="G574" s="6">
        <v>1615.47</v>
      </c>
      <c r="H574" s="1">
        <v>16.88</v>
      </c>
      <c r="J574" t="str">
        <f t="shared" si="96"/>
        <v>OK</v>
      </c>
      <c r="K574" t="str">
        <f t="shared" si="97"/>
        <v>OK</v>
      </c>
      <c r="L574">
        <f t="shared" si="106"/>
        <v>12</v>
      </c>
      <c r="M574">
        <f t="shared" si="98"/>
        <v>10</v>
      </c>
      <c r="N574" s="9" t="str">
        <f t="shared" si="107"/>
        <v>Valid</v>
      </c>
      <c r="O574" t="str">
        <f t="shared" si="99"/>
        <v>Include</v>
      </c>
      <c r="P574" s="9">
        <f t="shared" si="100"/>
        <v>2035068.5799999984</v>
      </c>
      <c r="Q574" s="15">
        <f t="shared" si="101"/>
        <v>7469725</v>
      </c>
      <c r="R574" s="9">
        <f t="shared" si="102"/>
        <v>6000</v>
      </c>
      <c r="S574" s="9">
        <f t="shared" si="103"/>
        <v>7469725</v>
      </c>
      <c r="T574" s="15">
        <f t="shared" si="104"/>
        <v>16.686436250344954</v>
      </c>
      <c r="U574" s="15">
        <f>IF(O574="Exclude",0,G574*Fuel_Price!$B$2)</f>
        <v>2373.4485240000004</v>
      </c>
      <c r="V574" s="15">
        <f t="shared" si="105"/>
        <v>2989922.7577359979</v>
      </c>
    </row>
    <row r="575" spans="1:22">
      <c r="A575" s="1" t="s">
        <v>1426</v>
      </c>
      <c r="B575" s="1" t="s">
        <v>1427</v>
      </c>
      <c r="C575" s="1" t="s">
        <v>937</v>
      </c>
      <c r="D575" s="1" t="s">
        <v>12</v>
      </c>
      <c r="E575" s="12">
        <v>8701</v>
      </c>
      <c r="F575" s="12" t="s">
        <v>13</v>
      </c>
      <c r="G575" s="6">
        <v>1346.45</v>
      </c>
      <c r="H575" s="1">
        <v>29.38</v>
      </c>
      <c r="J575" t="str">
        <f t="shared" si="96"/>
        <v>OK</v>
      </c>
      <c r="K575" t="str">
        <f t="shared" si="97"/>
        <v>OK</v>
      </c>
      <c r="L575">
        <f t="shared" si="106"/>
        <v>12</v>
      </c>
      <c r="M575">
        <f t="shared" si="98"/>
        <v>10</v>
      </c>
      <c r="N575" s="9" t="str">
        <f t="shared" si="107"/>
        <v>Valid</v>
      </c>
      <c r="O575" t="str">
        <f t="shared" si="99"/>
        <v>Include</v>
      </c>
      <c r="P575" s="9">
        <f t="shared" si="100"/>
        <v>2035068.5799999984</v>
      </c>
      <c r="Q575" s="15">
        <f t="shared" si="101"/>
        <v>7469725</v>
      </c>
      <c r="R575" s="9">
        <f t="shared" si="102"/>
        <v>8701</v>
      </c>
      <c r="S575" s="9">
        <f t="shared" si="103"/>
        <v>7469725</v>
      </c>
      <c r="T575" s="15">
        <f t="shared" si="104"/>
        <v>16.686436250344954</v>
      </c>
      <c r="U575" s="15">
        <f>IF(O575="Exclude",0,G575*Fuel_Price!$B$2)</f>
        <v>1978.2043400000002</v>
      </c>
      <c r="V575" s="15">
        <f t="shared" si="105"/>
        <v>2989922.7577359979</v>
      </c>
    </row>
    <row r="576" spans="1:22">
      <c r="A576" s="1" t="s">
        <v>1428</v>
      </c>
      <c r="B576" s="1" t="s">
        <v>1429</v>
      </c>
      <c r="C576" s="1" t="s">
        <v>937</v>
      </c>
      <c r="D576" s="1" t="s">
        <v>12</v>
      </c>
      <c r="E576" s="12">
        <v>8832</v>
      </c>
      <c r="F576" s="12" t="s">
        <v>13</v>
      </c>
      <c r="G576" s="6">
        <v>1250.99</v>
      </c>
      <c r="H576" s="1">
        <v>32.1</v>
      </c>
      <c r="J576" t="str">
        <f t="shared" si="96"/>
        <v>OK</v>
      </c>
      <c r="K576" t="str">
        <f t="shared" si="97"/>
        <v>OK</v>
      </c>
      <c r="L576">
        <f t="shared" si="106"/>
        <v>12</v>
      </c>
      <c r="M576">
        <f t="shared" si="98"/>
        <v>10</v>
      </c>
      <c r="N576" s="9" t="str">
        <f t="shared" si="107"/>
        <v>Valid</v>
      </c>
      <c r="O576" t="str">
        <f t="shared" si="99"/>
        <v>Include</v>
      </c>
      <c r="P576" s="9">
        <f t="shared" si="100"/>
        <v>2035068.5799999984</v>
      </c>
      <c r="Q576" s="15">
        <f t="shared" si="101"/>
        <v>7469725</v>
      </c>
      <c r="R576" s="9">
        <f t="shared" si="102"/>
        <v>8832</v>
      </c>
      <c r="S576" s="9">
        <f t="shared" si="103"/>
        <v>7469725</v>
      </c>
      <c r="T576" s="15">
        <f t="shared" si="104"/>
        <v>16.686436250344954</v>
      </c>
      <c r="U576" s="15">
        <f>IF(O576="Exclude",0,G576*Fuel_Price!$B$2)</f>
        <v>1837.954508</v>
      </c>
      <c r="V576" s="15">
        <f t="shared" si="105"/>
        <v>2989922.7577359979</v>
      </c>
    </row>
    <row r="577" spans="1:22">
      <c r="A577" s="1" t="s">
        <v>1430</v>
      </c>
      <c r="B577" s="1" t="s">
        <v>1431</v>
      </c>
      <c r="C577" s="1" t="s">
        <v>937</v>
      </c>
      <c r="D577" s="1" t="s">
        <v>12</v>
      </c>
      <c r="E577" s="12">
        <v>6601</v>
      </c>
      <c r="F577" s="12" t="s">
        <v>13</v>
      </c>
      <c r="G577" s="6">
        <v>905.56</v>
      </c>
      <c r="H577" s="1">
        <v>33.14</v>
      </c>
      <c r="J577" t="str">
        <f t="shared" si="96"/>
        <v>OK</v>
      </c>
      <c r="K577" t="str">
        <f t="shared" si="97"/>
        <v>OK</v>
      </c>
      <c r="L577">
        <f t="shared" si="106"/>
        <v>12</v>
      </c>
      <c r="M577">
        <f t="shared" si="98"/>
        <v>10</v>
      </c>
      <c r="N577" s="9" t="str">
        <f t="shared" si="107"/>
        <v>Valid</v>
      </c>
      <c r="O577" t="str">
        <f t="shared" si="99"/>
        <v>Include</v>
      </c>
      <c r="P577" s="9">
        <f t="shared" si="100"/>
        <v>2035068.5799999984</v>
      </c>
      <c r="Q577" s="15">
        <f t="shared" si="101"/>
        <v>7469725</v>
      </c>
      <c r="R577" s="9">
        <f t="shared" si="102"/>
        <v>6601</v>
      </c>
      <c r="S577" s="9">
        <f t="shared" si="103"/>
        <v>7469725</v>
      </c>
      <c r="T577" s="15">
        <f t="shared" si="104"/>
        <v>16.686436250344954</v>
      </c>
      <c r="U577" s="15">
        <f>IF(O577="Exclude",0,G577*Fuel_Price!$B$2)</f>
        <v>1330.448752</v>
      </c>
      <c r="V577" s="15">
        <f t="shared" si="105"/>
        <v>2989922.7577359979</v>
      </c>
    </row>
    <row r="578" spans="1:22">
      <c r="A578" s="1" t="s">
        <v>1432</v>
      </c>
      <c r="B578" s="1" t="s">
        <v>1433</v>
      </c>
      <c r="C578" s="1" t="s">
        <v>937</v>
      </c>
      <c r="D578" s="1" t="s">
        <v>12</v>
      </c>
      <c r="E578" s="12">
        <v>9334</v>
      </c>
      <c r="F578" s="12" t="s">
        <v>13</v>
      </c>
      <c r="G578" s="6">
        <v>1505.11</v>
      </c>
      <c r="H578" s="1">
        <v>28.19</v>
      </c>
      <c r="J578" t="str">
        <f t="shared" ref="J578:J641" si="108">IF(OR(H578&lt;=0,H578&gt;100),"Check","OK")</f>
        <v>OK</v>
      </c>
      <c r="K578" t="str">
        <f t="shared" ref="K578:K641" si="109">IF(E578&lt;0,"Check","OK")</f>
        <v>OK</v>
      </c>
      <c r="L578">
        <f t="shared" si="106"/>
        <v>12</v>
      </c>
      <c r="M578">
        <f t="shared" ref="M578:M641" si="110">COUNTIF(K:K,"Check")</f>
        <v>10</v>
      </c>
      <c r="N578" s="9" t="str">
        <f t="shared" si="107"/>
        <v>Valid</v>
      </c>
      <c r="O578" t="str">
        <f t="shared" ref="O578:O641" si="111">IF(N578="Review","Exclude","Include")</f>
        <v>Include</v>
      </c>
      <c r="P578" s="9">
        <f t="shared" ref="P578:P641" si="112">SUMIF(O:O,"Include",G:G)</f>
        <v>2035068.5799999984</v>
      </c>
      <c r="Q578" s="15">
        <f t="shared" ref="Q578:Q641" si="113">SUMIF(O:O,"Include",E:E)</f>
        <v>7469725</v>
      </c>
      <c r="R578" s="9">
        <f t="shared" ref="R578:R641" si="114">IF(O578="Exclude",0,E578)</f>
        <v>9334</v>
      </c>
      <c r="S578" s="9">
        <f t="shared" ref="S578:S641" si="115">SUM(R:R)</f>
        <v>7469725</v>
      </c>
      <c r="T578" s="15">
        <f t="shared" ref="T578:T641" si="116">S578/(P578/4.54609)</f>
        <v>16.686436250344954</v>
      </c>
      <c r="U578" s="15">
        <f>IF(O578="Exclude",0,G578*Fuel_Price!$B$2)</f>
        <v>2211.3076120000001</v>
      </c>
      <c r="V578" s="15">
        <f t="shared" ref="V578:V641" si="117">SUM(U:U)</f>
        <v>2989922.7577359979</v>
      </c>
    </row>
    <row r="579" spans="1:22">
      <c r="A579" s="1" t="s">
        <v>1434</v>
      </c>
      <c r="B579" s="1" t="s">
        <v>1435</v>
      </c>
      <c r="C579" s="1" t="s">
        <v>937</v>
      </c>
      <c r="D579" s="1" t="s">
        <v>12</v>
      </c>
      <c r="E579" s="12">
        <v>5143</v>
      </c>
      <c r="F579" s="12" t="s">
        <v>13</v>
      </c>
      <c r="G579" s="6">
        <v>905.1</v>
      </c>
      <c r="H579" s="1">
        <v>25.83</v>
      </c>
      <c r="J579" t="str">
        <f t="shared" si="108"/>
        <v>OK</v>
      </c>
      <c r="K579" t="str">
        <f t="shared" si="109"/>
        <v>OK</v>
      </c>
      <c r="L579">
        <f t="shared" ref="L579:L642" si="118">COUNTIF(J:J,"Check")</f>
        <v>12</v>
      </c>
      <c r="M579">
        <f t="shared" si="110"/>
        <v>10</v>
      </c>
      <c r="N579" s="9" t="str">
        <f t="shared" si="107"/>
        <v>Valid</v>
      </c>
      <c r="O579" t="str">
        <f t="shared" si="111"/>
        <v>Include</v>
      </c>
      <c r="P579" s="9">
        <f t="shared" si="112"/>
        <v>2035068.5799999984</v>
      </c>
      <c r="Q579" s="15">
        <f t="shared" si="113"/>
        <v>7469725</v>
      </c>
      <c r="R579" s="9">
        <f t="shared" si="114"/>
        <v>5143</v>
      </c>
      <c r="S579" s="9">
        <f t="shared" si="115"/>
        <v>7469725</v>
      </c>
      <c r="T579" s="15">
        <f t="shared" si="116"/>
        <v>16.686436250344954</v>
      </c>
      <c r="U579" s="15">
        <f>IF(O579="Exclude",0,G579*Fuel_Price!$B$2)</f>
        <v>1329.7729200000001</v>
      </c>
      <c r="V579" s="15">
        <f t="shared" si="117"/>
        <v>2989922.7577359979</v>
      </c>
    </row>
    <row r="580" spans="1:22">
      <c r="A580" s="1" t="s">
        <v>1436</v>
      </c>
      <c r="B580" s="1" t="s">
        <v>1437</v>
      </c>
      <c r="C580" s="1" t="s">
        <v>937</v>
      </c>
      <c r="D580" s="1" t="s">
        <v>12</v>
      </c>
      <c r="E580" s="12">
        <v>4239</v>
      </c>
      <c r="F580" s="12" t="s">
        <v>13</v>
      </c>
      <c r="G580" s="6">
        <v>675.89</v>
      </c>
      <c r="H580" s="1">
        <v>28.51</v>
      </c>
      <c r="J580" t="str">
        <f t="shared" si="108"/>
        <v>OK</v>
      </c>
      <c r="K580" t="str">
        <f t="shared" si="109"/>
        <v>OK</v>
      </c>
      <c r="L580">
        <f t="shared" si="118"/>
        <v>12</v>
      </c>
      <c r="M580">
        <f t="shared" si="110"/>
        <v>10</v>
      </c>
      <c r="N580" s="9" t="str">
        <f t="shared" si="107"/>
        <v>Valid</v>
      </c>
      <c r="O580" t="str">
        <f t="shared" si="111"/>
        <v>Include</v>
      </c>
      <c r="P580" s="9">
        <f t="shared" si="112"/>
        <v>2035068.5799999984</v>
      </c>
      <c r="Q580" s="15">
        <f t="shared" si="113"/>
        <v>7469725</v>
      </c>
      <c r="R580" s="9">
        <f t="shared" si="114"/>
        <v>4239</v>
      </c>
      <c r="S580" s="9">
        <f t="shared" si="115"/>
        <v>7469725</v>
      </c>
      <c r="T580" s="15">
        <f t="shared" si="116"/>
        <v>16.686436250344954</v>
      </c>
      <c r="U580" s="15">
        <f>IF(O580="Exclude",0,G580*Fuel_Price!$B$2)</f>
        <v>993.01758800000005</v>
      </c>
      <c r="V580" s="15">
        <f t="shared" si="117"/>
        <v>2989922.7577359979</v>
      </c>
    </row>
    <row r="581" spans="1:22">
      <c r="A581" s="1" t="s">
        <v>1438</v>
      </c>
      <c r="B581" s="1" t="s">
        <v>1439</v>
      </c>
      <c r="C581" s="1" t="s">
        <v>937</v>
      </c>
      <c r="D581" s="1" t="s">
        <v>12</v>
      </c>
      <c r="E581" s="12">
        <v>6165</v>
      </c>
      <c r="F581" s="12" t="s">
        <v>13</v>
      </c>
      <c r="G581" s="6">
        <v>1042.8800000000001</v>
      </c>
      <c r="H581" s="1">
        <v>26.87</v>
      </c>
      <c r="J581" t="str">
        <f t="shared" si="108"/>
        <v>OK</v>
      </c>
      <c r="K581" t="str">
        <f t="shared" si="109"/>
        <v>OK</v>
      </c>
      <c r="L581">
        <f t="shared" si="118"/>
        <v>12</v>
      </c>
      <c r="M581">
        <f t="shared" si="110"/>
        <v>10</v>
      </c>
      <c r="N581" s="9" t="str">
        <f t="shared" si="107"/>
        <v>Valid</v>
      </c>
      <c r="O581" t="str">
        <f t="shared" si="111"/>
        <v>Include</v>
      </c>
      <c r="P581" s="9">
        <f t="shared" si="112"/>
        <v>2035068.5799999984</v>
      </c>
      <c r="Q581" s="15">
        <f t="shared" si="113"/>
        <v>7469725</v>
      </c>
      <c r="R581" s="9">
        <f t="shared" si="114"/>
        <v>6165</v>
      </c>
      <c r="S581" s="9">
        <f t="shared" si="115"/>
        <v>7469725</v>
      </c>
      <c r="T581" s="15">
        <f t="shared" si="116"/>
        <v>16.686436250344954</v>
      </c>
      <c r="U581" s="15">
        <f>IF(O581="Exclude",0,G581*Fuel_Price!$B$2)</f>
        <v>1532.1992960000002</v>
      </c>
      <c r="V581" s="15">
        <f t="shared" si="117"/>
        <v>2989922.7577359979</v>
      </c>
    </row>
    <row r="582" spans="1:22">
      <c r="A582" s="1" t="s">
        <v>1440</v>
      </c>
      <c r="B582" s="1" t="s">
        <v>1441</v>
      </c>
      <c r="C582" s="1" t="s">
        <v>937</v>
      </c>
      <c r="D582" s="1" t="s">
        <v>12</v>
      </c>
      <c r="E582" s="12">
        <v>11280</v>
      </c>
      <c r="F582" s="12" t="s">
        <v>13</v>
      </c>
      <c r="G582" s="6">
        <v>1666.32</v>
      </c>
      <c r="H582" s="1">
        <v>30.77</v>
      </c>
      <c r="J582" t="str">
        <f t="shared" si="108"/>
        <v>OK</v>
      </c>
      <c r="K582" t="str">
        <f t="shared" si="109"/>
        <v>OK</v>
      </c>
      <c r="L582">
        <f t="shared" si="118"/>
        <v>12</v>
      </c>
      <c r="M582">
        <f t="shared" si="110"/>
        <v>10</v>
      </c>
      <c r="N582" s="9" t="str">
        <f t="shared" si="107"/>
        <v>Valid</v>
      </c>
      <c r="O582" t="str">
        <f t="shared" si="111"/>
        <v>Include</v>
      </c>
      <c r="P582" s="9">
        <f t="shared" si="112"/>
        <v>2035068.5799999984</v>
      </c>
      <c r="Q582" s="15">
        <f t="shared" si="113"/>
        <v>7469725</v>
      </c>
      <c r="R582" s="9">
        <f t="shared" si="114"/>
        <v>11280</v>
      </c>
      <c r="S582" s="9">
        <f t="shared" si="115"/>
        <v>7469725</v>
      </c>
      <c r="T582" s="15">
        <f t="shared" si="116"/>
        <v>16.686436250344954</v>
      </c>
      <c r="U582" s="15">
        <f>IF(O582="Exclude",0,G582*Fuel_Price!$B$2)</f>
        <v>2448.1573440000002</v>
      </c>
      <c r="V582" s="15">
        <f t="shared" si="117"/>
        <v>2989922.7577359979</v>
      </c>
    </row>
    <row r="583" spans="1:22">
      <c r="A583" s="1" t="s">
        <v>1442</v>
      </c>
      <c r="B583" s="1" t="s">
        <v>1443</v>
      </c>
      <c r="C583" s="1" t="s">
        <v>937</v>
      </c>
      <c r="D583" s="1" t="s">
        <v>12</v>
      </c>
      <c r="E583" s="12">
        <v>7724</v>
      </c>
      <c r="F583" s="12" t="s">
        <v>13</v>
      </c>
      <c r="G583" s="6">
        <v>1248.1300000000001</v>
      </c>
      <c r="H583" s="1">
        <v>28.13</v>
      </c>
      <c r="J583" t="str">
        <f t="shared" si="108"/>
        <v>OK</v>
      </c>
      <c r="K583" t="str">
        <f t="shared" si="109"/>
        <v>OK</v>
      </c>
      <c r="L583">
        <f t="shared" si="118"/>
        <v>12</v>
      </c>
      <c r="M583">
        <f t="shared" si="110"/>
        <v>10</v>
      </c>
      <c r="N583" s="9" t="str">
        <f t="shared" ref="N583:N646" si="119">IF(OR(H583&lt;=0,H583&gt;100,E583&lt;0),"Review","Valid")</f>
        <v>Valid</v>
      </c>
      <c r="O583" t="str">
        <f t="shared" si="111"/>
        <v>Include</v>
      </c>
      <c r="P583" s="9">
        <f t="shared" si="112"/>
        <v>2035068.5799999984</v>
      </c>
      <c r="Q583" s="15">
        <f t="shared" si="113"/>
        <v>7469725</v>
      </c>
      <c r="R583" s="9">
        <f t="shared" si="114"/>
        <v>7724</v>
      </c>
      <c r="S583" s="9">
        <f t="shared" si="115"/>
        <v>7469725</v>
      </c>
      <c r="T583" s="15">
        <f t="shared" si="116"/>
        <v>16.686436250344954</v>
      </c>
      <c r="U583" s="15">
        <f>IF(O583="Exclude",0,G583*Fuel_Price!$B$2)</f>
        <v>1833.7525960000003</v>
      </c>
      <c r="V583" s="15">
        <f t="shared" si="117"/>
        <v>2989922.7577359979</v>
      </c>
    </row>
    <row r="584" spans="1:22">
      <c r="A584" s="1" t="s">
        <v>1444</v>
      </c>
      <c r="B584" s="1" t="s">
        <v>1445</v>
      </c>
      <c r="C584" s="1" t="s">
        <v>937</v>
      </c>
      <c r="D584" s="1" t="s">
        <v>12</v>
      </c>
      <c r="E584" s="12">
        <v>6219</v>
      </c>
      <c r="F584" s="12" t="s">
        <v>13</v>
      </c>
      <c r="G584" s="6">
        <v>963.1</v>
      </c>
      <c r="H584" s="1">
        <v>29.36</v>
      </c>
      <c r="J584" t="str">
        <f t="shared" si="108"/>
        <v>OK</v>
      </c>
      <c r="K584" t="str">
        <f t="shared" si="109"/>
        <v>OK</v>
      </c>
      <c r="L584">
        <f t="shared" si="118"/>
        <v>12</v>
      </c>
      <c r="M584">
        <f t="shared" si="110"/>
        <v>10</v>
      </c>
      <c r="N584" s="9" t="str">
        <f t="shared" si="119"/>
        <v>Valid</v>
      </c>
      <c r="O584" t="str">
        <f t="shared" si="111"/>
        <v>Include</v>
      </c>
      <c r="P584" s="9">
        <f t="shared" si="112"/>
        <v>2035068.5799999984</v>
      </c>
      <c r="Q584" s="15">
        <f t="shared" si="113"/>
        <v>7469725</v>
      </c>
      <c r="R584" s="9">
        <f t="shared" si="114"/>
        <v>6219</v>
      </c>
      <c r="S584" s="9">
        <f t="shared" si="115"/>
        <v>7469725</v>
      </c>
      <c r="T584" s="15">
        <f t="shared" si="116"/>
        <v>16.686436250344954</v>
      </c>
      <c r="U584" s="15">
        <f>IF(O584="Exclude",0,G584*Fuel_Price!$B$2)</f>
        <v>1414.9865200000002</v>
      </c>
      <c r="V584" s="15">
        <f t="shared" si="117"/>
        <v>2989922.7577359979</v>
      </c>
    </row>
    <row r="585" spans="1:22">
      <c r="A585" s="1" t="s">
        <v>1446</v>
      </c>
      <c r="B585" s="1" t="s">
        <v>1447</v>
      </c>
      <c r="C585" s="1" t="s">
        <v>937</v>
      </c>
      <c r="D585" s="1" t="s">
        <v>12</v>
      </c>
      <c r="E585" s="12">
        <v>8558</v>
      </c>
      <c r="F585" s="12" t="s">
        <v>13</v>
      </c>
      <c r="G585" s="6">
        <v>1485.4</v>
      </c>
      <c r="H585" s="1">
        <v>26.19</v>
      </c>
      <c r="J585" t="str">
        <f t="shared" si="108"/>
        <v>OK</v>
      </c>
      <c r="K585" t="str">
        <f t="shared" si="109"/>
        <v>OK</v>
      </c>
      <c r="L585">
        <f t="shared" si="118"/>
        <v>12</v>
      </c>
      <c r="M585">
        <f t="shared" si="110"/>
        <v>10</v>
      </c>
      <c r="N585" s="9" t="str">
        <f t="shared" si="119"/>
        <v>Valid</v>
      </c>
      <c r="O585" t="str">
        <f t="shared" si="111"/>
        <v>Include</v>
      </c>
      <c r="P585" s="9">
        <f t="shared" si="112"/>
        <v>2035068.5799999984</v>
      </c>
      <c r="Q585" s="15">
        <f t="shared" si="113"/>
        <v>7469725</v>
      </c>
      <c r="R585" s="9">
        <f t="shared" si="114"/>
        <v>8558</v>
      </c>
      <c r="S585" s="9">
        <f t="shared" si="115"/>
        <v>7469725</v>
      </c>
      <c r="T585" s="15">
        <f t="shared" si="116"/>
        <v>16.686436250344954</v>
      </c>
      <c r="U585" s="15">
        <f>IF(O585="Exclude",0,G585*Fuel_Price!$B$2)</f>
        <v>2182.3496800000003</v>
      </c>
      <c r="V585" s="15">
        <f t="shared" si="117"/>
        <v>2989922.7577359979</v>
      </c>
    </row>
    <row r="586" spans="1:22">
      <c r="A586" s="1" t="s">
        <v>1448</v>
      </c>
      <c r="B586" s="1" t="s">
        <v>1449</v>
      </c>
      <c r="C586" s="1" t="s">
        <v>937</v>
      </c>
      <c r="D586" s="1" t="s">
        <v>12</v>
      </c>
      <c r="E586" s="12">
        <v>4523</v>
      </c>
      <c r="F586" s="12" t="s">
        <v>13</v>
      </c>
      <c r="G586" s="6">
        <v>718.57</v>
      </c>
      <c r="H586" s="1">
        <v>28.62</v>
      </c>
      <c r="J586" t="str">
        <f t="shared" si="108"/>
        <v>OK</v>
      </c>
      <c r="K586" t="str">
        <f t="shared" si="109"/>
        <v>OK</v>
      </c>
      <c r="L586">
        <f t="shared" si="118"/>
        <v>12</v>
      </c>
      <c r="M586">
        <f t="shared" si="110"/>
        <v>10</v>
      </c>
      <c r="N586" s="9" t="str">
        <f t="shared" si="119"/>
        <v>Valid</v>
      </c>
      <c r="O586" t="str">
        <f t="shared" si="111"/>
        <v>Include</v>
      </c>
      <c r="P586" s="9">
        <f t="shared" si="112"/>
        <v>2035068.5799999984</v>
      </c>
      <c r="Q586" s="15">
        <f t="shared" si="113"/>
        <v>7469725</v>
      </c>
      <c r="R586" s="9">
        <f t="shared" si="114"/>
        <v>4523</v>
      </c>
      <c r="S586" s="9">
        <f t="shared" si="115"/>
        <v>7469725</v>
      </c>
      <c r="T586" s="15">
        <f t="shared" si="116"/>
        <v>16.686436250344954</v>
      </c>
      <c r="U586" s="15">
        <f>IF(O586="Exclude",0,G586*Fuel_Price!$B$2)</f>
        <v>1055.7230440000001</v>
      </c>
      <c r="V586" s="15">
        <f t="shared" si="117"/>
        <v>2989922.7577359979</v>
      </c>
    </row>
    <row r="587" spans="1:22">
      <c r="A587" s="1" t="s">
        <v>1450</v>
      </c>
      <c r="B587" s="1" t="s">
        <v>1451</v>
      </c>
      <c r="C587" s="1" t="s">
        <v>937</v>
      </c>
      <c r="D587" s="1" t="s">
        <v>12</v>
      </c>
      <c r="E587" s="12">
        <v>5660</v>
      </c>
      <c r="F587" s="12" t="s">
        <v>13</v>
      </c>
      <c r="G587" s="6">
        <v>997.53</v>
      </c>
      <c r="H587" s="1">
        <v>25.79</v>
      </c>
      <c r="J587" t="str">
        <f t="shared" si="108"/>
        <v>OK</v>
      </c>
      <c r="K587" t="str">
        <f t="shared" si="109"/>
        <v>OK</v>
      </c>
      <c r="L587">
        <f t="shared" si="118"/>
        <v>12</v>
      </c>
      <c r="M587">
        <f t="shared" si="110"/>
        <v>10</v>
      </c>
      <c r="N587" s="9" t="str">
        <f t="shared" si="119"/>
        <v>Valid</v>
      </c>
      <c r="O587" t="str">
        <f t="shared" si="111"/>
        <v>Include</v>
      </c>
      <c r="P587" s="9">
        <f t="shared" si="112"/>
        <v>2035068.5799999984</v>
      </c>
      <c r="Q587" s="15">
        <f t="shared" si="113"/>
        <v>7469725</v>
      </c>
      <c r="R587" s="9">
        <f t="shared" si="114"/>
        <v>5660</v>
      </c>
      <c r="S587" s="9">
        <f t="shared" si="115"/>
        <v>7469725</v>
      </c>
      <c r="T587" s="15">
        <f t="shared" si="116"/>
        <v>16.686436250344954</v>
      </c>
      <c r="U587" s="15">
        <f>IF(O587="Exclude",0,G587*Fuel_Price!$B$2)</f>
        <v>1465.5710759999999</v>
      </c>
      <c r="V587" s="15">
        <f t="shared" si="117"/>
        <v>2989922.7577359979</v>
      </c>
    </row>
    <row r="588" spans="1:22">
      <c r="A588" s="1" t="s">
        <v>1452</v>
      </c>
      <c r="B588" s="1" t="s">
        <v>1453</v>
      </c>
      <c r="C588" s="1" t="s">
        <v>937</v>
      </c>
      <c r="D588" s="1" t="s">
        <v>12</v>
      </c>
      <c r="E588" s="12">
        <v>7386</v>
      </c>
      <c r="F588" s="12" t="s">
        <v>13</v>
      </c>
      <c r="G588" s="6">
        <v>1387.68</v>
      </c>
      <c r="H588" s="1">
        <v>24.2</v>
      </c>
      <c r="J588" t="str">
        <f t="shared" si="108"/>
        <v>OK</v>
      </c>
      <c r="K588" t="str">
        <f t="shared" si="109"/>
        <v>OK</v>
      </c>
      <c r="L588">
        <f t="shared" si="118"/>
        <v>12</v>
      </c>
      <c r="M588">
        <f t="shared" si="110"/>
        <v>10</v>
      </c>
      <c r="N588" s="9" t="str">
        <f t="shared" si="119"/>
        <v>Valid</v>
      </c>
      <c r="O588" t="str">
        <f t="shared" si="111"/>
        <v>Include</v>
      </c>
      <c r="P588" s="9">
        <f t="shared" si="112"/>
        <v>2035068.5799999984</v>
      </c>
      <c r="Q588" s="15">
        <f t="shared" si="113"/>
        <v>7469725</v>
      </c>
      <c r="R588" s="9">
        <f t="shared" si="114"/>
        <v>7386</v>
      </c>
      <c r="S588" s="9">
        <f t="shared" si="115"/>
        <v>7469725</v>
      </c>
      <c r="T588" s="15">
        <f t="shared" si="116"/>
        <v>16.686436250344954</v>
      </c>
      <c r="U588" s="15">
        <f>IF(O588="Exclude",0,G588*Fuel_Price!$B$2)</f>
        <v>2038.7794560000002</v>
      </c>
      <c r="V588" s="15">
        <f t="shared" si="117"/>
        <v>2989922.7577359979</v>
      </c>
    </row>
    <row r="589" spans="1:22">
      <c r="A589" s="1" t="s">
        <v>1454</v>
      </c>
      <c r="B589" s="1" t="s">
        <v>1455</v>
      </c>
      <c r="C589" s="1" t="s">
        <v>937</v>
      </c>
      <c r="D589" s="1" t="s">
        <v>12</v>
      </c>
      <c r="E589" s="12">
        <v>8107</v>
      </c>
      <c r="F589" s="12" t="s">
        <v>13</v>
      </c>
      <c r="G589" s="6">
        <v>1648.07</v>
      </c>
      <c r="H589" s="1">
        <v>22.36</v>
      </c>
      <c r="J589" t="str">
        <f t="shared" si="108"/>
        <v>OK</v>
      </c>
      <c r="K589" t="str">
        <f t="shared" si="109"/>
        <v>OK</v>
      </c>
      <c r="L589">
        <f t="shared" si="118"/>
        <v>12</v>
      </c>
      <c r="M589">
        <f t="shared" si="110"/>
        <v>10</v>
      </c>
      <c r="N589" s="9" t="str">
        <f t="shared" si="119"/>
        <v>Valid</v>
      </c>
      <c r="O589" t="str">
        <f t="shared" si="111"/>
        <v>Include</v>
      </c>
      <c r="P589" s="9">
        <f t="shared" si="112"/>
        <v>2035068.5799999984</v>
      </c>
      <c r="Q589" s="15">
        <f t="shared" si="113"/>
        <v>7469725</v>
      </c>
      <c r="R589" s="9">
        <f t="shared" si="114"/>
        <v>8107</v>
      </c>
      <c r="S589" s="9">
        <f t="shared" si="115"/>
        <v>7469725</v>
      </c>
      <c r="T589" s="15">
        <f t="shared" si="116"/>
        <v>16.686436250344954</v>
      </c>
      <c r="U589" s="15">
        <f>IF(O589="Exclude",0,G589*Fuel_Price!$B$2)</f>
        <v>2421.3444439999998</v>
      </c>
      <c r="V589" s="15">
        <f t="shared" si="117"/>
        <v>2989922.7577359979</v>
      </c>
    </row>
    <row r="590" spans="1:22">
      <c r="A590" s="1" t="s">
        <v>1456</v>
      </c>
      <c r="B590" s="1" t="s">
        <v>1457</v>
      </c>
      <c r="C590" s="1" t="s">
        <v>937</v>
      </c>
      <c r="D590" s="1" t="s">
        <v>12</v>
      </c>
      <c r="E590" s="12">
        <v>4783</v>
      </c>
      <c r="F590" s="12" t="s">
        <v>13</v>
      </c>
      <c r="G590" s="6">
        <v>837.34</v>
      </c>
      <c r="H590" s="1">
        <v>25.97</v>
      </c>
      <c r="J590" t="str">
        <f t="shared" si="108"/>
        <v>OK</v>
      </c>
      <c r="K590" t="str">
        <f t="shared" si="109"/>
        <v>OK</v>
      </c>
      <c r="L590">
        <f t="shared" si="118"/>
        <v>12</v>
      </c>
      <c r="M590">
        <f t="shared" si="110"/>
        <v>10</v>
      </c>
      <c r="N590" s="9" t="str">
        <f t="shared" si="119"/>
        <v>Valid</v>
      </c>
      <c r="O590" t="str">
        <f t="shared" si="111"/>
        <v>Include</v>
      </c>
      <c r="P590" s="9">
        <f t="shared" si="112"/>
        <v>2035068.5799999984</v>
      </c>
      <c r="Q590" s="15">
        <f t="shared" si="113"/>
        <v>7469725</v>
      </c>
      <c r="R590" s="9">
        <f t="shared" si="114"/>
        <v>4783</v>
      </c>
      <c r="S590" s="9">
        <f t="shared" si="115"/>
        <v>7469725</v>
      </c>
      <c r="T590" s="15">
        <f t="shared" si="116"/>
        <v>16.686436250344954</v>
      </c>
      <c r="U590" s="15">
        <f>IF(O590="Exclude",0,G590*Fuel_Price!$B$2)</f>
        <v>1230.2199280000002</v>
      </c>
      <c r="V590" s="15">
        <f t="shared" si="117"/>
        <v>2989922.7577359979</v>
      </c>
    </row>
    <row r="591" spans="1:22">
      <c r="A591" s="1" t="s">
        <v>1458</v>
      </c>
      <c r="B591" s="1" t="s">
        <v>1459</v>
      </c>
      <c r="C591" s="1" t="s">
        <v>937</v>
      </c>
      <c r="D591" s="1" t="s">
        <v>12</v>
      </c>
      <c r="E591" s="12">
        <v>4243</v>
      </c>
      <c r="F591" s="12" t="s">
        <v>13</v>
      </c>
      <c r="G591" s="6">
        <v>684.41</v>
      </c>
      <c r="H591" s="1">
        <v>28.18</v>
      </c>
      <c r="J591" t="str">
        <f t="shared" si="108"/>
        <v>OK</v>
      </c>
      <c r="K591" t="str">
        <f t="shared" si="109"/>
        <v>OK</v>
      </c>
      <c r="L591">
        <f t="shared" si="118"/>
        <v>12</v>
      </c>
      <c r="M591">
        <f t="shared" si="110"/>
        <v>10</v>
      </c>
      <c r="N591" s="9" t="str">
        <f t="shared" si="119"/>
        <v>Valid</v>
      </c>
      <c r="O591" t="str">
        <f t="shared" si="111"/>
        <v>Include</v>
      </c>
      <c r="P591" s="9">
        <f t="shared" si="112"/>
        <v>2035068.5799999984</v>
      </c>
      <c r="Q591" s="15">
        <f t="shared" si="113"/>
        <v>7469725</v>
      </c>
      <c r="R591" s="9">
        <f t="shared" si="114"/>
        <v>4243</v>
      </c>
      <c r="S591" s="9">
        <f t="shared" si="115"/>
        <v>7469725</v>
      </c>
      <c r="T591" s="15">
        <f t="shared" si="116"/>
        <v>16.686436250344954</v>
      </c>
      <c r="U591" s="15">
        <f>IF(O591="Exclude",0,G591*Fuel_Price!$B$2)</f>
        <v>1005.535172</v>
      </c>
      <c r="V591" s="15">
        <f t="shared" si="117"/>
        <v>2989922.7577359979</v>
      </c>
    </row>
    <row r="592" spans="1:22">
      <c r="A592" s="1" t="s">
        <v>1460</v>
      </c>
      <c r="B592" s="1" t="s">
        <v>1461</v>
      </c>
      <c r="C592" s="1" t="s">
        <v>937</v>
      </c>
      <c r="D592" s="1" t="s">
        <v>12</v>
      </c>
      <c r="E592" s="12">
        <v>4065</v>
      </c>
      <c r="F592" s="12" t="s">
        <v>13</v>
      </c>
      <c r="G592" s="6">
        <v>765.08</v>
      </c>
      <c r="H592" s="1">
        <v>24.15</v>
      </c>
      <c r="J592" t="str">
        <f t="shared" si="108"/>
        <v>OK</v>
      </c>
      <c r="K592" t="str">
        <f t="shared" si="109"/>
        <v>OK</v>
      </c>
      <c r="L592">
        <f t="shared" si="118"/>
        <v>12</v>
      </c>
      <c r="M592">
        <f t="shared" si="110"/>
        <v>10</v>
      </c>
      <c r="N592" s="9" t="str">
        <f t="shared" si="119"/>
        <v>Valid</v>
      </c>
      <c r="O592" t="str">
        <f t="shared" si="111"/>
        <v>Include</v>
      </c>
      <c r="P592" s="9">
        <f t="shared" si="112"/>
        <v>2035068.5799999984</v>
      </c>
      <c r="Q592" s="15">
        <f t="shared" si="113"/>
        <v>7469725</v>
      </c>
      <c r="R592" s="9">
        <f t="shared" si="114"/>
        <v>4065</v>
      </c>
      <c r="S592" s="9">
        <f t="shared" si="115"/>
        <v>7469725</v>
      </c>
      <c r="T592" s="15">
        <f t="shared" si="116"/>
        <v>16.686436250344954</v>
      </c>
      <c r="U592" s="15">
        <f>IF(O592="Exclude",0,G592*Fuel_Price!$B$2)</f>
        <v>1124.0555360000001</v>
      </c>
      <c r="V592" s="15">
        <f t="shared" si="117"/>
        <v>2989922.7577359979</v>
      </c>
    </row>
    <row r="593" spans="1:22">
      <c r="A593" s="1" t="s">
        <v>1468</v>
      </c>
      <c r="B593" s="1" t="s">
        <v>1469</v>
      </c>
      <c r="C593" s="1" t="s">
        <v>937</v>
      </c>
      <c r="D593" s="1" t="s">
        <v>12</v>
      </c>
      <c r="E593" s="12">
        <v>10898</v>
      </c>
      <c r="F593" s="12" t="s">
        <v>13</v>
      </c>
      <c r="G593" s="6">
        <v>1959.51</v>
      </c>
      <c r="H593" s="1">
        <v>25.28</v>
      </c>
      <c r="J593" t="str">
        <f t="shared" si="108"/>
        <v>OK</v>
      </c>
      <c r="K593" t="str">
        <f t="shared" si="109"/>
        <v>OK</v>
      </c>
      <c r="L593">
        <f t="shared" si="118"/>
        <v>12</v>
      </c>
      <c r="M593">
        <f t="shared" si="110"/>
        <v>10</v>
      </c>
      <c r="N593" s="9" t="str">
        <f t="shared" si="119"/>
        <v>Valid</v>
      </c>
      <c r="O593" t="str">
        <f t="shared" si="111"/>
        <v>Include</v>
      </c>
      <c r="P593" s="9">
        <f t="shared" si="112"/>
        <v>2035068.5799999984</v>
      </c>
      <c r="Q593" s="15">
        <f t="shared" si="113"/>
        <v>7469725</v>
      </c>
      <c r="R593" s="9">
        <f t="shared" si="114"/>
        <v>10898</v>
      </c>
      <c r="S593" s="9">
        <f t="shared" si="115"/>
        <v>7469725</v>
      </c>
      <c r="T593" s="15">
        <f t="shared" si="116"/>
        <v>16.686436250344954</v>
      </c>
      <c r="U593" s="15">
        <f>IF(O593="Exclude",0,G593*Fuel_Price!$B$2)</f>
        <v>2878.912092</v>
      </c>
      <c r="V593" s="15">
        <f t="shared" si="117"/>
        <v>2989922.7577359979</v>
      </c>
    </row>
    <row r="594" spans="1:22">
      <c r="A594" s="1" t="s">
        <v>1478</v>
      </c>
      <c r="B594" s="1" t="s">
        <v>1479</v>
      </c>
      <c r="C594" s="1" t="s">
        <v>1480</v>
      </c>
      <c r="D594" s="1" t="s">
        <v>12</v>
      </c>
      <c r="E594" s="12">
        <v>12784</v>
      </c>
      <c r="F594" s="12" t="s">
        <v>13</v>
      </c>
      <c r="G594" s="6">
        <v>2695.42</v>
      </c>
      <c r="H594" s="1">
        <v>21.56</v>
      </c>
      <c r="J594" t="str">
        <f t="shared" si="108"/>
        <v>OK</v>
      </c>
      <c r="K594" t="str">
        <f t="shared" si="109"/>
        <v>OK</v>
      </c>
      <c r="L594">
        <f t="shared" si="118"/>
        <v>12</v>
      </c>
      <c r="M594">
        <f t="shared" si="110"/>
        <v>10</v>
      </c>
      <c r="N594" s="9" t="str">
        <f t="shared" si="119"/>
        <v>Valid</v>
      </c>
      <c r="O594" t="str">
        <f t="shared" si="111"/>
        <v>Include</v>
      </c>
      <c r="P594" s="9">
        <f t="shared" si="112"/>
        <v>2035068.5799999984</v>
      </c>
      <c r="Q594" s="15">
        <f t="shared" si="113"/>
        <v>7469725</v>
      </c>
      <c r="R594" s="9">
        <f t="shared" si="114"/>
        <v>12784</v>
      </c>
      <c r="S594" s="9">
        <f t="shared" si="115"/>
        <v>7469725</v>
      </c>
      <c r="T594" s="15">
        <f t="shared" si="116"/>
        <v>16.686436250344954</v>
      </c>
      <c r="U594" s="15">
        <f>IF(O594="Exclude",0,G594*Fuel_Price!$B$2)</f>
        <v>3960.1110640000002</v>
      </c>
      <c r="V594" s="15">
        <f t="shared" si="117"/>
        <v>2989922.7577359979</v>
      </c>
    </row>
    <row r="595" spans="1:22">
      <c r="A595" s="1" t="s">
        <v>1481</v>
      </c>
      <c r="B595" s="1" t="s">
        <v>1482</v>
      </c>
      <c r="C595" s="1" t="s">
        <v>1483</v>
      </c>
      <c r="D595" s="1" t="s">
        <v>12</v>
      </c>
      <c r="E595" s="12">
        <v>6059</v>
      </c>
      <c r="F595" s="12" t="s">
        <v>13</v>
      </c>
      <c r="G595" s="6">
        <v>1298.3800000000001</v>
      </c>
      <c r="H595" s="1">
        <v>21.21</v>
      </c>
      <c r="J595" t="str">
        <f t="shared" si="108"/>
        <v>OK</v>
      </c>
      <c r="K595" t="str">
        <f t="shared" si="109"/>
        <v>OK</v>
      </c>
      <c r="L595">
        <f t="shared" si="118"/>
        <v>12</v>
      </c>
      <c r="M595">
        <f t="shared" si="110"/>
        <v>10</v>
      </c>
      <c r="N595" s="9" t="str">
        <f t="shared" si="119"/>
        <v>Valid</v>
      </c>
      <c r="O595" t="str">
        <f t="shared" si="111"/>
        <v>Include</v>
      </c>
      <c r="P595" s="9">
        <f t="shared" si="112"/>
        <v>2035068.5799999984</v>
      </c>
      <c r="Q595" s="15">
        <f t="shared" si="113"/>
        <v>7469725</v>
      </c>
      <c r="R595" s="9">
        <f t="shared" si="114"/>
        <v>6059</v>
      </c>
      <c r="S595" s="9">
        <f t="shared" si="115"/>
        <v>7469725</v>
      </c>
      <c r="T595" s="15">
        <f t="shared" si="116"/>
        <v>16.686436250344954</v>
      </c>
      <c r="U595" s="15">
        <f>IF(O595="Exclude",0,G595*Fuel_Price!$B$2)</f>
        <v>1907.5798960000002</v>
      </c>
      <c r="V595" s="15">
        <f t="shared" si="117"/>
        <v>2989922.7577359979</v>
      </c>
    </row>
    <row r="596" spans="1:22">
      <c r="A596" s="1" t="s">
        <v>1484</v>
      </c>
      <c r="B596" s="1" t="s">
        <v>1485</v>
      </c>
      <c r="C596" s="1" t="s">
        <v>1486</v>
      </c>
      <c r="D596" s="1" t="s">
        <v>12</v>
      </c>
      <c r="E596" s="12">
        <v>4991</v>
      </c>
      <c r="F596" s="12" t="s">
        <v>13</v>
      </c>
      <c r="G596" s="6">
        <v>1144.21</v>
      </c>
      <c r="H596" s="1">
        <v>19.829999999999998</v>
      </c>
      <c r="J596" t="str">
        <f t="shared" si="108"/>
        <v>OK</v>
      </c>
      <c r="K596" t="str">
        <f t="shared" si="109"/>
        <v>OK</v>
      </c>
      <c r="L596">
        <f t="shared" si="118"/>
        <v>12</v>
      </c>
      <c r="M596">
        <f t="shared" si="110"/>
        <v>10</v>
      </c>
      <c r="N596" s="9" t="str">
        <f t="shared" si="119"/>
        <v>Valid</v>
      </c>
      <c r="O596" t="str">
        <f t="shared" si="111"/>
        <v>Include</v>
      </c>
      <c r="P596" s="9">
        <f t="shared" si="112"/>
        <v>2035068.5799999984</v>
      </c>
      <c r="Q596" s="15">
        <f t="shared" si="113"/>
        <v>7469725</v>
      </c>
      <c r="R596" s="9">
        <f t="shared" si="114"/>
        <v>4991</v>
      </c>
      <c r="S596" s="9">
        <f t="shared" si="115"/>
        <v>7469725</v>
      </c>
      <c r="T596" s="15">
        <f t="shared" si="116"/>
        <v>16.686436250344954</v>
      </c>
      <c r="U596" s="15">
        <f>IF(O596="Exclude",0,G596*Fuel_Price!$B$2)</f>
        <v>1681.0733320000002</v>
      </c>
      <c r="V596" s="15">
        <f t="shared" si="117"/>
        <v>2989922.7577359979</v>
      </c>
    </row>
    <row r="597" spans="1:22">
      <c r="A597" s="1" t="s">
        <v>1487</v>
      </c>
      <c r="B597" s="1" t="s">
        <v>1488</v>
      </c>
      <c r="C597" s="1" t="s">
        <v>1486</v>
      </c>
      <c r="D597" s="1" t="s">
        <v>12</v>
      </c>
      <c r="E597" s="12">
        <v>6572</v>
      </c>
      <c r="F597" s="12" t="s">
        <v>13</v>
      </c>
      <c r="G597" s="6">
        <v>1241.8800000000001</v>
      </c>
      <c r="H597" s="1">
        <v>24.06</v>
      </c>
      <c r="J597" t="str">
        <f t="shared" si="108"/>
        <v>OK</v>
      </c>
      <c r="K597" t="str">
        <f t="shared" si="109"/>
        <v>OK</v>
      </c>
      <c r="L597">
        <f t="shared" si="118"/>
        <v>12</v>
      </c>
      <c r="M597">
        <f t="shared" si="110"/>
        <v>10</v>
      </c>
      <c r="N597" s="9" t="str">
        <f t="shared" si="119"/>
        <v>Valid</v>
      </c>
      <c r="O597" t="str">
        <f t="shared" si="111"/>
        <v>Include</v>
      </c>
      <c r="P597" s="9">
        <f t="shared" si="112"/>
        <v>2035068.5799999984</v>
      </c>
      <c r="Q597" s="15">
        <f t="shared" si="113"/>
        <v>7469725</v>
      </c>
      <c r="R597" s="9">
        <f t="shared" si="114"/>
        <v>6572</v>
      </c>
      <c r="S597" s="9">
        <f t="shared" si="115"/>
        <v>7469725</v>
      </c>
      <c r="T597" s="15">
        <f t="shared" si="116"/>
        <v>16.686436250344954</v>
      </c>
      <c r="U597" s="15">
        <f>IF(O597="Exclude",0,G597*Fuel_Price!$B$2)</f>
        <v>1824.5700960000001</v>
      </c>
      <c r="V597" s="15">
        <f t="shared" si="117"/>
        <v>2989922.7577359979</v>
      </c>
    </row>
    <row r="598" spans="1:22">
      <c r="A598" s="1" t="s">
        <v>1489</v>
      </c>
      <c r="B598" s="1" t="s">
        <v>1490</v>
      </c>
      <c r="C598" s="1" t="s">
        <v>937</v>
      </c>
      <c r="D598" s="1" t="s">
        <v>12</v>
      </c>
      <c r="E598" s="12">
        <v>3639</v>
      </c>
      <c r="F598" s="12" t="s">
        <v>13</v>
      </c>
      <c r="G598" s="6">
        <v>673.26</v>
      </c>
      <c r="H598" s="1">
        <v>24.57</v>
      </c>
      <c r="J598" t="str">
        <f t="shared" si="108"/>
        <v>OK</v>
      </c>
      <c r="K598" t="str">
        <f t="shared" si="109"/>
        <v>OK</v>
      </c>
      <c r="L598">
        <f t="shared" si="118"/>
        <v>12</v>
      </c>
      <c r="M598">
        <f t="shared" si="110"/>
        <v>10</v>
      </c>
      <c r="N598" s="9" t="str">
        <f t="shared" si="119"/>
        <v>Valid</v>
      </c>
      <c r="O598" t="str">
        <f t="shared" si="111"/>
        <v>Include</v>
      </c>
      <c r="P598" s="9">
        <f t="shared" si="112"/>
        <v>2035068.5799999984</v>
      </c>
      <c r="Q598" s="15">
        <f t="shared" si="113"/>
        <v>7469725</v>
      </c>
      <c r="R598" s="9">
        <f t="shared" si="114"/>
        <v>3639</v>
      </c>
      <c r="S598" s="9">
        <f t="shared" si="115"/>
        <v>7469725</v>
      </c>
      <c r="T598" s="15">
        <f t="shared" si="116"/>
        <v>16.686436250344954</v>
      </c>
      <c r="U598" s="15">
        <f>IF(O598="Exclude",0,G598*Fuel_Price!$B$2)</f>
        <v>989.153592</v>
      </c>
      <c r="V598" s="15">
        <f t="shared" si="117"/>
        <v>2989922.7577359979</v>
      </c>
    </row>
    <row r="599" spans="1:22">
      <c r="A599" s="1" t="s">
        <v>1491</v>
      </c>
      <c r="B599" s="1" t="s">
        <v>1492</v>
      </c>
      <c r="C599" s="1" t="s">
        <v>1397</v>
      </c>
      <c r="D599" s="1" t="s">
        <v>12</v>
      </c>
      <c r="E599" s="12">
        <v>12397</v>
      </c>
      <c r="F599" s="12" t="s">
        <v>13</v>
      </c>
      <c r="G599" s="6">
        <v>1677.73</v>
      </c>
      <c r="H599" s="1">
        <v>33.590000000000003</v>
      </c>
      <c r="J599" t="str">
        <f t="shared" si="108"/>
        <v>OK</v>
      </c>
      <c r="K599" t="str">
        <f t="shared" si="109"/>
        <v>OK</v>
      </c>
      <c r="L599">
        <f t="shared" si="118"/>
        <v>12</v>
      </c>
      <c r="M599">
        <f t="shared" si="110"/>
        <v>10</v>
      </c>
      <c r="N599" s="9" t="str">
        <f t="shared" si="119"/>
        <v>Valid</v>
      </c>
      <c r="O599" t="str">
        <f t="shared" si="111"/>
        <v>Include</v>
      </c>
      <c r="P599" s="9">
        <f t="shared" si="112"/>
        <v>2035068.5799999984</v>
      </c>
      <c r="Q599" s="15">
        <f t="shared" si="113"/>
        <v>7469725</v>
      </c>
      <c r="R599" s="9">
        <f t="shared" si="114"/>
        <v>12397</v>
      </c>
      <c r="S599" s="9">
        <f t="shared" si="115"/>
        <v>7469725</v>
      </c>
      <c r="T599" s="15">
        <f t="shared" si="116"/>
        <v>16.686436250344954</v>
      </c>
      <c r="U599" s="15">
        <f>IF(O599="Exclude",0,G599*Fuel_Price!$B$2)</f>
        <v>2464.920916</v>
      </c>
      <c r="V599" s="15">
        <f t="shared" si="117"/>
        <v>2989922.7577359979</v>
      </c>
    </row>
    <row r="600" spans="1:22">
      <c r="A600" s="1" t="s">
        <v>1493</v>
      </c>
      <c r="B600" s="1" t="s">
        <v>1494</v>
      </c>
      <c r="C600" s="1" t="s">
        <v>1397</v>
      </c>
      <c r="D600" s="1" t="s">
        <v>12</v>
      </c>
      <c r="E600" s="12">
        <v>20691</v>
      </c>
      <c r="F600" s="12" t="s">
        <v>13</v>
      </c>
      <c r="G600" s="6">
        <v>3061.67</v>
      </c>
      <c r="H600" s="1">
        <v>30.72</v>
      </c>
      <c r="J600" t="str">
        <f t="shared" si="108"/>
        <v>OK</v>
      </c>
      <c r="K600" t="str">
        <f t="shared" si="109"/>
        <v>OK</v>
      </c>
      <c r="L600">
        <f t="shared" si="118"/>
        <v>12</v>
      </c>
      <c r="M600">
        <f t="shared" si="110"/>
        <v>10</v>
      </c>
      <c r="N600" s="9" t="str">
        <f t="shared" si="119"/>
        <v>Valid</v>
      </c>
      <c r="O600" t="str">
        <f t="shared" si="111"/>
        <v>Include</v>
      </c>
      <c r="P600" s="9">
        <f t="shared" si="112"/>
        <v>2035068.5799999984</v>
      </c>
      <c r="Q600" s="15">
        <f t="shared" si="113"/>
        <v>7469725</v>
      </c>
      <c r="R600" s="9">
        <f t="shared" si="114"/>
        <v>20691</v>
      </c>
      <c r="S600" s="9">
        <f t="shared" si="115"/>
        <v>7469725</v>
      </c>
      <c r="T600" s="15">
        <f t="shared" si="116"/>
        <v>16.686436250344954</v>
      </c>
      <c r="U600" s="15">
        <f>IF(O600="Exclude",0,G600*Fuel_Price!$B$2)</f>
        <v>4498.2055639999999</v>
      </c>
      <c r="V600" s="15">
        <f t="shared" si="117"/>
        <v>2989922.7577359979</v>
      </c>
    </row>
    <row r="601" spans="1:22">
      <c r="A601" s="1" t="s">
        <v>1495</v>
      </c>
      <c r="B601" s="1" t="s">
        <v>1496</v>
      </c>
      <c r="C601" s="1" t="s">
        <v>1397</v>
      </c>
      <c r="D601" s="1" t="s">
        <v>12</v>
      </c>
      <c r="E601" s="12">
        <v>14893</v>
      </c>
      <c r="F601" s="12" t="s">
        <v>13</v>
      </c>
      <c r="G601" s="6">
        <v>2467.46</v>
      </c>
      <c r="H601" s="1">
        <v>27.44</v>
      </c>
      <c r="J601" t="str">
        <f t="shared" si="108"/>
        <v>OK</v>
      </c>
      <c r="K601" t="str">
        <f t="shared" si="109"/>
        <v>OK</v>
      </c>
      <c r="L601">
        <f t="shared" si="118"/>
        <v>12</v>
      </c>
      <c r="M601">
        <f t="shared" si="110"/>
        <v>10</v>
      </c>
      <c r="N601" s="9" t="str">
        <f t="shared" si="119"/>
        <v>Valid</v>
      </c>
      <c r="O601" t="str">
        <f t="shared" si="111"/>
        <v>Include</v>
      </c>
      <c r="P601" s="9">
        <f t="shared" si="112"/>
        <v>2035068.5799999984</v>
      </c>
      <c r="Q601" s="15">
        <f t="shared" si="113"/>
        <v>7469725</v>
      </c>
      <c r="R601" s="9">
        <f t="shared" si="114"/>
        <v>14893</v>
      </c>
      <c r="S601" s="9">
        <f t="shared" si="115"/>
        <v>7469725</v>
      </c>
      <c r="T601" s="15">
        <f t="shared" si="116"/>
        <v>16.686436250344954</v>
      </c>
      <c r="U601" s="15">
        <f>IF(O601="Exclude",0,G601*Fuel_Price!$B$2)</f>
        <v>3625.1922320000003</v>
      </c>
      <c r="V601" s="15">
        <f t="shared" si="117"/>
        <v>2989922.7577359979</v>
      </c>
    </row>
    <row r="602" spans="1:22">
      <c r="A602" s="1" t="s">
        <v>1497</v>
      </c>
      <c r="B602" s="1" t="s">
        <v>1498</v>
      </c>
      <c r="C602" s="1" t="s">
        <v>1397</v>
      </c>
      <c r="D602" s="1" t="s">
        <v>12</v>
      </c>
      <c r="E602" s="12">
        <v>7370</v>
      </c>
      <c r="F602" s="12" t="s">
        <v>13</v>
      </c>
      <c r="G602" s="6">
        <v>1264.1600000000001</v>
      </c>
      <c r="H602" s="1">
        <v>26.5</v>
      </c>
      <c r="J602" t="str">
        <f t="shared" si="108"/>
        <v>OK</v>
      </c>
      <c r="K602" t="str">
        <f t="shared" si="109"/>
        <v>OK</v>
      </c>
      <c r="L602">
        <f t="shared" si="118"/>
        <v>12</v>
      </c>
      <c r="M602">
        <f t="shared" si="110"/>
        <v>10</v>
      </c>
      <c r="N602" s="9" t="str">
        <f t="shared" si="119"/>
        <v>Valid</v>
      </c>
      <c r="O602" t="str">
        <f t="shared" si="111"/>
        <v>Include</v>
      </c>
      <c r="P602" s="9">
        <f t="shared" si="112"/>
        <v>2035068.5799999984</v>
      </c>
      <c r="Q602" s="15">
        <f t="shared" si="113"/>
        <v>7469725</v>
      </c>
      <c r="R602" s="9">
        <f t="shared" si="114"/>
        <v>7370</v>
      </c>
      <c r="S602" s="9">
        <f t="shared" si="115"/>
        <v>7469725</v>
      </c>
      <c r="T602" s="15">
        <f t="shared" si="116"/>
        <v>16.686436250344954</v>
      </c>
      <c r="U602" s="15">
        <f>IF(O602="Exclude",0,G602*Fuel_Price!$B$2)</f>
        <v>1857.3038720000002</v>
      </c>
      <c r="V602" s="15">
        <f t="shared" si="117"/>
        <v>2989922.7577359979</v>
      </c>
    </row>
    <row r="603" spans="1:22">
      <c r="A603" s="1" t="s">
        <v>1499</v>
      </c>
      <c r="B603" s="1" t="s">
        <v>1500</v>
      </c>
      <c r="C603" s="1" t="s">
        <v>1397</v>
      </c>
      <c r="D603" s="1" t="s">
        <v>12</v>
      </c>
      <c r="E603" s="12">
        <v>12212</v>
      </c>
      <c r="F603" s="12" t="s">
        <v>13</v>
      </c>
      <c r="G603" s="6">
        <v>1989.86</v>
      </c>
      <c r="H603" s="1">
        <v>27.9</v>
      </c>
      <c r="J603" t="str">
        <f t="shared" si="108"/>
        <v>OK</v>
      </c>
      <c r="K603" t="str">
        <f t="shared" si="109"/>
        <v>OK</v>
      </c>
      <c r="L603">
        <f t="shared" si="118"/>
        <v>12</v>
      </c>
      <c r="M603">
        <f t="shared" si="110"/>
        <v>10</v>
      </c>
      <c r="N603" s="9" t="str">
        <f t="shared" si="119"/>
        <v>Valid</v>
      </c>
      <c r="O603" t="str">
        <f t="shared" si="111"/>
        <v>Include</v>
      </c>
      <c r="P603" s="9">
        <f t="shared" si="112"/>
        <v>2035068.5799999984</v>
      </c>
      <c r="Q603" s="15">
        <f t="shared" si="113"/>
        <v>7469725</v>
      </c>
      <c r="R603" s="9">
        <f t="shared" si="114"/>
        <v>12212</v>
      </c>
      <c r="S603" s="9">
        <f t="shared" si="115"/>
        <v>7469725</v>
      </c>
      <c r="T603" s="15">
        <f t="shared" si="116"/>
        <v>16.686436250344954</v>
      </c>
      <c r="U603" s="15">
        <f>IF(O603="Exclude",0,G603*Fuel_Price!$B$2)</f>
        <v>2923.5023120000001</v>
      </c>
      <c r="V603" s="15">
        <f t="shared" si="117"/>
        <v>2989922.7577359979</v>
      </c>
    </row>
    <row r="604" spans="1:22">
      <c r="A604" s="1" t="s">
        <v>1501</v>
      </c>
      <c r="B604" s="1" t="s">
        <v>1502</v>
      </c>
      <c r="C604" s="1" t="s">
        <v>1503</v>
      </c>
      <c r="D604" s="1" t="s">
        <v>12</v>
      </c>
      <c r="E604" s="12">
        <v>6945</v>
      </c>
      <c r="F604" s="12" t="s">
        <v>13</v>
      </c>
      <c r="G604" s="6">
        <v>1157.0999999999999</v>
      </c>
      <c r="H604" s="1">
        <v>27.29</v>
      </c>
      <c r="J604" t="str">
        <f t="shared" si="108"/>
        <v>OK</v>
      </c>
      <c r="K604" t="str">
        <f t="shared" si="109"/>
        <v>OK</v>
      </c>
      <c r="L604">
        <f t="shared" si="118"/>
        <v>12</v>
      </c>
      <c r="M604">
        <f t="shared" si="110"/>
        <v>10</v>
      </c>
      <c r="N604" s="9" t="str">
        <f t="shared" si="119"/>
        <v>Valid</v>
      </c>
      <c r="O604" t="str">
        <f t="shared" si="111"/>
        <v>Include</v>
      </c>
      <c r="P604" s="9">
        <f t="shared" si="112"/>
        <v>2035068.5799999984</v>
      </c>
      <c r="Q604" s="15">
        <f t="shared" si="113"/>
        <v>7469725</v>
      </c>
      <c r="R604" s="9">
        <f t="shared" si="114"/>
        <v>6945</v>
      </c>
      <c r="S604" s="9">
        <f t="shared" si="115"/>
        <v>7469725</v>
      </c>
      <c r="T604" s="15">
        <f t="shared" si="116"/>
        <v>16.686436250344954</v>
      </c>
      <c r="U604" s="15">
        <f>IF(O604="Exclude",0,G604*Fuel_Price!$B$2)</f>
        <v>1700.0113199999998</v>
      </c>
      <c r="V604" s="15">
        <f t="shared" si="117"/>
        <v>2989922.7577359979</v>
      </c>
    </row>
    <row r="605" spans="1:22">
      <c r="A605" s="1" t="s">
        <v>1509</v>
      </c>
      <c r="B605" s="1" t="s">
        <v>1510</v>
      </c>
      <c r="C605" s="1" t="s">
        <v>1511</v>
      </c>
      <c r="D605" s="1" t="s">
        <v>12</v>
      </c>
      <c r="E605" s="12">
        <v>3228</v>
      </c>
      <c r="F605" s="12" t="s">
        <v>13</v>
      </c>
      <c r="G605" s="6">
        <v>545.97</v>
      </c>
      <c r="H605" s="1">
        <v>26.88</v>
      </c>
      <c r="J605" t="str">
        <f t="shared" si="108"/>
        <v>OK</v>
      </c>
      <c r="K605" t="str">
        <f t="shared" si="109"/>
        <v>OK</v>
      </c>
      <c r="L605">
        <f t="shared" si="118"/>
        <v>12</v>
      </c>
      <c r="M605">
        <f t="shared" si="110"/>
        <v>10</v>
      </c>
      <c r="N605" s="9" t="str">
        <f t="shared" si="119"/>
        <v>Valid</v>
      </c>
      <c r="O605" t="str">
        <f t="shared" si="111"/>
        <v>Include</v>
      </c>
      <c r="P605" s="9">
        <f t="shared" si="112"/>
        <v>2035068.5799999984</v>
      </c>
      <c r="Q605" s="15">
        <f t="shared" si="113"/>
        <v>7469725</v>
      </c>
      <c r="R605" s="9">
        <f t="shared" si="114"/>
        <v>3228</v>
      </c>
      <c r="S605" s="9">
        <f t="shared" si="115"/>
        <v>7469725</v>
      </c>
      <c r="T605" s="15">
        <f t="shared" si="116"/>
        <v>16.686436250344954</v>
      </c>
      <c r="U605" s="15">
        <f>IF(O605="Exclude",0,G605*Fuel_Price!$B$2)</f>
        <v>802.13912400000004</v>
      </c>
      <c r="V605" s="15">
        <f t="shared" si="117"/>
        <v>2989922.7577359979</v>
      </c>
    </row>
    <row r="606" spans="1:22">
      <c r="A606" s="1" t="s">
        <v>1512</v>
      </c>
      <c r="B606" s="1" t="s">
        <v>1513</v>
      </c>
      <c r="C606" s="1" t="s">
        <v>937</v>
      </c>
      <c r="D606" s="1" t="s">
        <v>12</v>
      </c>
      <c r="E606" s="12">
        <v>8231</v>
      </c>
      <c r="F606" s="12" t="s">
        <v>13</v>
      </c>
      <c r="G606" s="6">
        <v>1274.17</v>
      </c>
      <c r="H606" s="1">
        <v>29.37</v>
      </c>
      <c r="J606" t="str">
        <f t="shared" si="108"/>
        <v>OK</v>
      </c>
      <c r="K606" t="str">
        <f t="shared" si="109"/>
        <v>OK</v>
      </c>
      <c r="L606">
        <f t="shared" si="118"/>
        <v>12</v>
      </c>
      <c r="M606">
        <f t="shared" si="110"/>
        <v>10</v>
      </c>
      <c r="N606" s="9" t="str">
        <f t="shared" si="119"/>
        <v>Valid</v>
      </c>
      <c r="O606" t="str">
        <f t="shared" si="111"/>
        <v>Include</v>
      </c>
      <c r="P606" s="9">
        <f t="shared" si="112"/>
        <v>2035068.5799999984</v>
      </c>
      <c r="Q606" s="15">
        <f t="shared" si="113"/>
        <v>7469725</v>
      </c>
      <c r="R606" s="9">
        <f t="shared" si="114"/>
        <v>8231</v>
      </c>
      <c r="S606" s="9">
        <f t="shared" si="115"/>
        <v>7469725</v>
      </c>
      <c r="T606" s="15">
        <f t="shared" si="116"/>
        <v>16.686436250344954</v>
      </c>
      <c r="U606" s="15">
        <f>IF(O606="Exclude",0,G606*Fuel_Price!$B$2)</f>
        <v>1872.0105640000002</v>
      </c>
      <c r="V606" s="15">
        <f t="shared" si="117"/>
        <v>2989922.7577359979</v>
      </c>
    </row>
    <row r="607" spans="1:22">
      <c r="A607" s="1" t="s">
        <v>1517</v>
      </c>
      <c r="B607" s="1" t="s">
        <v>1518</v>
      </c>
      <c r="C607" s="1" t="s">
        <v>937</v>
      </c>
      <c r="D607" s="1" t="s">
        <v>12</v>
      </c>
      <c r="E607" s="12">
        <v>5706</v>
      </c>
      <c r="F607" s="12" t="s">
        <v>13</v>
      </c>
      <c r="G607" s="6">
        <v>833.52</v>
      </c>
      <c r="H607" s="1">
        <v>31.12</v>
      </c>
      <c r="J607" t="str">
        <f t="shared" si="108"/>
        <v>OK</v>
      </c>
      <c r="K607" t="str">
        <f t="shared" si="109"/>
        <v>OK</v>
      </c>
      <c r="L607">
        <f t="shared" si="118"/>
        <v>12</v>
      </c>
      <c r="M607">
        <f t="shared" si="110"/>
        <v>10</v>
      </c>
      <c r="N607" s="9" t="str">
        <f t="shared" si="119"/>
        <v>Valid</v>
      </c>
      <c r="O607" t="str">
        <f t="shared" si="111"/>
        <v>Include</v>
      </c>
      <c r="P607" s="9">
        <f t="shared" si="112"/>
        <v>2035068.5799999984</v>
      </c>
      <c r="Q607" s="15">
        <f t="shared" si="113"/>
        <v>7469725</v>
      </c>
      <c r="R607" s="9">
        <f t="shared" si="114"/>
        <v>5706</v>
      </c>
      <c r="S607" s="9">
        <f t="shared" si="115"/>
        <v>7469725</v>
      </c>
      <c r="T607" s="15">
        <f t="shared" si="116"/>
        <v>16.686436250344954</v>
      </c>
      <c r="U607" s="15">
        <f>IF(O607="Exclude",0,G607*Fuel_Price!$B$2)</f>
        <v>1224.6075840000001</v>
      </c>
      <c r="V607" s="15">
        <f t="shared" si="117"/>
        <v>2989922.7577359979</v>
      </c>
    </row>
    <row r="608" spans="1:22">
      <c r="A608" s="1" t="s">
        <v>1519</v>
      </c>
      <c r="B608" s="1" t="s">
        <v>1520</v>
      </c>
      <c r="C608" s="1" t="s">
        <v>937</v>
      </c>
      <c r="D608" s="1" t="s">
        <v>12</v>
      </c>
      <c r="E608" s="12">
        <v>9120</v>
      </c>
      <c r="F608" s="12" t="s">
        <v>13</v>
      </c>
      <c r="G608" s="6">
        <v>1346.43</v>
      </c>
      <c r="H608" s="1">
        <v>30.79</v>
      </c>
      <c r="J608" t="str">
        <f t="shared" si="108"/>
        <v>OK</v>
      </c>
      <c r="K608" t="str">
        <f t="shared" si="109"/>
        <v>OK</v>
      </c>
      <c r="L608">
        <f t="shared" si="118"/>
        <v>12</v>
      </c>
      <c r="M608">
        <f t="shared" si="110"/>
        <v>10</v>
      </c>
      <c r="N608" s="9" t="str">
        <f t="shared" si="119"/>
        <v>Valid</v>
      </c>
      <c r="O608" t="str">
        <f t="shared" si="111"/>
        <v>Include</v>
      </c>
      <c r="P608" s="9">
        <f t="shared" si="112"/>
        <v>2035068.5799999984</v>
      </c>
      <c r="Q608" s="15">
        <f t="shared" si="113"/>
        <v>7469725</v>
      </c>
      <c r="R608" s="9">
        <f t="shared" si="114"/>
        <v>9120</v>
      </c>
      <c r="S608" s="9">
        <f t="shared" si="115"/>
        <v>7469725</v>
      </c>
      <c r="T608" s="15">
        <f t="shared" si="116"/>
        <v>16.686436250344954</v>
      </c>
      <c r="U608" s="15">
        <f>IF(O608="Exclude",0,G608*Fuel_Price!$B$2)</f>
        <v>1978.1749560000001</v>
      </c>
      <c r="V608" s="15">
        <f t="shared" si="117"/>
        <v>2989922.7577359979</v>
      </c>
    </row>
    <row r="609" spans="1:22">
      <c r="A609" s="1" t="s">
        <v>1521</v>
      </c>
      <c r="B609" s="1" t="s">
        <v>1522</v>
      </c>
      <c r="C609" s="1" t="s">
        <v>937</v>
      </c>
      <c r="D609" s="1" t="s">
        <v>12</v>
      </c>
      <c r="E609" s="12">
        <v>22579</v>
      </c>
      <c r="F609" s="12" t="s">
        <v>13</v>
      </c>
      <c r="G609" s="6">
        <v>3053.62</v>
      </c>
      <c r="H609" s="1">
        <v>33.61</v>
      </c>
      <c r="J609" t="str">
        <f t="shared" si="108"/>
        <v>OK</v>
      </c>
      <c r="K609" t="str">
        <f t="shared" si="109"/>
        <v>OK</v>
      </c>
      <c r="L609">
        <f t="shared" si="118"/>
        <v>12</v>
      </c>
      <c r="M609">
        <f t="shared" si="110"/>
        <v>10</v>
      </c>
      <c r="N609" s="9" t="str">
        <f t="shared" si="119"/>
        <v>Valid</v>
      </c>
      <c r="O609" t="str">
        <f t="shared" si="111"/>
        <v>Include</v>
      </c>
      <c r="P609" s="9">
        <f t="shared" si="112"/>
        <v>2035068.5799999984</v>
      </c>
      <c r="Q609" s="15">
        <f t="shared" si="113"/>
        <v>7469725</v>
      </c>
      <c r="R609" s="9">
        <f t="shared" si="114"/>
        <v>22579</v>
      </c>
      <c r="S609" s="9">
        <f t="shared" si="115"/>
        <v>7469725</v>
      </c>
      <c r="T609" s="15">
        <f t="shared" si="116"/>
        <v>16.686436250344954</v>
      </c>
      <c r="U609" s="15">
        <f>IF(O609="Exclude",0,G609*Fuel_Price!$B$2)</f>
        <v>4486.3785040000002</v>
      </c>
      <c r="V609" s="15">
        <f t="shared" si="117"/>
        <v>2989922.7577359979</v>
      </c>
    </row>
    <row r="610" spans="1:22">
      <c r="A610" s="1" t="s">
        <v>1523</v>
      </c>
      <c r="B610" s="1" t="s">
        <v>1524</v>
      </c>
      <c r="C610" s="1" t="s">
        <v>937</v>
      </c>
      <c r="D610" s="1" t="s">
        <v>12</v>
      </c>
      <c r="E610" s="12">
        <v>13098</v>
      </c>
      <c r="F610" s="12" t="s">
        <v>13</v>
      </c>
      <c r="G610" s="6">
        <v>2005.44</v>
      </c>
      <c r="H610" s="1">
        <v>29.69</v>
      </c>
      <c r="J610" t="str">
        <f t="shared" si="108"/>
        <v>OK</v>
      </c>
      <c r="K610" t="str">
        <f t="shared" si="109"/>
        <v>OK</v>
      </c>
      <c r="L610">
        <f t="shared" si="118"/>
        <v>12</v>
      </c>
      <c r="M610">
        <f t="shared" si="110"/>
        <v>10</v>
      </c>
      <c r="N610" s="9" t="str">
        <f t="shared" si="119"/>
        <v>Valid</v>
      </c>
      <c r="O610" t="str">
        <f t="shared" si="111"/>
        <v>Include</v>
      </c>
      <c r="P610" s="9">
        <f t="shared" si="112"/>
        <v>2035068.5799999984</v>
      </c>
      <c r="Q610" s="15">
        <f t="shared" si="113"/>
        <v>7469725</v>
      </c>
      <c r="R610" s="9">
        <f t="shared" si="114"/>
        <v>13098</v>
      </c>
      <c r="S610" s="9">
        <f t="shared" si="115"/>
        <v>7469725</v>
      </c>
      <c r="T610" s="15">
        <f t="shared" si="116"/>
        <v>16.686436250344954</v>
      </c>
      <c r="U610" s="15">
        <f>IF(O610="Exclude",0,G610*Fuel_Price!$B$2)</f>
        <v>2946.3924480000001</v>
      </c>
      <c r="V610" s="15">
        <f t="shared" si="117"/>
        <v>2989922.7577359979</v>
      </c>
    </row>
    <row r="611" spans="1:22">
      <c r="A611" s="1" t="s">
        <v>1525</v>
      </c>
      <c r="B611" s="1" t="s">
        <v>1526</v>
      </c>
      <c r="C611" s="1" t="s">
        <v>1527</v>
      </c>
      <c r="D611" s="1" t="s">
        <v>12</v>
      </c>
      <c r="E611" s="12">
        <v>14501</v>
      </c>
      <c r="F611" s="12" t="s">
        <v>13</v>
      </c>
      <c r="G611" s="6">
        <v>2734.78</v>
      </c>
      <c r="H611" s="1">
        <v>24.11</v>
      </c>
      <c r="J611" t="str">
        <f t="shared" si="108"/>
        <v>OK</v>
      </c>
      <c r="K611" t="str">
        <f t="shared" si="109"/>
        <v>OK</v>
      </c>
      <c r="L611">
        <f t="shared" si="118"/>
        <v>12</v>
      </c>
      <c r="M611">
        <f t="shared" si="110"/>
        <v>10</v>
      </c>
      <c r="N611" s="9" t="str">
        <f t="shared" si="119"/>
        <v>Valid</v>
      </c>
      <c r="O611" t="str">
        <f t="shared" si="111"/>
        <v>Include</v>
      </c>
      <c r="P611" s="9">
        <f t="shared" si="112"/>
        <v>2035068.5799999984</v>
      </c>
      <c r="Q611" s="15">
        <f t="shared" si="113"/>
        <v>7469725</v>
      </c>
      <c r="R611" s="9">
        <f t="shared" si="114"/>
        <v>14501</v>
      </c>
      <c r="S611" s="9">
        <f t="shared" si="115"/>
        <v>7469725</v>
      </c>
      <c r="T611" s="15">
        <f t="shared" si="116"/>
        <v>16.686436250344954</v>
      </c>
      <c r="U611" s="15">
        <f>IF(O611="Exclude",0,G611*Fuel_Price!$B$2)</f>
        <v>4017.9387760000004</v>
      </c>
      <c r="V611" s="15">
        <f t="shared" si="117"/>
        <v>2989922.7577359979</v>
      </c>
    </row>
    <row r="612" spans="1:22">
      <c r="A612" s="1" t="s">
        <v>1528</v>
      </c>
      <c r="B612" s="1" t="s">
        <v>1529</v>
      </c>
      <c r="C612" s="1" t="s">
        <v>1527</v>
      </c>
      <c r="D612" s="1" t="s">
        <v>12</v>
      </c>
      <c r="E612" s="12">
        <v>14851</v>
      </c>
      <c r="F612" s="12" t="s">
        <v>13</v>
      </c>
      <c r="G612" s="6">
        <v>2872.35</v>
      </c>
      <c r="H612" s="1">
        <v>23.5</v>
      </c>
      <c r="J612" t="str">
        <f t="shared" si="108"/>
        <v>OK</v>
      </c>
      <c r="K612" t="str">
        <f t="shared" si="109"/>
        <v>OK</v>
      </c>
      <c r="L612">
        <f t="shared" si="118"/>
        <v>12</v>
      </c>
      <c r="M612">
        <f t="shared" si="110"/>
        <v>10</v>
      </c>
      <c r="N612" s="9" t="str">
        <f t="shared" si="119"/>
        <v>Valid</v>
      </c>
      <c r="O612" t="str">
        <f t="shared" si="111"/>
        <v>Include</v>
      </c>
      <c r="P612" s="9">
        <f t="shared" si="112"/>
        <v>2035068.5799999984</v>
      </c>
      <c r="Q612" s="15">
        <f t="shared" si="113"/>
        <v>7469725</v>
      </c>
      <c r="R612" s="9">
        <f t="shared" si="114"/>
        <v>14851</v>
      </c>
      <c r="S612" s="9">
        <f t="shared" si="115"/>
        <v>7469725</v>
      </c>
      <c r="T612" s="15">
        <f t="shared" si="116"/>
        <v>16.686436250344954</v>
      </c>
      <c r="U612" s="15">
        <f>IF(O612="Exclude",0,G612*Fuel_Price!$B$2)</f>
        <v>4220.0566200000003</v>
      </c>
      <c r="V612" s="15">
        <f t="shared" si="117"/>
        <v>2989922.7577359979</v>
      </c>
    </row>
    <row r="613" spans="1:22">
      <c r="A613" s="1" t="s">
        <v>1544</v>
      </c>
      <c r="B613" s="1" t="s">
        <v>1545</v>
      </c>
      <c r="C613" s="1" t="s">
        <v>1486</v>
      </c>
      <c r="D613" s="1" t="s">
        <v>12</v>
      </c>
      <c r="E613" s="12">
        <v>7982</v>
      </c>
      <c r="F613" s="12" t="s">
        <v>13</v>
      </c>
      <c r="G613" s="6">
        <v>1627.27</v>
      </c>
      <c r="H613" s="1">
        <v>22.3</v>
      </c>
      <c r="J613" t="str">
        <f t="shared" si="108"/>
        <v>OK</v>
      </c>
      <c r="K613" t="str">
        <f t="shared" si="109"/>
        <v>OK</v>
      </c>
      <c r="L613">
        <f t="shared" si="118"/>
        <v>12</v>
      </c>
      <c r="M613">
        <f t="shared" si="110"/>
        <v>10</v>
      </c>
      <c r="N613" s="9" t="str">
        <f t="shared" si="119"/>
        <v>Valid</v>
      </c>
      <c r="O613" t="str">
        <f t="shared" si="111"/>
        <v>Include</v>
      </c>
      <c r="P613" s="9">
        <f t="shared" si="112"/>
        <v>2035068.5799999984</v>
      </c>
      <c r="Q613" s="15">
        <f t="shared" si="113"/>
        <v>7469725</v>
      </c>
      <c r="R613" s="9">
        <f t="shared" si="114"/>
        <v>7982</v>
      </c>
      <c r="S613" s="9">
        <f t="shared" si="115"/>
        <v>7469725</v>
      </c>
      <c r="T613" s="15">
        <f t="shared" si="116"/>
        <v>16.686436250344954</v>
      </c>
      <c r="U613" s="15">
        <f>IF(O613="Exclude",0,G613*Fuel_Price!$B$2)</f>
        <v>2390.7850840000001</v>
      </c>
      <c r="V613" s="15">
        <f t="shared" si="117"/>
        <v>2989922.7577359979</v>
      </c>
    </row>
    <row r="614" spans="1:22">
      <c r="A614" s="1" t="s">
        <v>1548</v>
      </c>
      <c r="B614" s="1" t="s">
        <v>1549</v>
      </c>
      <c r="C614" s="1" t="s">
        <v>1483</v>
      </c>
      <c r="D614" s="1" t="s">
        <v>12</v>
      </c>
      <c r="E614" s="12">
        <v>4576</v>
      </c>
      <c r="F614" s="12" t="s">
        <v>13</v>
      </c>
      <c r="G614" s="6">
        <v>900.47</v>
      </c>
      <c r="H614" s="1">
        <v>23.1</v>
      </c>
      <c r="J614" t="str">
        <f t="shared" si="108"/>
        <v>OK</v>
      </c>
      <c r="K614" t="str">
        <f t="shared" si="109"/>
        <v>OK</v>
      </c>
      <c r="L614">
        <f t="shared" si="118"/>
        <v>12</v>
      </c>
      <c r="M614">
        <f t="shared" si="110"/>
        <v>10</v>
      </c>
      <c r="N614" s="9" t="str">
        <f t="shared" si="119"/>
        <v>Valid</v>
      </c>
      <c r="O614" t="str">
        <f t="shared" si="111"/>
        <v>Include</v>
      </c>
      <c r="P614" s="9">
        <f t="shared" si="112"/>
        <v>2035068.5799999984</v>
      </c>
      <c r="Q614" s="15">
        <f t="shared" si="113"/>
        <v>7469725</v>
      </c>
      <c r="R614" s="9">
        <f t="shared" si="114"/>
        <v>4576</v>
      </c>
      <c r="S614" s="9">
        <f t="shared" si="115"/>
        <v>7469725</v>
      </c>
      <c r="T614" s="15">
        <f t="shared" si="116"/>
        <v>16.686436250344954</v>
      </c>
      <c r="U614" s="15">
        <f>IF(O614="Exclude",0,G614*Fuel_Price!$B$2)</f>
        <v>1322.9705240000001</v>
      </c>
      <c r="V614" s="15">
        <f t="shared" si="117"/>
        <v>2989922.7577359979</v>
      </c>
    </row>
    <row r="615" spans="1:22">
      <c r="A615" s="1" t="s">
        <v>1554</v>
      </c>
      <c r="B615" s="1" t="s">
        <v>1555</v>
      </c>
      <c r="C615" s="1" t="s">
        <v>1556</v>
      </c>
      <c r="D615" s="1" t="s">
        <v>12</v>
      </c>
      <c r="E615" s="12">
        <v>3828</v>
      </c>
      <c r="F615" s="12" t="s">
        <v>13</v>
      </c>
      <c r="G615" s="6">
        <v>761.41</v>
      </c>
      <c r="H615" s="1">
        <v>22.86</v>
      </c>
      <c r="J615" t="str">
        <f t="shared" si="108"/>
        <v>OK</v>
      </c>
      <c r="K615" t="str">
        <f t="shared" si="109"/>
        <v>OK</v>
      </c>
      <c r="L615">
        <f t="shared" si="118"/>
        <v>12</v>
      </c>
      <c r="M615">
        <f t="shared" si="110"/>
        <v>10</v>
      </c>
      <c r="N615" s="9" t="str">
        <f t="shared" si="119"/>
        <v>Valid</v>
      </c>
      <c r="O615" t="str">
        <f t="shared" si="111"/>
        <v>Include</v>
      </c>
      <c r="P615" s="9">
        <f t="shared" si="112"/>
        <v>2035068.5799999984</v>
      </c>
      <c r="Q615" s="15">
        <f t="shared" si="113"/>
        <v>7469725</v>
      </c>
      <c r="R615" s="9">
        <f t="shared" si="114"/>
        <v>3828</v>
      </c>
      <c r="S615" s="9">
        <f t="shared" si="115"/>
        <v>7469725</v>
      </c>
      <c r="T615" s="15">
        <f t="shared" si="116"/>
        <v>16.686436250344954</v>
      </c>
      <c r="U615" s="15">
        <f>IF(O615="Exclude",0,G615*Fuel_Price!$B$2)</f>
        <v>1118.6635719999999</v>
      </c>
      <c r="V615" s="15">
        <f t="shared" si="117"/>
        <v>2989922.7577359979</v>
      </c>
    </row>
    <row r="616" spans="1:22">
      <c r="A616" s="1" t="s">
        <v>1557</v>
      </c>
      <c r="B616" s="1" t="s">
        <v>1558</v>
      </c>
      <c r="C616" s="1" t="s">
        <v>1559</v>
      </c>
      <c r="D616" s="1" t="s">
        <v>12</v>
      </c>
      <c r="E616" s="12">
        <v>2613</v>
      </c>
      <c r="F616" s="12" t="s">
        <v>13</v>
      </c>
      <c r="G616" s="6">
        <v>485.64</v>
      </c>
      <c r="H616" s="1">
        <v>24.46</v>
      </c>
      <c r="J616" t="str">
        <f t="shared" si="108"/>
        <v>OK</v>
      </c>
      <c r="K616" t="str">
        <f t="shared" si="109"/>
        <v>OK</v>
      </c>
      <c r="L616">
        <f t="shared" si="118"/>
        <v>12</v>
      </c>
      <c r="M616">
        <f t="shared" si="110"/>
        <v>10</v>
      </c>
      <c r="N616" s="9" t="str">
        <f t="shared" si="119"/>
        <v>Valid</v>
      </c>
      <c r="O616" t="str">
        <f t="shared" si="111"/>
        <v>Include</v>
      </c>
      <c r="P616" s="9">
        <f t="shared" si="112"/>
        <v>2035068.5799999984</v>
      </c>
      <c r="Q616" s="15">
        <f t="shared" si="113"/>
        <v>7469725</v>
      </c>
      <c r="R616" s="9">
        <f t="shared" si="114"/>
        <v>2613</v>
      </c>
      <c r="S616" s="9">
        <f t="shared" si="115"/>
        <v>7469725</v>
      </c>
      <c r="T616" s="15">
        <f t="shared" si="116"/>
        <v>16.686436250344954</v>
      </c>
      <c r="U616" s="15">
        <f>IF(O616="Exclude",0,G616*Fuel_Price!$B$2)</f>
        <v>713.50228800000002</v>
      </c>
      <c r="V616" s="15">
        <f t="shared" si="117"/>
        <v>2989922.7577359979</v>
      </c>
    </row>
    <row r="617" spans="1:22">
      <c r="A617" s="1" t="s">
        <v>1560</v>
      </c>
      <c r="B617" s="1" t="s">
        <v>1561</v>
      </c>
      <c r="C617" s="1" t="s">
        <v>1559</v>
      </c>
      <c r="D617" s="1" t="s">
        <v>12</v>
      </c>
      <c r="E617" s="12">
        <v>9180</v>
      </c>
      <c r="F617" s="12" t="s">
        <v>13</v>
      </c>
      <c r="G617" s="6">
        <v>1636.05</v>
      </c>
      <c r="H617" s="1">
        <v>25.51</v>
      </c>
      <c r="J617" t="str">
        <f t="shared" si="108"/>
        <v>OK</v>
      </c>
      <c r="K617" t="str">
        <f t="shared" si="109"/>
        <v>OK</v>
      </c>
      <c r="L617">
        <f t="shared" si="118"/>
        <v>12</v>
      </c>
      <c r="M617">
        <f t="shared" si="110"/>
        <v>10</v>
      </c>
      <c r="N617" s="9" t="str">
        <f t="shared" si="119"/>
        <v>Valid</v>
      </c>
      <c r="O617" t="str">
        <f t="shared" si="111"/>
        <v>Include</v>
      </c>
      <c r="P617" s="9">
        <f t="shared" si="112"/>
        <v>2035068.5799999984</v>
      </c>
      <c r="Q617" s="15">
        <f t="shared" si="113"/>
        <v>7469725</v>
      </c>
      <c r="R617" s="9">
        <f t="shared" si="114"/>
        <v>9180</v>
      </c>
      <c r="S617" s="9">
        <f t="shared" si="115"/>
        <v>7469725</v>
      </c>
      <c r="T617" s="15">
        <f t="shared" si="116"/>
        <v>16.686436250344954</v>
      </c>
      <c r="U617" s="15">
        <f>IF(O617="Exclude",0,G617*Fuel_Price!$B$2)</f>
        <v>2403.6846599999999</v>
      </c>
      <c r="V617" s="15">
        <f t="shared" si="117"/>
        <v>2989922.7577359979</v>
      </c>
    </row>
    <row r="618" spans="1:22">
      <c r="A618" s="1" t="s">
        <v>1562</v>
      </c>
      <c r="B618" s="1" t="s">
        <v>1563</v>
      </c>
      <c r="C618" s="1" t="s">
        <v>1564</v>
      </c>
      <c r="D618" s="1" t="s">
        <v>12</v>
      </c>
      <c r="E618" s="12">
        <v>7068</v>
      </c>
      <c r="F618" s="12" t="s">
        <v>13</v>
      </c>
      <c r="G618" s="6">
        <v>1301.08</v>
      </c>
      <c r="H618" s="1">
        <v>24.7</v>
      </c>
      <c r="J618" t="str">
        <f t="shared" si="108"/>
        <v>OK</v>
      </c>
      <c r="K618" t="str">
        <f t="shared" si="109"/>
        <v>OK</v>
      </c>
      <c r="L618">
        <f t="shared" si="118"/>
        <v>12</v>
      </c>
      <c r="M618">
        <f t="shared" si="110"/>
        <v>10</v>
      </c>
      <c r="N618" s="9" t="str">
        <f t="shared" si="119"/>
        <v>Valid</v>
      </c>
      <c r="O618" t="str">
        <f t="shared" si="111"/>
        <v>Include</v>
      </c>
      <c r="P618" s="9">
        <f t="shared" si="112"/>
        <v>2035068.5799999984</v>
      </c>
      <c r="Q618" s="15">
        <f t="shared" si="113"/>
        <v>7469725</v>
      </c>
      <c r="R618" s="9">
        <f t="shared" si="114"/>
        <v>7068</v>
      </c>
      <c r="S618" s="9">
        <f t="shared" si="115"/>
        <v>7469725</v>
      </c>
      <c r="T618" s="15">
        <f t="shared" si="116"/>
        <v>16.686436250344954</v>
      </c>
      <c r="U618" s="15">
        <f>IF(O618="Exclude",0,G618*Fuel_Price!$B$2)</f>
        <v>1911.546736</v>
      </c>
      <c r="V618" s="15">
        <f t="shared" si="117"/>
        <v>2989922.7577359979</v>
      </c>
    </row>
    <row r="619" spans="1:22">
      <c r="A619" s="1" t="s">
        <v>1565</v>
      </c>
      <c r="B619" s="1" t="s">
        <v>1566</v>
      </c>
      <c r="C619" s="1" t="s">
        <v>1564</v>
      </c>
      <c r="D619" s="1" t="s">
        <v>12</v>
      </c>
      <c r="E619" s="12">
        <v>11398</v>
      </c>
      <c r="F619" s="12" t="s">
        <v>13</v>
      </c>
      <c r="G619" s="6">
        <v>2454.88</v>
      </c>
      <c r="H619" s="1">
        <v>21.11</v>
      </c>
      <c r="J619" t="str">
        <f t="shared" si="108"/>
        <v>OK</v>
      </c>
      <c r="K619" t="str">
        <f t="shared" si="109"/>
        <v>OK</v>
      </c>
      <c r="L619">
        <f t="shared" si="118"/>
        <v>12</v>
      </c>
      <c r="M619">
        <f t="shared" si="110"/>
        <v>10</v>
      </c>
      <c r="N619" s="9" t="str">
        <f t="shared" si="119"/>
        <v>Valid</v>
      </c>
      <c r="O619" t="str">
        <f t="shared" si="111"/>
        <v>Include</v>
      </c>
      <c r="P619" s="9">
        <f t="shared" si="112"/>
        <v>2035068.5799999984</v>
      </c>
      <c r="Q619" s="15">
        <f t="shared" si="113"/>
        <v>7469725</v>
      </c>
      <c r="R619" s="9">
        <f t="shared" si="114"/>
        <v>11398</v>
      </c>
      <c r="S619" s="9">
        <f t="shared" si="115"/>
        <v>7469725</v>
      </c>
      <c r="T619" s="15">
        <f t="shared" si="116"/>
        <v>16.686436250344954</v>
      </c>
      <c r="U619" s="15">
        <f>IF(O619="Exclude",0,G619*Fuel_Price!$B$2)</f>
        <v>3606.7096960000003</v>
      </c>
      <c r="V619" s="15">
        <f t="shared" si="117"/>
        <v>2989922.7577359979</v>
      </c>
    </row>
    <row r="620" spans="1:22">
      <c r="A620" s="1" t="s">
        <v>1567</v>
      </c>
      <c r="B620" s="1" t="s">
        <v>1568</v>
      </c>
      <c r="C620" s="1" t="s">
        <v>1564</v>
      </c>
      <c r="D620" s="1" t="s">
        <v>12</v>
      </c>
      <c r="E620" s="12">
        <v>2797</v>
      </c>
      <c r="F620" s="12" t="s">
        <v>13</v>
      </c>
      <c r="G620" s="6">
        <v>532.9</v>
      </c>
      <c r="H620" s="1">
        <v>23.86</v>
      </c>
      <c r="J620" t="str">
        <f t="shared" si="108"/>
        <v>OK</v>
      </c>
      <c r="K620" t="str">
        <f t="shared" si="109"/>
        <v>OK</v>
      </c>
      <c r="L620">
        <f t="shared" si="118"/>
        <v>12</v>
      </c>
      <c r="M620">
        <f t="shared" si="110"/>
        <v>10</v>
      </c>
      <c r="N620" s="9" t="str">
        <f t="shared" si="119"/>
        <v>Valid</v>
      </c>
      <c r="O620" t="str">
        <f t="shared" si="111"/>
        <v>Include</v>
      </c>
      <c r="P620" s="9">
        <f t="shared" si="112"/>
        <v>2035068.5799999984</v>
      </c>
      <c r="Q620" s="15">
        <f t="shared" si="113"/>
        <v>7469725</v>
      </c>
      <c r="R620" s="9">
        <f t="shared" si="114"/>
        <v>2797</v>
      </c>
      <c r="S620" s="9">
        <f t="shared" si="115"/>
        <v>7469725</v>
      </c>
      <c r="T620" s="15">
        <f t="shared" si="116"/>
        <v>16.686436250344954</v>
      </c>
      <c r="U620" s="15">
        <f>IF(O620="Exclude",0,G620*Fuel_Price!$B$2)</f>
        <v>782.93668000000002</v>
      </c>
      <c r="V620" s="15">
        <f t="shared" si="117"/>
        <v>2989922.7577359979</v>
      </c>
    </row>
    <row r="621" spans="1:22">
      <c r="A621" s="1" t="s">
        <v>1569</v>
      </c>
      <c r="B621" s="1" t="s">
        <v>1570</v>
      </c>
      <c r="C621" s="1" t="s">
        <v>1571</v>
      </c>
      <c r="D621" s="1" t="s">
        <v>12</v>
      </c>
      <c r="E621" s="12">
        <v>4693</v>
      </c>
      <c r="F621" s="12" t="s">
        <v>13</v>
      </c>
      <c r="G621" s="6">
        <v>933.79</v>
      </c>
      <c r="H621" s="1">
        <v>22.85</v>
      </c>
      <c r="J621" t="str">
        <f t="shared" si="108"/>
        <v>OK</v>
      </c>
      <c r="K621" t="str">
        <f t="shared" si="109"/>
        <v>OK</v>
      </c>
      <c r="L621">
        <f t="shared" si="118"/>
        <v>12</v>
      </c>
      <c r="M621">
        <f t="shared" si="110"/>
        <v>10</v>
      </c>
      <c r="N621" s="9" t="str">
        <f t="shared" si="119"/>
        <v>Valid</v>
      </c>
      <c r="O621" t="str">
        <f t="shared" si="111"/>
        <v>Include</v>
      </c>
      <c r="P621" s="9">
        <f t="shared" si="112"/>
        <v>2035068.5799999984</v>
      </c>
      <c r="Q621" s="15">
        <f t="shared" si="113"/>
        <v>7469725</v>
      </c>
      <c r="R621" s="9">
        <f t="shared" si="114"/>
        <v>4693</v>
      </c>
      <c r="S621" s="9">
        <f t="shared" si="115"/>
        <v>7469725</v>
      </c>
      <c r="T621" s="15">
        <f t="shared" si="116"/>
        <v>16.686436250344954</v>
      </c>
      <c r="U621" s="15">
        <f>IF(O621="Exclude",0,G621*Fuel_Price!$B$2)</f>
        <v>1371.924268</v>
      </c>
      <c r="V621" s="15">
        <f t="shared" si="117"/>
        <v>2989922.7577359979</v>
      </c>
    </row>
    <row r="622" spans="1:22">
      <c r="A622" s="1" t="s">
        <v>1572</v>
      </c>
      <c r="B622" s="1" t="s">
        <v>1573</v>
      </c>
      <c r="C622" s="1" t="s">
        <v>1574</v>
      </c>
      <c r="D622" s="1" t="s">
        <v>12</v>
      </c>
      <c r="E622" s="12">
        <v>13989</v>
      </c>
      <c r="F622" s="12" t="s">
        <v>13</v>
      </c>
      <c r="G622" s="6">
        <v>2293.17</v>
      </c>
      <c r="H622" s="1">
        <v>27.73</v>
      </c>
      <c r="J622" t="str">
        <f t="shared" si="108"/>
        <v>OK</v>
      </c>
      <c r="K622" t="str">
        <f t="shared" si="109"/>
        <v>OK</v>
      </c>
      <c r="L622">
        <f t="shared" si="118"/>
        <v>12</v>
      </c>
      <c r="M622">
        <f t="shared" si="110"/>
        <v>10</v>
      </c>
      <c r="N622" s="9" t="str">
        <f t="shared" si="119"/>
        <v>Valid</v>
      </c>
      <c r="O622" t="str">
        <f t="shared" si="111"/>
        <v>Include</v>
      </c>
      <c r="P622" s="9">
        <f t="shared" si="112"/>
        <v>2035068.5799999984</v>
      </c>
      <c r="Q622" s="15">
        <f t="shared" si="113"/>
        <v>7469725</v>
      </c>
      <c r="R622" s="9">
        <f t="shared" si="114"/>
        <v>13989</v>
      </c>
      <c r="S622" s="9">
        <f t="shared" si="115"/>
        <v>7469725</v>
      </c>
      <c r="T622" s="15">
        <f t="shared" si="116"/>
        <v>16.686436250344954</v>
      </c>
      <c r="U622" s="15">
        <f>IF(O622="Exclude",0,G622*Fuel_Price!$B$2)</f>
        <v>3369.1253640000004</v>
      </c>
      <c r="V622" s="15">
        <f t="shared" si="117"/>
        <v>2989922.7577359979</v>
      </c>
    </row>
    <row r="623" spans="1:22">
      <c r="A623" s="1" t="s">
        <v>1575</v>
      </c>
      <c r="B623" s="1" t="s">
        <v>1576</v>
      </c>
      <c r="C623" s="1" t="s">
        <v>1577</v>
      </c>
      <c r="D623" s="1" t="s">
        <v>12</v>
      </c>
      <c r="E623" s="12">
        <v>1399</v>
      </c>
      <c r="F623" s="12" t="s">
        <v>13</v>
      </c>
      <c r="G623" s="6">
        <v>297.95</v>
      </c>
      <c r="H623" s="1">
        <v>21.35</v>
      </c>
      <c r="J623" t="str">
        <f t="shared" si="108"/>
        <v>OK</v>
      </c>
      <c r="K623" t="str">
        <f t="shared" si="109"/>
        <v>OK</v>
      </c>
      <c r="L623">
        <f t="shared" si="118"/>
        <v>12</v>
      </c>
      <c r="M623">
        <f t="shared" si="110"/>
        <v>10</v>
      </c>
      <c r="N623" s="9" t="str">
        <f t="shared" si="119"/>
        <v>Valid</v>
      </c>
      <c r="O623" t="str">
        <f t="shared" si="111"/>
        <v>Include</v>
      </c>
      <c r="P623" s="9">
        <f t="shared" si="112"/>
        <v>2035068.5799999984</v>
      </c>
      <c r="Q623" s="15">
        <f t="shared" si="113"/>
        <v>7469725</v>
      </c>
      <c r="R623" s="9">
        <f t="shared" si="114"/>
        <v>1399</v>
      </c>
      <c r="S623" s="9">
        <f t="shared" si="115"/>
        <v>7469725</v>
      </c>
      <c r="T623" s="15">
        <f t="shared" si="116"/>
        <v>16.686436250344954</v>
      </c>
      <c r="U623" s="15">
        <f>IF(O623="Exclude",0,G623*Fuel_Price!$B$2)</f>
        <v>437.74813999999998</v>
      </c>
      <c r="V623" s="15">
        <f t="shared" si="117"/>
        <v>2989922.7577359979</v>
      </c>
    </row>
    <row r="624" spans="1:22">
      <c r="A624" s="1" t="s">
        <v>1578</v>
      </c>
      <c r="B624" s="1" t="s">
        <v>1579</v>
      </c>
      <c r="C624" s="1" t="s">
        <v>1580</v>
      </c>
      <c r="D624" s="1" t="s">
        <v>12</v>
      </c>
      <c r="E624" s="12">
        <v>7109</v>
      </c>
      <c r="F624" s="12" t="s">
        <v>13</v>
      </c>
      <c r="G624" s="6">
        <v>1314.41</v>
      </c>
      <c r="H624" s="1">
        <v>24.59</v>
      </c>
      <c r="J624" t="str">
        <f t="shared" si="108"/>
        <v>OK</v>
      </c>
      <c r="K624" t="str">
        <f t="shared" si="109"/>
        <v>OK</v>
      </c>
      <c r="L624">
        <f t="shared" si="118"/>
        <v>12</v>
      </c>
      <c r="M624">
        <f t="shared" si="110"/>
        <v>10</v>
      </c>
      <c r="N624" s="9" t="str">
        <f t="shared" si="119"/>
        <v>Valid</v>
      </c>
      <c r="O624" t="str">
        <f t="shared" si="111"/>
        <v>Include</v>
      </c>
      <c r="P624" s="9">
        <f t="shared" si="112"/>
        <v>2035068.5799999984</v>
      </c>
      <c r="Q624" s="15">
        <f t="shared" si="113"/>
        <v>7469725</v>
      </c>
      <c r="R624" s="9">
        <f t="shared" si="114"/>
        <v>7109</v>
      </c>
      <c r="S624" s="9">
        <f t="shared" si="115"/>
        <v>7469725</v>
      </c>
      <c r="T624" s="15">
        <f t="shared" si="116"/>
        <v>16.686436250344954</v>
      </c>
      <c r="U624" s="15">
        <f>IF(O624="Exclude",0,G624*Fuel_Price!$B$2)</f>
        <v>1931.1311720000001</v>
      </c>
      <c r="V624" s="15">
        <f t="shared" si="117"/>
        <v>2989922.7577359979</v>
      </c>
    </row>
    <row r="625" spans="1:22">
      <c r="A625" s="1" t="s">
        <v>1581</v>
      </c>
      <c r="B625" s="1" t="s">
        <v>1582</v>
      </c>
      <c r="C625" s="1" t="s">
        <v>1580</v>
      </c>
      <c r="D625" s="1" t="s">
        <v>12</v>
      </c>
      <c r="E625" s="12">
        <v>5784</v>
      </c>
      <c r="F625" s="12" t="s">
        <v>13</v>
      </c>
      <c r="G625" s="6">
        <v>199.4</v>
      </c>
      <c r="H625" s="1">
        <v>131.87</v>
      </c>
      <c r="J625" t="str">
        <f t="shared" si="108"/>
        <v>Check</v>
      </c>
      <c r="K625" t="str">
        <f t="shared" si="109"/>
        <v>OK</v>
      </c>
      <c r="L625">
        <f t="shared" si="118"/>
        <v>12</v>
      </c>
      <c r="M625">
        <f t="shared" si="110"/>
        <v>10</v>
      </c>
      <c r="N625" s="9" t="str">
        <f t="shared" si="119"/>
        <v>Review</v>
      </c>
      <c r="O625" t="str">
        <f t="shared" si="111"/>
        <v>Exclude</v>
      </c>
      <c r="P625" s="9">
        <f t="shared" si="112"/>
        <v>2035068.5799999984</v>
      </c>
      <c r="Q625" s="15">
        <f t="shared" si="113"/>
        <v>7469725</v>
      </c>
      <c r="R625" s="9">
        <f t="shared" si="114"/>
        <v>0</v>
      </c>
      <c r="S625" s="9">
        <f t="shared" si="115"/>
        <v>7469725</v>
      </c>
      <c r="T625" s="15">
        <f t="shared" si="116"/>
        <v>16.686436250344954</v>
      </c>
      <c r="U625" s="15">
        <f>IF(O625="Exclude",0,G625*Fuel_Price!$B$2)</f>
        <v>0</v>
      </c>
      <c r="V625" s="15">
        <f t="shared" si="117"/>
        <v>2989922.7577359979</v>
      </c>
    </row>
    <row r="626" spans="1:22">
      <c r="A626" s="1" t="s">
        <v>1583</v>
      </c>
      <c r="B626" s="1" t="s">
        <v>1584</v>
      </c>
      <c r="C626" s="1" t="s">
        <v>1585</v>
      </c>
      <c r="D626" s="1" t="s">
        <v>12</v>
      </c>
      <c r="E626" s="12">
        <v>6398</v>
      </c>
      <c r="F626" s="12" t="s">
        <v>13</v>
      </c>
      <c r="G626" s="6">
        <v>1373.46</v>
      </c>
      <c r="H626" s="1">
        <v>21.18</v>
      </c>
      <c r="J626" t="str">
        <f t="shared" si="108"/>
        <v>OK</v>
      </c>
      <c r="K626" t="str">
        <f t="shared" si="109"/>
        <v>OK</v>
      </c>
      <c r="L626">
        <f t="shared" si="118"/>
        <v>12</v>
      </c>
      <c r="M626">
        <f t="shared" si="110"/>
        <v>10</v>
      </c>
      <c r="N626" s="9" t="str">
        <f t="shared" si="119"/>
        <v>Valid</v>
      </c>
      <c r="O626" t="str">
        <f t="shared" si="111"/>
        <v>Include</v>
      </c>
      <c r="P626" s="9">
        <f t="shared" si="112"/>
        <v>2035068.5799999984</v>
      </c>
      <c r="Q626" s="15">
        <f t="shared" si="113"/>
        <v>7469725</v>
      </c>
      <c r="R626" s="9">
        <f t="shared" si="114"/>
        <v>6398</v>
      </c>
      <c r="S626" s="9">
        <f t="shared" si="115"/>
        <v>7469725</v>
      </c>
      <c r="T626" s="15">
        <f t="shared" si="116"/>
        <v>16.686436250344954</v>
      </c>
      <c r="U626" s="15">
        <f>IF(O626="Exclude",0,G626*Fuel_Price!$B$2)</f>
        <v>2017.8874320000002</v>
      </c>
      <c r="V626" s="15">
        <f t="shared" si="117"/>
        <v>2989922.7577359979</v>
      </c>
    </row>
    <row r="627" spans="1:22">
      <c r="A627" s="1" t="s">
        <v>1586</v>
      </c>
      <c r="B627" s="1" t="s">
        <v>1587</v>
      </c>
      <c r="C627" s="1" t="s">
        <v>1588</v>
      </c>
      <c r="D627" s="1" t="s">
        <v>12</v>
      </c>
      <c r="E627" s="12">
        <v>6484</v>
      </c>
      <c r="F627" s="12" t="s">
        <v>13</v>
      </c>
      <c r="G627" s="6">
        <v>1000.29</v>
      </c>
      <c r="H627" s="1">
        <v>29.47</v>
      </c>
      <c r="J627" t="str">
        <f t="shared" si="108"/>
        <v>OK</v>
      </c>
      <c r="K627" t="str">
        <f t="shared" si="109"/>
        <v>OK</v>
      </c>
      <c r="L627">
        <f t="shared" si="118"/>
        <v>12</v>
      </c>
      <c r="M627">
        <f t="shared" si="110"/>
        <v>10</v>
      </c>
      <c r="N627" s="9" t="str">
        <f t="shared" si="119"/>
        <v>Valid</v>
      </c>
      <c r="O627" t="str">
        <f t="shared" si="111"/>
        <v>Include</v>
      </c>
      <c r="P627" s="9">
        <f t="shared" si="112"/>
        <v>2035068.5799999984</v>
      </c>
      <c r="Q627" s="15">
        <f t="shared" si="113"/>
        <v>7469725</v>
      </c>
      <c r="R627" s="9">
        <f t="shared" si="114"/>
        <v>6484</v>
      </c>
      <c r="S627" s="9">
        <f t="shared" si="115"/>
        <v>7469725</v>
      </c>
      <c r="T627" s="15">
        <f t="shared" si="116"/>
        <v>16.686436250344954</v>
      </c>
      <c r="U627" s="15">
        <f>IF(O627="Exclude",0,G627*Fuel_Price!$B$2)</f>
        <v>1469.626068</v>
      </c>
      <c r="V627" s="15">
        <f t="shared" si="117"/>
        <v>2989922.7577359979</v>
      </c>
    </row>
    <row r="628" spans="1:22">
      <c r="A628" s="1" t="s">
        <v>1589</v>
      </c>
      <c r="B628" s="1" t="s">
        <v>1590</v>
      </c>
      <c r="C628" s="1" t="s">
        <v>1591</v>
      </c>
      <c r="D628" s="1" t="s">
        <v>12</v>
      </c>
      <c r="E628" s="12">
        <v>4780</v>
      </c>
      <c r="F628" s="12" t="s">
        <v>13</v>
      </c>
      <c r="G628" s="6">
        <v>1071.29</v>
      </c>
      <c r="H628" s="1">
        <v>20.28</v>
      </c>
      <c r="J628" t="str">
        <f t="shared" si="108"/>
        <v>OK</v>
      </c>
      <c r="K628" t="str">
        <f t="shared" si="109"/>
        <v>OK</v>
      </c>
      <c r="L628">
        <f t="shared" si="118"/>
        <v>12</v>
      </c>
      <c r="M628">
        <f t="shared" si="110"/>
        <v>10</v>
      </c>
      <c r="N628" s="9" t="str">
        <f t="shared" si="119"/>
        <v>Valid</v>
      </c>
      <c r="O628" t="str">
        <f t="shared" si="111"/>
        <v>Include</v>
      </c>
      <c r="P628" s="9">
        <f t="shared" si="112"/>
        <v>2035068.5799999984</v>
      </c>
      <c r="Q628" s="15">
        <f t="shared" si="113"/>
        <v>7469725</v>
      </c>
      <c r="R628" s="9">
        <f t="shared" si="114"/>
        <v>4780</v>
      </c>
      <c r="S628" s="9">
        <f t="shared" si="115"/>
        <v>7469725</v>
      </c>
      <c r="T628" s="15">
        <f t="shared" si="116"/>
        <v>16.686436250344954</v>
      </c>
      <c r="U628" s="15">
        <f>IF(O628="Exclude",0,G628*Fuel_Price!$B$2)</f>
        <v>1573.9392680000001</v>
      </c>
      <c r="V628" s="15">
        <f t="shared" si="117"/>
        <v>2989922.7577359979</v>
      </c>
    </row>
    <row r="629" spans="1:22">
      <c r="A629" s="1" t="s">
        <v>1592</v>
      </c>
      <c r="B629" s="1" t="s">
        <v>1593</v>
      </c>
      <c r="C629" s="1" t="s">
        <v>1594</v>
      </c>
      <c r="D629" s="1" t="s">
        <v>12</v>
      </c>
      <c r="E629" s="12">
        <v>4542</v>
      </c>
      <c r="F629" s="12" t="s">
        <v>13</v>
      </c>
      <c r="G629" s="6">
        <v>1188.46</v>
      </c>
      <c r="H629" s="1">
        <v>17.37</v>
      </c>
      <c r="J629" t="str">
        <f t="shared" si="108"/>
        <v>OK</v>
      </c>
      <c r="K629" t="str">
        <f t="shared" si="109"/>
        <v>OK</v>
      </c>
      <c r="L629">
        <f t="shared" si="118"/>
        <v>12</v>
      </c>
      <c r="M629">
        <f t="shared" si="110"/>
        <v>10</v>
      </c>
      <c r="N629" s="9" t="str">
        <f t="shared" si="119"/>
        <v>Valid</v>
      </c>
      <c r="O629" t="str">
        <f t="shared" si="111"/>
        <v>Include</v>
      </c>
      <c r="P629" s="9">
        <f t="shared" si="112"/>
        <v>2035068.5799999984</v>
      </c>
      <c r="Q629" s="15">
        <f t="shared" si="113"/>
        <v>7469725</v>
      </c>
      <c r="R629" s="9">
        <f t="shared" si="114"/>
        <v>4542</v>
      </c>
      <c r="S629" s="9">
        <f t="shared" si="115"/>
        <v>7469725</v>
      </c>
      <c r="T629" s="15">
        <f t="shared" si="116"/>
        <v>16.686436250344954</v>
      </c>
      <c r="U629" s="15">
        <f>IF(O629="Exclude",0,G629*Fuel_Price!$B$2)</f>
        <v>1746.0854320000001</v>
      </c>
      <c r="V629" s="15">
        <f t="shared" si="117"/>
        <v>2989922.7577359979</v>
      </c>
    </row>
    <row r="630" spans="1:22">
      <c r="A630" s="1" t="s">
        <v>1595</v>
      </c>
      <c r="B630" s="1" t="s">
        <v>1596</v>
      </c>
      <c r="C630" s="1" t="s">
        <v>1597</v>
      </c>
      <c r="D630" s="1" t="s">
        <v>12</v>
      </c>
      <c r="E630" s="12">
        <v>6438</v>
      </c>
      <c r="F630" s="12" t="s">
        <v>13</v>
      </c>
      <c r="G630" s="6">
        <v>1283.3699999999999</v>
      </c>
      <c r="H630" s="1">
        <v>22.81</v>
      </c>
      <c r="J630" t="str">
        <f t="shared" si="108"/>
        <v>OK</v>
      </c>
      <c r="K630" t="str">
        <f t="shared" si="109"/>
        <v>OK</v>
      </c>
      <c r="L630">
        <f t="shared" si="118"/>
        <v>12</v>
      </c>
      <c r="M630">
        <f t="shared" si="110"/>
        <v>10</v>
      </c>
      <c r="N630" s="9" t="str">
        <f t="shared" si="119"/>
        <v>Valid</v>
      </c>
      <c r="O630" t="str">
        <f t="shared" si="111"/>
        <v>Include</v>
      </c>
      <c r="P630" s="9">
        <f t="shared" si="112"/>
        <v>2035068.5799999984</v>
      </c>
      <c r="Q630" s="15">
        <f t="shared" si="113"/>
        <v>7469725</v>
      </c>
      <c r="R630" s="9">
        <f t="shared" si="114"/>
        <v>6438</v>
      </c>
      <c r="S630" s="9">
        <f t="shared" si="115"/>
        <v>7469725</v>
      </c>
      <c r="T630" s="15">
        <f t="shared" si="116"/>
        <v>16.686436250344954</v>
      </c>
      <c r="U630" s="15">
        <f>IF(O630="Exclude",0,G630*Fuel_Price!$B$2)</f>
        <v>1885.527204</v>
      </c>
      <c r="V630" s="15">
        <f t="shared" si="117"/>
        <v>2989922.7577359979</v>
      </c>
    </row>
    <row r="631" spans="1:22">
      <c r="A631" s="1" t="s">
        <v>1598</v>
      </c>
      <c r="B631" s="1" t="s">
        <v>1599</v>
      </c>
      <c r="C631" s="1" t="s">
        <v>1597</v>
      </c>
      <c r="D631" s="1" t="s">
        <v>12</v>
      </c>
      <c r="E631" s="12">
        <v>5880</v>
      </c>
      <c r="F631" s="12" t="s">
        <v>13</v>
      </c>
      <c r="G631" s="6">
        <v>1305.0999999999999</v>
      </c>
      <c r="H631" s="1">
        <v>20.48</v>
      </c>
      <c r="J631" t="str">
        <f t="shared" si="108"/>
        <v>OK</v>
      </c>
      <c r="K631" t="str">
        <f t="shared" si="109"/>
        <v>OK</v>
      </c>
      <c r="L631">
        <f t="shared" si="118"/>
        <v>12</v>
      </c>
      <c r="M631">
        <f t="shared" si="110"/>
        <v>10</v>
      </c>
      <c r="N631" s="9" t="str">
        <f t="shared" si="119"/>
        <v>Valid</v>
      </c>
      <c r="O631" t="str">
        <f t="shared" si="111"/>
        <v>Include</v>
      </c>
      <c r="P631" s="9">
        <f t="shared" si="112"/>
        <v>2035068.5799999984</v>
      </c>
      <c r="Q631" s="15">
        <f t="shared" si="113"/>
        <v>7469725</v>
      </c>
      <c r="R631" s="9">
        <f t="shared" si="114"/>
        <v>5880</v>
      </c>
      <c r="S631" s="9">
        <f t="shared" si="115"/>
        <v>7469725</v>
      </c>
      <c r="T631" s="15">
        <f t="shared" si="116"/>
        <v>16.686436250344954</v>
      </c>
      <c r="U631" s="15">
        <f>IF(O631="Exclude",0,G631*Fuel_Price!$B$2)</f>
        <v>1917.4529199999999</v>
      </c>
      <c r="V631" s="15">
        <f t="shared" si="117"/>
        <v>2989922.7577359979</v>
      </c>
    </row>
    <row r="632" spans="1:22">
      <c r="A632" s="1" t="s">
        <v>1600</v>
      </c>
      <c r="B632" s="1" t="s">
        <v>1601</v>
      </c>
      <c r="C632" s="1" t="s">
        <v>1602</v>
      </c>
      <c r="D632" s="1" t="s">
        <v>12</v>
      </c>
      <c r="E632" s="12">
        <v>4862</v>
      </c>
      <c r="F632" s="12" t="s">
        <v>13</v>
      </c>
      <c r="G632" s="6">
        <v>1102.4000000000001</v>
      </c>
      <c r="H632" s="1">
        <v>20.05</v>
      </c>
      <c r="J632" t="str">
        <f t="shared" si="108"/>
        <v>OK</v>
      </c>
      <c r="K632" t="str">
        <f t="shared" si="109"/>
        <v>OK</v>
      </c>
      <c r="L632">
        <f t="shared" si="118"/>
        <v>12</v>
      </c>
      <c r="M632">
        <f t="shared" si="110"/>
        <v>10</v>
      </c>
      <c r="N632" s="9" t="str">
        <f t="shared" si="119"/>
        <v>Valid</v>
      </c>
      <c r="O632" t="str">
        <f t="shared" si="111"/>
        <v>Include</v>
      </c>
      <c r="P632" s="9">
        <f t="shared" si="112"/>
        <v>2035068.5799999984</v>
      </c>
      <c r="Q632" s="15">
        <f t="shared" si="113"/>
        <v>7469725</v>
      </c>
      <c r="R632" s="9">
        <f t="shared" si="114"/>
        <v>4862</v>
      </c>
      <c r="S632" s="9">
        <f t="shared" si="115"/>
        <v>7469725</v>
      </c>
      <c r="T632" s="15">
        <f t="shared" si="116"/>
        <v>16.686436250344954</v>
      </c>
      <c r="U632" s="15">
        <f>IF(O632="Exclude",0,G632*Fuel_Price!$B$2)</f>
        <v>1619.6460800000002</v>
      </c>
      <c r="V632" s="15">
        <f t="shared" si="117"/>
        <v>2989922.7577359979</v>
      </c>
    </row>
    <row r="633" spans="1:22">
      <c r="A633" s="1" t="s">
        <v>1603</v>
      </c>
      <c r="B633" s="1" t="s">
        <v>1604</v>
      </c>
      <c r="C633" s="1" t="s">
        <v>1605</v>
      </c>
      <c r="D633" s="1" t="s">
        <v>12</v>
      </c>
      <c r="E633" s="12">
        <v>8503</v>
      </c>
      <c r="F633" s="12" t="s">
        <v>13</v>
      </c>
      <c r="G633" s="6">
        <v>1413.34</v>
      </c>
      <c r="H633" s="1">
        <v>27.35</v>
      </c>
      <c r="J633" t="str">
        <f t="shared" si="108"/>
        <v>OK</v>
      </c>
      <c r="K633" t="str">
        <f t="shared" si="109"/>
        <v>OK</v>
      </c>
      <c r="L633">
        <f t="shared" si="118"/>
        <v>12</v>
      </c>
      <c r="M633">
        <f t="shared" si="110"/>
        <v>10</v>
      </c>
      <c r="N633" s="9" t="str">
        <f t="shared" si="119"/>
        <v>Valid</v>
      </c>
      <c r="O633" t="str">
        <f t="shared" si="111"/>
        <v>Include</v>
      </c>
      <c r="P633" s="9">
        <f t="shared" si="112"/>
        <v>2035068.5799999984</v>
      </c>
      <c r="Q633" s="15">
        <f t="shared" si="113"/>
        <v>7469725</v>
      </c>
      <c r="R633" s="9">
        <f t="shared" si="114"/>
        <v>8503</v>
      </c>
      <c r="S633" s="9">
        <f t="shared" si="115"/>
        <v>7469725</v>
      </c>
      <c r="T633" s="15">
        <f t="shared" si="116"/>
        <v>16.686436250344954</v>
      </c>
      <c r="U633" s="15">
        <f>IF(O633="Exclude",0,G633*Fuel_Price!$B$2)</f>
        <v>2076.4791279999999</v>
      </c>
      <c r="V633" s="15">
        <f t="shared" si="117"/>
        <v>2989922.7577359979</v>
      </c>
    </row>
    <row r="634" spans="1:22">
      <c r="A634" s="1" t="s">
        <v>1606</v>
      </c>
      <c r="B634" s="1" t="s">
        <v>1607</v>
      </c>
      <c r="C634" s="1" t="s">
        <v>1605</v>
      </c>
      <c r="D634" s="1" t="s">
        <v>12</v>
      </c>
      <c r="E634" s="12">
        <v>14871</v>
      </c>
      <c r="F634" s="12" t="s">
        <v>13</v>
      </c>
      <c r="G634" s="6">
        <v>2095.69</v>
      </c>
      <c r="H634" s="1">
        <v>32.26</v>
      </c>
      <c r="J634" t="str">
        <f t="shared" si="108"/>
        <v>OK</v>
      </c>
      <c r="K634" t="str">
        <f t="shared" si="109"/>
        <v>OK</v>
      </c>
      <c r="L634">
        <f t="shared" si="118"/>
        <v>12</v>
      </c>
      <c r="M634">
        <f t="shared" si="110"/>
        <v>10</v>
      </c>
      <c r="N634" s="9" t="str">
        <f t="shared" si="119"/>
        <v>Valid</v>
      </c>
      <c r="O634" t="str">
        <f t="shared" si="111"/>
        <v>Include</v>
      </c>
      <c r="P634" s="9">
        <f t="shared" si="112"/>
        <v>2035068.5799999984</v>
      </c>
      <c r="Q634" s="15">
        <f t="shared" si="113"/>
        <v>7469725</v>
      </c>
      <c r="R634" s="9">
        <f t="shared" si="114"/>
        <v>14871</v>
      </c>
      <c r="S634" s="9">
        <f t="shared" si="115"/>
        <v>7469725</v>
      </c>
      <c r="T634" s="15">
        <f t="shared" si="116"/>
        <v>16.686436250344954</v>
      </c>
      <c r="U634" s="15">
        <f>IF(O634="Exclude",0,G634*Fuel_Price!$B$2)</f>
        <v>3078.987748</v>
      </c>
      <c r="V634" s="15">
        <f t="shared" si="117"/>
        <v>2989922.7577359979</v>
      </c>
    </row>
    <row r="635" spans="1:22">
      <c r="A635" s="1" t="s">
        <v>1608</v>
      </c>
      <c r="B635" s="1" t="s">
        <v>1609</v>
      </c>
      <c r="C635" s="1" t="s">
        <v>1610</v>
      </c>
      <c r="D635" s="1" t="s">
        <v>12</v>
      </c>
      <c r="E635" s="12">
        <v>2308</v>
      </c>
      <c r="F635" s="12" t="s">
        <v>13</v>
      </c>
      <c r="G635" s="6">
        <v>596.88</v>
      </c>
      <c r="H635" s="1">
        <v>17.579999999999998</v>
      </c>
      <c r="J635" t="str">
        <f t="shared" si="108"/>
        <v>OK</v>
      </c>
      <c r="K635" t="str">
        <f t="shared" si="109"/>
        <v>OK</v>
      </c>
      <c r="L635">
        <f t="shared" si="118"/>
        <v>12</v>
      </c>
      <c r="M635">
        <f t="shared" si="110"/>
        <v>10</v>
      </c>
      <c r="N635" s="9" t="str">
        <f t="shared" si="119"/>
        <v>Valid</v>
      </c>
      <c r="O635" t="str">
        <f t="shared" si="111"/>
        <v>Include</v>
      </c>
      <c r="P635" s="9">
        <f t="shared" si="112"/>
        <v>2035068.5799999984</v>
      </c>
      <c r="Q635" s="15">
        <f t="shared" si="113"/>
        <v>7469725</v>
      </c>
      <c r="R635" s="9">
        <f t="shared" si="114"/>
        <v>2308</v>
      </c>
      <c r="S635" s="9">
        <f t="shared" si="115"/>
        <v>7469725</v>
      </c>
      <c r="T635" s="15">
        <f t="shared" si="116"/>
        <v>16.686436250344954</v>
      </c>
      <c r="U635" s="15">
        <f>IF(O635="Exclude",0,G635*Fuel_Price!$B$2)</f>
        <v>876.93609600000002</v>
      </c>
      <c r="V635" s="15">
        <f t="shared" si="117"/>
        <v>2989922.7577359979</v>
      </c>
    </row>
    <row r="636" spans="1:22">
      <c r="A636" s="1" t="s">
        <v>1611</v>
      </c>
      <c r="B636" s="1" t="s">
        <v>1612</v>
      </c>
      <c r="C636" s="1" t="s">
        <v>1610</v>
      </c>
      <c r="D636" s="1" t="s">
        <v>12</v>
      </c>
      <c r="E636" s="12">
        <v>6980</v>
      </c>
      <c r="F636" s="12" t="s">
        <v>13</v>
      </c>
      <c r="G636" s="6">
        <v>1317.96</v>
      </c>
      <c r="H636" s="1">
        <v>24.08</v>
      </c>
      <c r="J636" t="str">
        <f t="shared" si="108"/>
        <v>OK</v>
      </c>
      <c r="K636" t="str">
        <f t="shared" si="109"/>
        <v>OK</v>
      </c>
      <c r="L636">
        <f t="shared" si="118"/>
        <v>12</v>
      </c>
      <c r="M636">
        <f t="shared" si="110"/>
        <v>10</v>
      </c>
      <c r="N636" s="9" t="str">
        <f t="shared" si="119"/>
        <v>Valid</v>
      </c>
      <c r="O636" t="str">
        <f t="shared" si="111"/>
        <v>Include</v>
      </c>
      <c r="P636" s="9">
        <f t="shared" si="112"/>
        <v>2035068.5799999984</v>
      </c>
      <c r="Q636" s="15">
        <f t="shared" si="113"/>
        <v>7469725</v>
      </c>
      <c r="R636" s="9">
        <f t="shared" si="114"/>
        <v>6980</v>
      </c>
      <c r="S636" s="9">
        <f t="shared" si="115"/>
        <v>7469725</v>
      </c>
      <c r="T636" s="15">
        <f t="shared" si="116"/>
        <v>16.686436250344954</v>
      </c>
      <c r="U636" s="15">
        <f>IF(O636="Exclude",0,G636*Fuel_Price!$B$2)</f>
        <v>1936.3468320000002</v>
      </c>
      <c r="V636" s="15">
        <f t="shared" si="117"/>
        <v>2989922.7577359979</v>
      </c>
    </row>
    <row r="637" spans="1:22">
      <c r="A637" s="1" t="s">
        <v>1613</v>
      </c>
      <c r="B637" s="1" t="s">
        <v>1614</v>
      </c>
      <c r="C637" s="1" t="s">
        <v>1605</v>
      </c>
      <c r="D637" s="1" t="s">
        <v>12</v>
      </c>
      <c r="E637" s="12">
        <v>10661</v>
      </c>
      <c r="F637" s="12" t="s">
        <v>13</v>
      </c>
      <c r="G637" s="6">
        <v>3033.36</v>
      </c>
      <c r="H637" s="1">
        <v>15.98</v>
      </c>
      <c r="J637" t="str">
        <f t="shared" si="108"/>
        <v>OK</v>
      </c>
      <c r="K637" t="str">
        <f t="shared" si="109"/>
        <v>OK</v>
      </c>
      <c r="L637">
        <f t="shared" si="118"/>
        <v>12</v>
      </c>
      <c r="M637">
        <f t="shared" si="110"/>
        <v>10</v>
      </c>
      <c r="N637" s="9" t="str">
        <f t="shared" si="119"/>
        <v>Valid</v>
      </c>
      <c r="O637" t="str">
        <f t="shared" si="111"/>
        <v>Include</v>
      </c>
      <c r="P637" s="9">
        <f t="shared" si="112"/>
        <v>2035068.5799999984</v>
      </c>
      <c r="Q637" s="15">
        <f t="shared" si="113"/>
        <v>7469725</v>
      </c>
      <c r="R637" s="9">
        <f t="shared" si="114"/>
        <v>10661</v>
      </c>
      <c r="S637" s="9">
        <f t="shared" si="115"/>
        <v>7469725</v>
      </c>
      <c r="T637" s="15">
        <f t="shared" si="116"/>
        <v>16.686436250344954</v>
      </c>
      <c r="U637" s="15">
        <f>IF(O637="Exclude",0,G637*Fuel_Price!$B$2)</f>
        <v>4456.6125120000006</v>
      </c>
      <c r="V637" s="15">
        <f t="shared" si="117"/>
        <v>2989922.7577359979</v>
      </c>
    </row>
    <row r="638" spans="1:22">
      <c r="A638" s="1" t="s">
        <v>1615</v>
      </c>
      <c r="B638" s="1" t="s">
        <v>1616</v>
      </c>
      <c r="C638" s="1" t="s">
        <v>1617</v>
      </c>
      <c r="D638" s="1" t="s">
        <v>12</v>
      </c>
      <c r="E638" s="12">
        <v>6026</v>
      </c>
      <c r="F638" s="12" t="s">
        <v>13</v>
      </c>
      <c r="G638" s="6">
        <v>1173.8499999999999</v>
      </c>
      <c r="H638" s="1">
        <v>23.34</v>
      </c>
      <c r="J638" t="str">
        <f t="shared" si="108"/>
        <v>OK</v>
      </c>
      <c r="K638" t="str">
        <f t="shared" si="109"/>
        <v>OK</v>
      </c>
      <c r="L638">
        <f t="shared" si="118"/>
        <v>12</v>
      </c>
      <c r="M638">
        <f t="shared" si="110"/>
        <v>10</v>
      </c>
      <c r="N638" s="9" t="str">
        <f t="shared" si="119"/>
        <v>Valid</v>
      </c>
      <c r="O638" t="str">
        <f t="shared" si="111"/>
        <v>Include</v>
      </c>
      <c r="P638" s="9">
        <f t="shared" si="112"/>
        <v>2035068.5799999984</v>
      </c>
      <c r="Q638" s="15">
        <f t="shared" si="113"/>
        <v>7469725</v>
      </c>
      <c r="R638" s="9">
        <f t="shared" si="114"/>
        <v>6026</v>
      </c>
      <c r="S638" s="9">
        <f t="shared" si="115"/>
        <v>7469725</v>
      </c>
      <c r="T638" s="15">
        <f t="shared" si="116"/>
        <v>16.686436250344954</v>
      </c>
      <c r="U638" s="15">
        <f>IF(O638="Exclude",0,G638*Fuel_Price!$B$2)</f>
        <v>1724.62042</v>
      </c>
      <c r="V638" s="15">
        <f t="shared" si="117"/>
        <v>2989922.7577359979</v>
      </c>
    </row>
    <row r="639" spans="1:22">
      <c r="A639" s="1" t="s">
        <v>1618</v>
      </c>
      <c r="B639" s="1" t="s">
        <v>1619</v>
      </c>
      <c r="C639" s="1" t="s">
        <v>1620</v>
      </c>
      <c r="D639" s="1" t="s">
        <v>12</v>
      </c>
      <c r="E639" s="12">
        <v>10854</v>
      </c>
      <c r="F639" s="12" t="s">
        <v>13</v>
      </c>
      <c r="G639" s="6">
        <v>2165.1999999999998</v>
      </c>
      <c r="H639" s="1">
        <v>22.79</v>
      </c>
      <c r="J639" t="str">
        <f t="shared" si="108"/>
        <v>OK</v>
      </c>
      <c r="K639" t="str">
        <f t="shared" si="109"/>
        <v>OK</v>
      </c>
      <c r="L639">
        <f t="shared" si="118"/>
        <v>12</v>
      </c>
      <c r="M639">
        <f t="shared" si="110"/>
        <v>10</v>
      </c>
      <c r="N639" s="9" t="str">
        <f t="shared" si="119"/>
        <v>Valid</v>
      </c>
      <c r="O639" t="str">
        <f t="shared" si="111"/>
        <v>Include</v>
      </c>
      <c r="P639" s="9">
        <f t="shared" si="112"/>
        <v>2035068.5799999984</v>
      </c>
      <c r="Q639" s="15">
        <f t="shared" si="113"/>
        <v>7469725</v>
      </c>
      <c r="R639" s="9">
        <f t="shared" si="114"/>
        <v>10854</v>
      </c>
      <c r="S639" s="9">
        <f t="shared" si="115"/>
        <v>7469725</v>
      </c>
      <c r="T639" s="15">
        <f t="shared" si="116"/>
        <v>16.686436250344954</v>
      </c>
      <c r="U639" s="15">
        <f>IF(O639="Exclude",0,G639*Fuel_Price!$B$2)</f>
        <v>3181.11184</v>
      </c>
      <c r="V639" s="15">
        <f t="shared" si="117"/>
        <v>2989922.7577359979</v>
      </c>
    </row>
    <row r="640" spans="1:22">
      <c r="A640" s="1" t="s">
        <v>1621</v>
      </c>
      <c r="B640" s="1" t="s">
        <v>1622</v>
      </c>
      <c r="C640" s="1" t="s">
        <v>1620</v>
      </c>
      <c r="D640" s="1" t="s">
        <v>12</v>
      </c>
      <c r="E640" s="12">
        <v>7385</v>
      </c>
      <c r="F640" s="12" t="s">
        <v>13</v>
      </c>
      <c r="G640" s="6">
        <v>1178.47</v>
      </c>
      <c r="H640" s="1">
        <v>28.49</v>
      </c>
      <c r="J640" t="str">
        <f t="shared" si="108"/>
        <v>OK</v>
      </c>
      <c r="K640" t="str">
        <f t="shared" si="109"/>
        <v>OK</v>
      </c>
      <c r="L640">
        <f t="shared" si="118"/>
        <v>12</v>
      </c>
      <c r="M640">
        <f t="shared" si="110"/>
        <v>10</v>
      </c>
      <c r="N640" s="9" t="str">
        <f t="shared" si="119"/>
        <v>Valid</v>
      </c>
      <c r="O640" t="str">
        <f t="shared" si="111"/>
        <v>Include</v>
      </c>
      <c r="P640" s="9">
        <f t="shared" si="112"/>
        <v>2035068.5799999984</v>
      </c>
      <c r="Q640" s="15">
        <f t="shared" si="113"/>
        <v>7469725</v>
      </c>
      <c r="R640" s="9">
        <f t="shared" si="114"/>
        <v>7385</v>
      </c>
      <c r="S640" s="9">
        <f t="shared" si="115"/>
        <v>7469725</v>
      </c>
      <c r="T640" s="15">
        <f t="shared" si="116"/>
        <v>16.686436250344954</v>
      </c>
      <c r="U640" s="15">
        <f>IF(O640="Exclude",0,G640*Fuel_Price!$B$2)</f>
        <v>1731.408124</v>
      </c>
      <c r="V640" s="15">
        <f t="shared" si="117"/>
        <v>2989922.7577359979</v>
      </c>
    </row>
    <row r="641" spans="1:22">
      <c r="A641" s="1" t="s">
        <v>1623</v>
      </c>
      <c r="B641" s="1" t="s">
        <v>1624</v>
      </c>
      <c r="C641" s="1" t="s">
        <v>937</v>
      </c>
      <c r="D641" s="1" t="s">
        <v>12</v>
      </c>
      <c r="E641" s="12">
        <v>9630</v>
      </c>
      <c r="F641" s="12" t="s">
        <v>13</v>
      </c>
      <c r="G641" s="6">
        <v>1737.42</v>
      </c>
      <c r="H641" s="1">
        <v>25.2</v>
      </c>
      <c r="J641" t="str">
        <f t="shared" si="108"/>
        <v>OK</v>
      </c>
      <c r="K641" t="str">
        <f t="shared" si="109"/>
        <v>OK</v>
      </c>
      <c r="L641">
        <f t="shared" si="118"/>
        <v>12</v>
      </c>
      <c r="M641">
        <f t="shared" si="110"/>
        <v>10</v>
      </c>
      <c r="N641" s="9" t="str">
        <f t="shared" si="119"/>
        <v>Valid</v>
      </c>
      <c r="O641" t="str">
        <f t="shared" si="111"/>
        <v>Include</v>
      </c>
      <c r="P641" s="9">
        <f t="shared" si="112"/>
        <v>2035068.5799999984</v>
      </c>
      <c r="Q641" s="15">
        <f t="shared" si="113"/>
        <v>7469725</v>
      </c>
      <c r="R641" s="9">
        <f t="shared" si="114"/>
        <v>9630</v>
      </c>
      <c r="S641" s="9">
        <f t="shared" si="115"/>
        <v>7469725</v>
      </c>
      <c r="T641" s="15">
        <f t="shared" si="116"/>
        <v>16.686436250344954</v>
      </c>
      <c r="U641" s="15">
        <f>IF(O641="Exclude",0,G641*Fuel_Price!$B$2)</f>
        <v>2552.6174640000004</v>
      </c>
      <c r="V641" s="15">
        <f t="shared" si="117"/>
        <v>2989922.7577359979</v>
      </c>
    </row>
    <row r="642" spans="1:22">
      <c r="A642" s="1" t="s">
        <v>1625</v>
      </c>
      <c r="B642" s="1" t="s">
        <v>1626</v>
      </c>
      <c r="C642" s="1" t="s">
        <v>937</v>
      </c>
      <c r="D642" s="1" t="s">
        <v>12</v>
      </c>
      <c r="E642" s="12">
        <v>3668</v>
      </c>
      <c r="F642" s="12" t="s">
        <v>13</v>
      </c>
      <c r="G642" s="6">
        <v>706.75</v>
      </c>
      <c r="H642" s="1">
        <v>23.59</v>
      </c>
      <c r="J642" t="str">
        <f t="shared" ref="J642:J705" si="120">IF(OR(H642&lt;=0,H642&gt;100),"Check","OK")</f>
        <v>OK</v>
      </c>
      <c r="K642" t="str">
        <f t="shared" ref="K642:K705" si="121">IF(E642&lt;0,"Check","OK")</f>
        <v>OK</v>
      </c>
      <c r="L642">
        <f t="shared" si="118"/>
        <v>12</v>
      </c>
      <c r="M642">
        <f t="shared" ref="M642:M705" si="122">COUNTIF(K:K,"Check")</f>
        <v>10</v>
      </c>
      <c r="N642" s="9" t="str">
        <f t="shared" si="119"/>
        <v>Valid</v>
      </c>
      <c r="O642" t="str">
        <f t="shared" ref="O642:O705" si="123">IF(N642="Review","Exclude","Include")</f>
        <v>Include</v>
      </c>
      <c r="P642" s="9">
        <f t="shared" ref="P642:P705" si="124">SUMIF(O:O,"Include",G:G)</f>
        <v>2035068.5799999984</v>
      </c>
      <c r="Q642" s="15">
        <f t="shared" ref="Q642:Q705" si="125">SUMIF(O:O,"Include",E:E)</f>
        <v>7469725</v>
      </c>
      <c r="R642" s="9">
        <f t="shared" ref="R642:R705" si="126">IF(O642="Exclude",0,E642)</f>
        <v>3668</v>
      </c>
      <c r="S642" s="9">
        <f t="shared" ref="S642:S705" si="127">SUM(R:R)</f>
        <v>7469725</v>
      </c>
      <c r="T642" s="15">
        <f t="shared" ref="T642:T705" si="128">S642/(P642/4.54609)</f>
        <v>16.686436250344954</v>
      </c>
      <c r="U642" s="15">
        <f>IF(O642="Exclude",0,G642*Fuel_Price!$B$2)</f>
        <v>1038.3570999999999</v>
      </c>
      <c r="V642" s="15">
        <f t="shared" ref="V642:V705" si="129">SUM(U:U)</f>
        <v>2989922.7577359979</v>
      </c>
    </row>
    <row r="643" spans="1:22">
      <c r="A643" s="1" t="s">
        <v>1627</v>
      </c>
      <c r="B643" s="1" t="s">
        <v>1628</v>
      </c>
      <c r="C643" s="1" t="s">
        <v>937</v>
      </c>
      <c r="D643" s="1" t="s">
        <v>12</v>
      </c>
      <c r="E643" s="12">
        <v>-3780</v>
      </c>
      <c r="F643" s="12" t="s">
        <v>13</v>
      </c>
      <c r="G643" s="6">
        <v>1130.3900000000001</v>
      </c>
      <c r="H643" s="1">
        <v>-15.2</v>
      </c>
      <c r="J643" t="str">
        <f t="shared" si="120"/>
        <v>Check</v>
      </c>
      <c r="K643" t="str">
        <f t="shared" si="121"/>
        <v>Check</v>
      </c>
      <c r="L643">
        <f t="shared" ref="L643:L706" si="130">COUNTIF(J:J,"Check")</f>
        <v>12</v>
      </c>
      <c r="M643">
        <f t="shared" si="122"/>
        <v>10</v>
      </c>
      <c r="N643" s="9" t="str">
        <f t="shared" si="119"/>
        <v>Review</v>
      </c>
      <c r="O643" t="str">
        <f t="shared" si="123"/>
        <v>Exclude</v>
      </c>
      <c r="P643" s="9">
        <f t="shared" si="124"/>
        <v>2035068.5799999984</v>
      </c>
      <c r="Q643" s="15">
        <f t="shared" si="125"/>
        <v>7469725</v>
      </c>
      <c r="R643" s="9">
        <f t="shared" si="126"/>
        <v>0</v>
      </c>
      <c r="S643" s="9">
        <f t="shared" si="127"/>
        <v>7469725</v>
      </c>
      <c r="T643" s="15">
        <f t="shared" si="128"/>
        <v>16.686436250344954</v>
      </c>
      <c r="U643" s="15">
        <f>IF(O643="Exclude",0,G643*Fuel_Price!$B$2)</f>
        <v>0</v>
      </c>
      <c r="V643" s="15">
        <f t="shared" si="129"/>
        <v>2989922.7577359979</v>
      </c>
    </row>
    <row r="644" spans="1:22">
      <c r="A644" s="1" t="s">
        <v>1629</v>
      </c>
      <c r="B644" s="1" t="s">
        <v>1630</v>
      </c>
      <c r="C644" s="1" t="s">
        <v>937</v>
      </c>
      <c r="D644" s="1" t="s">
        <v>12</v>
      </c>
      <c r="E644" s="12">
        <v>13550</v>
      </c>
      <c r="F644" s="12" t="s">
        <v>13</v>
      </c>
      <c r="G644" s="6">
        <v>2890.99</v>
      </c>
      <c r="H644" s="1">
        <v>21.31</v>
      </c>
      <c r="J644" t="str">
        <f t="shared" si="120"/>
        <v>OK</v>
      </c>
      <c r="K644" t="str">
        <f t="shared" si="121"/>
        <v>OK</v>
      </c>
      <c r="L644">
        <f t="shared" si="130"/>
        <v>12</v>
      </c>
      <c r="M644">
        <f t="shared" si="122"/>
        <v>10</v>
      </c>
      <c r="N644" s="9" t="str">
        <f t="shared" si="119"/>
        <v>Valid</v>
      </c>
      <c r="O644" t="str">
        <f t="shared" si="123"/>
        <v>Include</v>
      </c>
      <c r="P644" s="9">
        <f t="shared" si="124"/>
        <v>2035068.5799999984</v>
      </c>
      <c r="Q644" s="15">
        <f t="shared" si="125"/>
        <v>7469725</v>
      </c>
      <c r="R644" s="9">
        <f t="shared" si="126"/>
        <v>13550</v>
      </c>
      <c r="S644" s="9">
        <f t="shared" si="127"/>
        <v>7469725</v>
      </c>
      <c r="T644" s="15">
        <f t="shared" si="128"/>
        <v>16.686436250344954</v>
      </c>
      <c r="U644" s="15">
        <f>IF(O644="Exclude",0,G644*Fuel_Price!$B$2)</f>
        <v>4247.4425080000001</v>
      </c>
      <c r="V644" s="15">
        <f t="shared" si="129"/>
        <v>2989922.7577359979</v>
      </c>
    </row>
    <row r="645" spans="1:22">
      <c r="A645" s="1" t="s">
        <v>1646</v>
      </c>
      <c r="B645" s="1" t="s">
        <v>1647</v>
      </c>
      <c r="C645" s="1" t="s">
        <v>937</v>
      </c>
      <c r="D645" s="1" t="s">
        <v>12</v>
      </c>
      <c r="E645" s="12">
        <v>8743</v>
      </c>
      <c r="F645" s="12" t="s">
        <v>13</v>
      </c>
      <c r="G645" s="6">
        <v>1612.8</v>
      </c>
      <c r="H645" s="1">
        <v>24.64</v>
      </c>
      <c r="J645" t="str">
        <f t="shared" si="120"/>
        <v>OK</v>
      </c>
      <c r="K645" t="str">
        <f t="shared" si="121"/>
        <v>OK</v>
      </c>
      <c r="L645">
        <f t="shared" si="130"/>
        <v>12</v>
      </c>
      <c r="M645">
        <f t="shared" si="122"/>
        <v>10</v>
      </c>
      <c r="N645" s="9" t="str">
        <f t="shared" si="119"/>
        <v>Valid</v>
      </c>
      <c r="O645" t="str">
        <f t="shared" si="123"/>
        <v>Include</v>
      </c>
      <c r="P645" s="9">
        <f t="shared" si="124"/>
        <v>2035068.5799999984</v>
      </c>
      <c r="Q645" s="15">
        <f t="shared" si="125"/>
        <v>7469725</v>
      </c>
      <c r="R645" s="9">
        <f t="shared" si="126"/>
        <v>8743</v>
      </c>
      <c r="S645" s="9">
        <f t="shared" si="127"/>
        <v>7469725</v>
      </c>
      <c r="T645" s="15">
        <f t="shared" si="128"/>
        <v>16.686436250344954</v>
      </c>
      <c r="U645" s="15">
        <f>IF(O645="Exclude",0,G645*Fuel_Price!$B$2)</f>
        <v>2369.52576</v>
      </c>
      <c r="V645" s="15">
        <f t="shared" si="129"/>
        <v>2989922.7577359979</v>
      </c>
    </row>
    <row r="646" spans="1:22">
      <c r="A646" s="1" t="s">
        <v>1648</v>
      </c>
      <c r="B646" s="1" t="s">
        <v>1649</v>
      </c>
      <c r="C646" s="1" t="s">
        <v>937</v>
      </c>
      <c r="D646" s="1" t="s">
        <v>12</v>
      </c>
      <c r="E646" s="12">
        <v>5716</v>
      </c>
      <c r="F646" s="12" t="s">
        <v>13</v>
      </c>
      <c r="G646" s="6">
        <v>1107.92</v>
      </c>
      <c r="H646" s="1">
        <v>23.45</v>
      </c>
      <c r="J646" t="str">
        <f t="shared" si="120"/>
        <v>OK</v>
      </c>
      <c r="K646" t="str">
        <f t="shared" si="121"/>
        <v>OK</v>
      </c>
      <c r="L646">
        <f t="shared" si="130"/>
        <v>12</v>
      </c>
      <c r="M646">
        <f t="shared" si="122"/>
        <v>10</v>
      </c>
      <c r="N646" s="9" t="str">
        <f t="shared" si="119"/>
        <v>Valid</v>
      </c>
      <c r="O646" t="str">
        <f t="shared" si="123"/>
        <v>Include</v>
      </c>
      <c r="P646" s="9">
        <f t="shared" si="124"/>
        <v>2035068.5799999984</v>
      </c>
      <c r="Q646" s="15">
        <f t="shared" si="125"/>
        <v>7469725</v>
      </c>
      <c r="R646" s="9">
        <f t="shared" si="126"/>
        <v>5716</v>
      </c>
      <c r="S646" s="9">
        <f t="shared" si="127"/>
        <v>7469725</v>
      </c>
      <c r="T646" s="15">
        <f t="shared" si="128"/>
        <v>16.686436250344954</v>
      </c>
      <c r="U646" s="15">
        <f>IF(O646="Exclude",0,G646*Fuel_Price!$B$2)</f>
        <v>1627.7560640000002</v>
      </c>
      <c r="V646" s="15">
        <f t="shared" si="129"/>
        <v>2989922.7577359979</v>
      </c>
    </row>
    <row r="647" spans="1:22">
      <c r="A647" s="1" t="s">
        <v>1650</v>
      </c>
      <c r="B647" s="1" t="s">
        <v>1651</v>
      </c>
      <c r="C647" s="1" t="s">
        <v>937</v>
      </c>
      <c r="D647" s="1" t="s">
        <v>12</v>
      </c>
      <c r="E647" s="12">
        <v>15930</v>
      </c>
      <c r="F647" s="12" t="s">
        <v>13</v>
      </c>
      <c r="G647" s="6">
        <v>2745.56</v>
      </c>
      <c r="H647" s="1">
        <v>26.38</v>
      </c>
      <c r="J647" t="str">
        <f t="shared" si="120"/>
        <v>OK</v>
      </c>
      <c r="K647" t="str">
        <f t="shared" si="121"/>
        <v>OK</v>
      </c>
      <c r="L647">
        <f t="shared" si="130"/>
        <v>12</v>
      </c>
      <c r="M647">
        <f t="shared" si="122"/>
        <v>10</v>
      </c>
      <c r="N647" s="9" t="str">
        <f t="shared" ref="N647:N710" si="131">IF(OR(H647&lt;=0,H647&gt;100,E647&lt;0),"Review","Valid")</f>
        <v>Valid</v>
      </c>
      <c r="O647" t="str">
        <f t="shared" si="123"/>
        <v>Include</v>
      </c>
      <c r="P647" s="9">
        <f t="shared" si="124"/>
        <v>2035068.5799999984</v>
      </c>
      <c r="Q647" s="15">
        <f t="shared" si="125"/>
        <v>7469725</v>
      </c>
      <c r="R647" s="9">
        <f t="shared" si="126"/>
        <v>15930</v>
      </c>
      <c r="S647" s="9">
        <f t="shared" si="127"/>
        <v>7469725</v>
      </c>
      <c r="T647" s="15">
        <f t="shared" si="128"/>
        <v>16.686436250344954</v>
      </c>
      <c r="U647" s="15">
        <f>IF(O647="Exclude",0,G647*Fuel_Price!$B$2)</f>
        <v>4033.7767520000002</v>
      </c>
      <c r="V647" s="15">
        <f t="shared" si="129"/>
        <v>2989922.7577359979</v>
      </c>
    </row>
    <row r="648" spans="1:22">
      <c r="A648" s="1" t="s">
        <v>1652</v>
      </c>
      <c r="B648" s="1" t="s">
        <v>1653</v>
      </c>
      <c r="C648" s="1" t="s">
        <v>1654</v>
      </c>
      <c r="D648" s="1" t="s">
        <v>12</v>
      </c>
      <c r="E648" s="12">
        <v>9140</v>
      </c>
      <c r="F648" s="12" t="s">
        <v>13</v>
      </c>
      <c r="G648" s="6">
        <v>1614.66</v>
      </c>
      <c r="H648" s="1">
        <v>25.73</v>
      </c>
      <c r="J648" t="str">
        <f t="shared" si="120"/>
        <v>OK</v>
      </c>
      <c r="K648" t="str">
        <f t="shared" si="121"/>
        <v>OK</v>
      </c>
      <c r="L648">
        <f t="shared" si="130"/>
        <v>12</v>
      </c>
      <c r="M648">
        <f t="shared" si="122"/>
        <v>10</v>
      </c>
      <c r="N648" s="9" t="str">
        <f t="shared" si="131"/>
        <v>Valid</v>
      </c>
      <c r="O648" t="str">
        <f t="shared" si="123"/>
        <v>Include</v>
      </c>
      <c r="P648" s="9">
        <f t="shared" si="124"/>
        <v>2035068.5799999984</v>
      </c>
      <c r="Q648" s="15">
        <f t="shared" si="125"/>
        <v>7469725</v>
      </c>
      <c r="R648" s="9">
        <f t="shared" si="126"/>
        <v>9140</v>
      </c>
      <c r="S648" s="9">
        <f t="shared" si="127"/>
        <v>7469725</v>
      </c>
      <c r="T648" s="15">
        <f t="shared" si="128"/>
        <v>16.686436250344954</v>
      </c>
      <c r="U648" s="15">
        <f>IF(O648="Exclude",0,G648*Fuel_Price!$B$2)</f>
        <v>2372.2584720000004</v>
      </c>
      <c r="V648" s="15">
        <f t="shared" si="129"/>
        <v>2989922.7577359979</v>
      </c>
    </row>
    <row r="649" spans="1:22">
      <c r="A649" s="1" t="s">
        <v>1666</v>
      </c>
      <c r="B649" s="1" t="s">
        <v>1667</v>
      </c>
      <c r="C649" s="1" t="s">
        <v>1668</v>
      </c>
      <c r="D649" s="1" t="s">
        <v>12</v>
      </c>
      <c r="E649" s="12">
        <v>1032</v>
      </c>
      <c r="F649" s="12" t="s">
        <v>13</v>
      </c>
      <c r="G649" s="6">
        <v>279.57</v>
      </c>
      <c r="H649" s="1">
        <v>16.78</v>
      </c>
      <c r="J649" t="str">
        <f t="shared" si="120"/>
        <v>OK</v>
      </c>
      <c r="K649" t="str">
        <f t="shared" si="121"/>
        <v>OK</v>
      </c>
      <c r="L649">
        <f t="shared" si="130"/>
        <v>12</v>
      </c>
      <c r="M649">
        <f t="shared" si="122"/>
        <v>10</v>
      </c>
      <c r="N649" s="9" t="str">
        <f t="shared" si="131"/>
        <v>Valid</v>
      </c>
      <c r="O649" t="str">
        <f t="shared" si="123"/>
        <v>Include</v>
      </c>
      <c r="P649" s="9">
        <f t="shared" si="124"/>
        <v>2035068.5799999984</v>
      </c>
      <c r="Q649" s="15">
        <f t="shared" si="125"/>
        <v>7469725</v>
      </c>
      <c r="R649" s="9">
        <f t="shared" si="126"/>
        <v>1032</v>
      </c>
      <c r="S649" s="9">
        <f t="shared" si="127"/>
        <v>7469725</v>
      </c>
      <c r="T649" s="15">
        <f t="shared" si="128"/>
        <v>16.686436250344954</v>
      </c>
      <c r="U649" s="15">
        <f>IF(O649="Exclude",0,G649*Fuel_Price!$B$2)</f>
        <v>410.74424399999998</v>
      </c>
      <c r="V649" s="15">
        <f t="shared" si="129"/>
        <v>2989922.7577359979</v>
      </c>
    </row>
    <row r="650" spans="1:22">
      <c r="A650" s="1" t="s">
        <v>1669</v>
      </c>
      <c r="B650" s="1" t="s">
        <v>1670</v>
      </c>
      <c r="C650" s="1" t="s">
        <v>1668</v>
      </c>
      <c r="D650" s="1" t="s">
        <v>12</v>
      </c>
      <c r="E650" s="12">
        <v>289</v>
      </c>
      <c r="F650" s="12" t="s">
        <v>13</v>
      </c>
      <c r="G650" s="6">
        <v>73.52</v>
      </c>
      <c r="H650" s="1">
        <v>17.87</v>
      </c>
      <c r="J650" t="str">
        <f t="shared" si="120"/>
        <v>OK</v>
      </c>
      <c r="K650" t="str">
        <f t="shared" si="121"/>
        <v>OK</v>
      </c>
      <c r="L650">
        <f t="shared" si="130"/>
        <v>12</v>
      </c>
      <c r="M650">
        <f t="shared" si="122"/>
        <v>10</v>
      </c>
      <c r="N650" s="9" t="str">
        <f t="shared" si="131"/>
        <v>Valid</v>
      </c>
      <c r="O650" t="str">
        <f t="shared" si="123"/>
        <v>Include</v>
      </c>
      <c r="P650" s="9">
        <f t="shared" si="124"/>
        <v>2035068.5799999984</v>
      </c>
      <c r="Q650" s="15">
        <f t="shared" si="125"/>
        <v>7469725</v>
      </c>
      <c r="R650" s="9">
        <f t="shared" si="126"/>
        <v>289</v>
      </c>
      <c r="S650" s="9">
        <f t="shared" si="127"/>
        <v>7469725</v>
      </c>
      <c r="T650" s="15">
        <f t="shared" si="128"/>
        <v>16.686436250344954</v>
      </c>
      <c r="U650" s="15">
        <f>IF(O650="Exclude",0,G650*Fuel_Price!$B$2)</f>
        <v>108.015584</v>
      </c>
      <c r="V650" s="15">
        <f t="shared" si="129"/>
        <v>2989922.7577359979</v>
      </c>
    </row>
    <row r="651" spans="1:22">
      <c r="A651" s="1" t="s">
        <v>1671</v>
      </c>
      <c r="B651" s="1" t="s">
        <v>1672</v>
      </c>
      <c r="C651" s="1" t="s">
        <v>1668</v>
      </c>
      <c r="D651" s="1" t="s">
        <v>12</v>
      </c>
      <c r="E651" s="12">
        <v>380</v>
      </c>
      <c r="F651" s="12" t="s">
        <v>13</v>
      </c>
      <c r="G651" s="6">
        <v>117.87</v>
      </c>
      <c r="H651" s="1">
        <v>14.66</v>
      </c>
      <c r="J651" t="str">
        <f t="shared" si="120"/>
        <v>OK</v>
      </c>
      <c r="K651" t="str">
        <f t="shared" si="121"/>
        <v>OK</v>
      </c>
      <c r="L651">
        <f t="shared" si="130"/>
        <v>12</v>
      </c>
      <c r="M651">
        <f t="shared" si="122"/>
        <v>10</v>
      </c>
      <c r="N651" s="9" t="str">
        <f t="shared" si="131"/>
        <v>Valid</v>
      </c>
      <c r="O651" t="str">
        <f t="shared" si="123"/>
        <v>Include</v>
      </c>
      <c r="P651" s="9">
        <f t="shared" si="124"/>
        <v>2035068.5799999984</v>
      </c>
      <c r="Q651" s="15">
        <f t="shared" si="125"/>
        <v>7469725</v>
      </c>
      <c r="R651" s="9">
        <f t="shared" si="126"/>
        <v>380</v>
      </c>
      <c r="S651" s="9">
        <f t="shared" si="127"/>
        <v>7469725</v>
      </c>
      <c r="T651" s="15">
        <f t="shared" si="128"/>
        <v>16.686436250344954</v>
      </c>
      <c r="U651" s="15">
        <f>IF(O651="Exclude",0,G651*Fuel_Price!$B$2)</f>
        <v>173.17460400000002</v>
      </c>
      <c r="V651" s="15">
        <f t="shared" si="129"/>
        <v>2989922.7577359979</v>
      </c>
    </row>
    <row r="652" spans="1:22">
      <c r="A652" s="1" t="s">
        <v>1673</v>
      </c>
      <c r="B652" s="1" t="s">
        <v>1674</v>
      </c>
      <c r="C652" s="1" t="s">
        <v>1668</v>
      </c>
      <c r="D652" s="1" t="s">
        <v>12</v>
      </c>
      <c r="E652" s="12">
        <v>1095</v>
      </c>
      <c r="F652" s="12" t="s">
        <v>13</v>
      </c>
      <c r="G652" s="6">
        <v>219.6</v>
      </c>
      <c r="H652" s="1">
        <v>22.67</v>
      </c>
      <c r="J652" t="str">
        <f t="shared" si="120"/>
        <v>OK</v>
      </c>
      <c r="K652" t="str">
        <f t="shared" si="121"/>
        <v>OK</v>
      </c>
      <c r="L652">
        <f t="shared" si="130"/>
        <v>12</v>
      </c>
      <c r="M652">
        <f t="shared" si="122"/>
        <v>10</v>
      </c>
      <c r="N652" s="9" t="str">
        <f t="shared" si="131"/>
        <v>Valid</v>
      </c>
      <c r="O652" t="str">
        <f t="shared" si="123"/>
        <v>Include</v>
      </c>
      <c r="P652" s="9">
        <f t="shared" si="124"/>
        <v>2035068.5799999984</v>
      </c>
      <c r="Q652" s="15">
        <f t="shared" si="125"/>
        <v>7469725</v>
      </c>
      <c r="R652" s="9">
        <f t="shared" si="126"/>
        <v>1095</v>
      </c>
      <c r="S652" s="9">
        <f t="shared" si="127"/>
        <v>7469725</v>
      </c>
      <c r="T652" s="15">
        <f t="shared" si="128"/>
        <v>16.686436250344954</v>
      </c>
      <c r="U652" s="15">
        <f>IF(O652="Exclude",0,G652*Fuel_Price!$B$2)</f>
        <v>322.63632000000001</v>
      </c>
      <c r="V652" s="15">
        <f t="shared" si="129"/>
        <v>2989922.7577359979</v>
      </c>
    </row>
    <row r="653" spans="1:22">
      <c r="A653" s="1" t="s">
        <v>1675</v>
      </c>
      <c r="B653" s="1" t="s">
        <v>1676</v>
      </c>
      <c r="C653" s="1" t="s">
        <v>1668</v>
      </c>
      <c r="D653" s="1" t="s">
        <v>12</v>
      </c>
      <c r="E653" s="12">
        <v>172</v>
      </c>
      <c r="F653" s="12" t="s">
        <v>13</v>
      </c>
      <c r="G653" s="6">
        <v>79.02</v>
      </c>
      <c r="H653" s="1">
        <v>9.9</v>
      </c>
      <c r="J653" t="str">
        <f t="shared" si="120"/>
        <v>OK</v>
      </c>
      <c r="K653" t="str">
        <f t="shared" si="121"/>
        <v>OK</v>
      </c>
      <c r="L653">
        <f t="shared" si="130"/>
        <v>12</v>
      </c>
      <c r="M653">
        <f t="shared" si="122"/>
        <v>10</v>
      </c>
      <c r="N653" s="9" t="str">
        <f t="shared" si="131"/>
        <v>Valid</v>
      </c>
      <c r="O653" t="str">
        <f t="shared" si="123"/>
        <v>Include</v>
      </c>
      <c r="P653" s="9">
        <f t="shared" si="124"/>
        <v>2035068.5799999984</v>
      </c>
      <c r="Q653" s="15">
        <f t="shared" si="125"/>
        <v>7469725</v>
      </c>
      <c r="R653" s="9">
        <f t="shared" si="126"/>
        <v>172</v>
      </c>
      <c r="S653" s="9">
        <f t="shared" si="127"/>
        <v>7469725</v>
      </c>
      <c r="T653" s="15">
        <f t="shared" si="128"/>
        <v>16.686436250344954</v>
      </c>
      <c r="U653" s="15">
        <f>IF(O653="Exclude",0,G653*Fuel_Price!$B$2)</f>
        <v>116.09618399999999</v>
      </c>
      <c r="V653" s="15">
        <f t="shared" si="129"/>
        <v>2989922.7577359979</v>
      </c>
    </row>
    <row r="654" spans="1:22">
      <c r="A654" s="1" t="s">
        <v>1677</v>
      </c>
      <c r="B654" s="1" t="s">
        <v>1678</v>
      </c>
      <c r="C654" s="1" t="s">
        <v>1668</v>
      </c>
      <c r="D654" s="1" t="s">
        <v>12</v>
      </c>
      <c r="E654" s="12">
        <v>2982</v>
      </c>
      <c r="F654" s="12" t="s">
        <v>13</v>
      </c>
      <c r="G654" s="6">
        <v>448.87</v>
      </c>
      <c r="H654" s="1">
        <v>30.2</v>
      </c>
      <c r="J654" t="str">
        <f t="shared" si="120"/>
        <v>OK</v>
      </c>
      <c r="K654" t="str">
        <f t="shared" si="121"/>
        <v>OK</v>
      </c>
      <c r="L654">
        <f t="shared" si="130"/>
        <v>12</v>
      </c>
      <c r="M654">
        <f t="shared" si="122"/>
        <v>10</v>
      </c>
      <c r="N654" s="9" t="str">
        <f t="shared" si="131"/>
        <v>Valid</v>
      </c>
      <c r="O654" t="str">
        <f t="shared" si="123"/>
        <v>Include</v>
      </c>
      <c r="P654" s="9">
        <f t="shared" si="124"/>
        <v>2035068.5799999984</v>
      </c>
      <c r="Q654" s="15">
        <f t="shared" si="125"/>
        <v>7469725</v>
      </c>
      <c r="R654" s="9">
        <f t="shared" si="126"/>
        <v>2982</v>
      </c>
      <c r="S654" s="9">
        <f t="shared" si="127"/>
        <v>7469725</v>
      </c>
      <c r="T654" s="15">
        <f t="shared" si="128"/>
        <v>16.686436250344954</v>
      </c>
      <c r="U654" s="15">
        <f>IF(O654="Exclude",0,G654*Fuel_Price!$B$2)</f>
        <v>659.47980400000006</v>
      </c>
      <c r="V654" s="15">
        <f t="shared" si="129"/>
        <v>2989922.7577359979</v>
      </c>
    </row>
    <row r="655" spans="1:22">
      <c r="A655" s="1" t="s">
        <v>1679</v>
      </c>
      <c r="B655" s="1" t="s">
        <v>1680</v>
      </c>
      <c r="C655" s="1" t="s">
        <v>1668</v>
      </c>
      <c r="D655" s="1" t="s">
        <v>12</v>
      </c>
      <c r="E655" s="12">
        <v>713</v>
      </c>
      <c r="F655" s="12" t="s">
        <v>13</v>
      </c>
      <c r="G655" s="6">
        <v>238.23</v>
      </c>
      <c r="H655" s="1">
        <v>13.61</v>
      </c>
      <c r="J655" t="str">
        <f t="shared" si="120"/>
        <v>OK</v>
      </c>
      <c r="K655" t="str">
        <f t="shared" si="121"/>
        <v>OK</v>
      </c>
      <c r="L655">
        <f t="shared" si="130"/>
        <v>12</v>
      </c>
      <c r="M655">
        <f t="shared" si="122"/>
        <v>10</v>
      </c>
      <c r="N655" s="9" t="str">
        <f t="shared" si="131"/>
        <v>Valid</v>
      </c>
      <c r="O655" t="str">
        <f t="shared" si="123"/>
        <v>Include</v>
      </c>
      <c r="P655" s="9">
        <f t="shared" si="124"/>
        <v>2035068.5799999984</v>
      </c>
      <c r="Q655" s="15">
        <f t="shared" si="125"/>
        <v>7469725</v>
      </c>
      <c r="R655" s="9">
        <f t="shared" si="126"/>
        <v>713</v>
      </c>
      <c r="S655" s="9">
        <f t="shared" si="127"/>
        <v>7469725</v>
      </c>
      <c r="T655" s="15">
        <f t="shared" si="128"/>
        <v>16.686436250344954</v>
      </c>
      <c r="U655" s="15">
        <f>IF(O655="Exclude",0,G655*Fuel_Price!$B$2)</f>
        <v>350.00751600000001</v>
      </c>
      <c r="V655" s="15">
        <f t="shared" si="129"/>
        <v>2989922.7577359979</v>
      </c>
    </row>
    <row r="656" spans="1:22">
      <c r="A656" s="1" t="s">
        <v>1681</v>
      </c>
      <c r="B656" s="1" t="s">
        <v>1682</v>
      </c>
      <c r="C656" s="1" t="s">
        <v>1683</v>
      </c>
      <c r="D656" s="1" t="s">
        <v>12</v>
      </c>
      <c r="E656" s="12">
        <v>-73872</v>
      </c>
      <c r="F656" s="12" t="s">
        <v>13</v>
      </c>
      <c r="G656" s="6">
        <v>2240.7199999999998</v>
      </c>
      <c r="H656" s="1">
        <v>-149.88</v>
      </c>
      <c r="J656" t="str">
        <f t="shared" si="120"/>
        <v>Check</v>
      </c>
      <c r="K656" t="str">
        <f t="shared" si="121"/>
        <v>Check</v>
      </c>
      <c r="L656">
        <f t="shared" si="130"/>
        <v>12</v>
      </c>
      <c r="M656">
        <f t="shared" si="122"/>
        <v>10</v>
      </c>
      <c r="N656" s="9" t="str">
        <f t="shared" si="131"/>
        <v>Review</v>
      </c>
      <c r="O656" t="str">
        <f t="shared" si="123"/>
        <v>Exclude</v>
      </c>
      <c r="P656" s="9">
        <f t="shared" si="124"/>
        <v>2035068.5799999984</v>
      </c>
      <c r="Q656" s="15">
        <f t="shared" si="125"/>
        <v>7469725</v>
      </c>
      <c r="R656" s="9">
        <f t="shared" si="126"/>
        <v>0</v>
      </c>
      <c r="S656" s="9">
        <f t="shared" si="127"/>
        <v>7469725</v>
      </c>
      <c r="T656" s="15">
        <f t="shared" si="128"/>
        <v>16.686436250344954</v>
      </c>
      <c r="U656" s="15">
        <f>IF(O656="Exclude",0,G656*Fuel_Price!$B$2)</f>
        <v>0</v>
      </c>
      <c r="V656" s="15">
        <f t="shared" si="129"/>
        <v>2989922.7577359979</v>
      </c>
    </row>
    <row r="657" spans="1:22">
      <c r="A657" s="1" t="s">
        <v>1684</v>
      </c>
      <c r="B657" s="1" t="s">
        <v>1685</v>
      </c>
      <c r="C657" s="1" t="s">
        <v>1683</v>
      </c>
      <c r="D657" s="1" t="s">
        <v>12</v>
      </c>
      <c r="E657" s="12">
        <v>-20175667</v>
      </c>
      <c r="F657" s="12" t="s">
        <v>13</v>
      </c>
      <c r="G657" s="6">
        <v>126.78</v>
      </c>
      <c r="H657" s="1">
        <v>-723461.91</v>
      </c>
      <c r="J657" t="str">
        <f t="shared" si="120"/>
        <v>Check</v>
      </c>
      <c r="K657" t="str">
        <f t="shared" si="121"/>
        <v>Check</v>
      </c>
      <c r="L657">
        <f t="shared" si="130"/>
        <v>12</v>
      </c>
      <c r="M657">
        <f t="shared" si="122"/>
        <v>10</v>
      </c>
      <c r="N657" s="9" t="str">
        <f t="shared" si="131"/>
        <v>Review</v>
      </c>
      <c r="O657" t="str">
        <f t="shared" si="123"/>
        <v>Exclude</v>
      </c>
      <c r="P657" s="9">
        <f t="shared" si="124"/>
        <v>2035068.5799999984</v>
      </c>
      <c r="Q657" s="15">
        <f t="shared" si="125"/>
        <v>7469725</v>
      </c>
      <c r="R657" s="9">
        <f t="shared" si="126"/>
        <v>0</v>
      </c>
      <c r="S657" s="9">
        <f t="shared" si="127"/>
        <v>7469725</v>
      </c>
      <c r="T657" s="15">
        <f t="shared" si="128"/>
        <v>16.686436250344954</v>
      </c>
      <c r="U657" s="15">
        <f>IF(O657="Exclude",0,G657*Fuel_Price!$B$2)</f>
        <v>0</v>
      </c>
      <c r="V657" s="15">
        <f t="shared" si="129"/>
        <v>2989922.7577359979</v>
      </c>
    </row>
    <row r="658" spans="1:22">
      <c r="A658" s="1" t="s">
        <v>1686</v>
      </c>
      <c r="B658" s="1" t="s">
        <v>1687</v>
      </c>
      <c r="C658" s="1" t="s">
        <v>1688</v>
      </c>
      <c r="D658" s="1" t="s">
        <v>12</v>
      </c>
      <c r="E658" s="12">
        <v>-1032</v>
      </c>
      <c r="F658" s="12" t="s">
        <v>13</v>
      </c>
      <c r="G658" s="6">
        <v>111.93</v>
      </c>
      <c r="H658" s="1">
        <v>-41.92</v>
      </c>
      <c r="J658" t="str">
        <f t="shared" si="120"/>
        <v>Check</v>
      </c>
      <c r="K658" t="str">
        <f t="shared" si="121"/>
        <v>Check</v>
      </c>
      <c r="L658">
        <f t="shared" si="130"/>
        <v>12</v>
      </c>
      <c r="M658">
        <f t="shared" si="122"/>
        <v>10</v>
      </c>
      <c r="N658" s="9" t="str">
        <f t="shared" si="131"/>
        <v>Review</v>
      </c>
      <c r="O658" t="str">
        <f t="shared" si="123"/>
        <v>Exclude</v>
      </c>
      <c r="P658" s="9">
        <f t="shared" si="124"/>
        <v>2035068.5799999984</v>
      </c>
      <c r="Q658" s="15">
        <f t="shared" si="125"/>
        <v>7469725</v>
      </c>
      <c r="R658" s="9">
        <f t="shared" si="126"/>
        <v>0</v>
      </c>
      <c r="S658" s="9">
        <f t="shared" si="127"/>
        <v>7469725</v>
      </c>
      <c r="T658" s="15">
        <f t="shared" si="128"/>
        <v>16.686436250344954</v>
      </c>
      <c r="U658" s="15">
        <f>IF(O658="Exclude",0,G658*Fuel_Price!$B$2)</f>
        <v>0</v>
      </c>
      <c r="V658" s="15">
        <f t="shared" si="129"/>
        <v>2989922.7577359979</v>
      </c>
    </row>
    <row r="659" spans="1:22">
      <c r="A659" s="1" t="s">
        <v>1692</v>
      </c>
      <c r="B659" s="1" t="s">
        <v>1693</v>
      </c>
      <c r="C659" s="1" t="s">
        <v>1694</v>
      </c>
      <c r="D659" s="1" t="s">
        <v>12</v>
      </c>
      <c r="E659" s="12">
        <v>8149</v>
      </c>
      <c r="F659" s="12" t="s">
        <v>13</v>
      </c>
      <c r="G659" s="6">
        <v>1983.93</v>
      </c>
      <c r="H659" s="1">
        <v>18.670000000000002</v>
      </c>
      <c r="J659" t="str">
        <f t="shared" si="120"/>
        <v>OK</v>
      </c>
      <c r="K659" t="str">
        <f t="shared" si="121"/>
        <v>OK</v>
      </c>
      <c r="L659">
        <f t="shared" si="130"/>
        <v>12</v>
      </c>
      <c r="M659">
        <f t="shared" si="122"/>
        <v>10</v>
      </c>
      <c r="N659" s="9" t="str">
        <f t="shared" si="131"/>
        <v>Valid</v>
      </c>
      <c r="O659" t="str">
        <f t="shared" si="123"/>
        <v>Include</v>
      </c>
      <c r="P659" s="9">
        <f t="shared" si="124"/>
        <v>2035068.5799999984</v>
      </c>
      <c r="Q659" s="15">
        <f t="shared" si="125"/>
        <v>7469725</v>
      </c>
      <c r="R659" s="9">
        <f t="shared" si="126"/>
        <v>8149</v>
      </c>
      <c r="S659" s="9">
        <f t="shared" si="127"/>
        <v>7469725</v>
      </c>
      <c r="T659" s="15">
        <f t="shared" si="128"/>
        <v>16.686436250344954</v>
      </c>
      <c r="U659" s="15">
        <f>IF(O659="Exclude",0,G659*Fuel_Price!$B$2)</f>
        <v>2914.7899560000001</v>
      </c>
      <c r="V659" s="15">
        <f t="shared" si="129"/>
        <v>2989922.7577359979</v>
      </c>
    </row>
    <row r="660" spans="1:22">
      <c r="A660" s="1" t="s">
        <v>1695</v>
      </c>
      <c r="B660" s="1" t="s">
        <v>1696</v>
      </c>
      <c r="C660" s="1" t="s">
        <v>1694</v>
      </c>
      <c r="D660" s="1" t="s">
        <v>12</v>
      </c>
      <c r="E660" s="12">
        <v>3430</v>
      </c>
      <c r="F660" s="12" t="s">
        <v>13</v>
      </c>
      <c r="G660" s="6">
        <v>1029.52</v>
      </c>
      <c r="H660" s="1">
        <v>15.15</v>
      </c>
      <c r="J660" t="str">
        <f t="shared" si="120"/>
        <v>OK</v>
      </c>
      <c r="K660" t="str">
        <f t="shared" si="121"/>
        <v>OK</v>
      </c>
      <c r="L660">
        <f t="shared" si="130"/>
        <v>12</v>
      </c>
      <c r="M660">
        <f t="shared" si="122"/>
        <v>10</v>
      </c>
      <c r="N660" s="9" t="str">
        <f t="shared" si="131"/>
        <v>Valid</v>
      </c>
      <c r="O660" t="str">
        <f t="shared" si="123"/>
        <v>Include</v>
      </c>
      <c r="P660" s="9">
        <f t="shared" si="124"/>
        <v>2035068.5799999984</v>
      </c>
      <c r="Q660" s="15">
        <f t="shared" si="125"/>
        <v>7469725</v>
      </c>
      <c r="R660" s="9">
        <f t="shared" si="126"/>
        <v>3430</v>
      </c>
      <c r="S660" s="9">
        <f t="shared" si="127"/>
        <v>7469725</v>
      </c>
      <c r="T660" s="15">
        <f t="shared" si="128"/>
        <v>16.686436250344954</v>
      </c>
      <c r="U660" s="15">
        <f>IF(O660="Exclude",0,G660*Fuel_Price!$B$2)</f>
        <v>1512.570784</v>
      </c>
      <c r="V660" s="15">
        <f t="shared" si="129"/>
        <v>2989922.7577359979</v>
      </c>
    </row>
    <row r="661" spans="1:22">
      <c r="A661" s="1" t="s">
        <v>1697</v>
      </c>
      <c r="B661" s="1" t="s">
        <v>1698</v>
      </c>
      <c r="C661" s="1" t="s">
        <v>1694</v>
      </c>
      <c r="D661" s="1" t="s">
        <v>12</v>
      </c>
      <c r="E661" s="12">
        <v>6112</v>
      </c>
      <c r="F661" s="12" t="s">
        <v>13</v>
      </c>
      <c r="G661" s="6">
        <v>1509.28</v>
      </c>
      <c r="H661" s="1">
        <v>18.41</v>
      </c>
      <c r="J661" t="str">
        <f t="shared" si="120"/>
        <v>OK</v>
      </c>
      <c r="K661" t="str">
        <f t="shared" si="121"/>
        <v>OK</v>
      </c>
      <c r="L661">
        <f t="shared" si="130"/>
        <v>12</v>
      </c>
      <c r="M661">
        <f t="shared" si="122"/>
        <v>10</v>
      </c>
      <c r="N661" s="9" t="str">
        <f t="shared" si="131"/>
        <v>Valid</v>
      </c>
      <c r="O661" t="str">
        <f t="shared" si="123"/>
        <v>Include</v>
      </c>
      <c r="P661" s="9">
        <f t="shared" si="124"/>
        <v>2035068.5799999984</v>
      </c>
      <c r="Q661" s="15">
        <f t="shared" si="125"/>
        <v>7469725</v>
      </c>
      <c r="R661" s="9">
        <f t="shared" si="126"/>
        <v>6112</v>
      </c>
      <c r="S661" s="9">
        <f t="shared" si="127"/>
        <v>7469725</v>
      </c>
      <c r="T661" s="15">
        <f t="shared" si="128"/>
        <v>16.686436250344954</v>
      </c>
      <c r="U661" s="15">
        <f>IF(O661="Exclude",0,G661*Fuel_Price!$B$2)</f>
        <v>2217.4341760000002</v>
      </c>
      <c r="V661" s="15">
        <f t="shared" si="129"/>
        <v>2989922.7577359979</v>
      </c>
    </row>
    <row r="662" spans="1:22">
      <c r="A662" s="1" t="s">
        <v>1699</v>
      </c>
      <c r="B662" s="1" t="s">
        <v>1700</v>
      </c>
      <c r="C662" s="1" t="s">
        <v>1694</v>
      </c>
      <c r="D662" s="1" t="s">
        <v>12</v>
      </c>
      <c r="E662" s="12">
        <v>4850</v>
      </c>
      <c r="F662" s="12" t="s">
        <v>13</v>
      </c>
      <c r="G662" s="6">
        <v>1254.8499999999999</v>
      </c>
      <c r="H662" s="1">
        <v>17.57</v>
      </c>
      <c r="J662" t="str">
        <f t="shared" si="120"/>
        <v>OK</v>
      </c>
      <c r="K662" t="str">
        <f t="shared" si="121"/>
        <v>OK</v>
      </c>
      <c r="L662">
        <f t="shared" si="130"/>
        <v>12</v>
      </c>
      <c r="M662">
        <f t="shared" si="122"/>
        <v>10</v>
      </c>
      <c r="N662" s="9" t="str">
        <f t="shared" si="131"/>
        <v>Valid</v>
      </c>
      <c r="O662" t="str">
        <f t="shared" si="123"/>
        <v>Include</v>
      </c>
      <c r="P662" s="9">
        <f t="shared" si="124"/>
        <v>2035068.5799999984</v>
      </c>
      <c r="Q662" s="15">
        <f t="shared" si="125"/>
        <v>7469725</v>
      </c>
      <c r="R662" s="9">
        <f t="shared" si="126"/>
        <v>4850</v>
      </c>
      <c r="S662" s="9">
        <f t="shared" si="127"/>
        <v>7469725</v>
      </c>
      <c r="T662" s="15">
        <f t="shared" si="128"/>
        <v>16.686436250344954</v>
      </c>
      <c r="U662" s="15">
        <f>IF(O662="Exclude",0,G662*Fuel_Price!$B$2)</f>
        <v>1843.62562</v>
      </c>
      <c r="V662" s="15">
        <f t="shared" si="129"/>
        <v>2989922.7577359979</v>
      </c>
    </row>
    <row r="663" spans="1:22">
      <c r="A663" s="1" t="s">
        <v>1701</v>
      </c>
      <c r="B663" s="1" t="s">
        <v>1702</v>
      </c>
      <c r="C663" s="1" t="s">
        <v>1694</v>
      </c>
      <c r="D663" s="1" t="s">
        <v>12</v>
      </c>
      <c r="E663" s="12">
        <v>1914</v>
      </c>
      <c r="F663" s="12" t="s">
        <v>13</v>
      </c>
      <c r="G663" s="6">
        <v>565.86</v>
      </c>
      <c r="H663" s="1">
        <v>15.38</v>
      </c>
      <c r="J663" t="str">
        <f t="shared" si="120"/>
        <v>OK</v>
      </c>
      <c r="K663" t="str">
        <f t="shared" si="121"/>
        <v>OK</v>
      </c>
      <c r="L663">
        <f t="shared" si="130"/>
        <v>12</v>
      </c>
      <c r="M663">
        <f t="shared" si="122"/>
        <v>10</v>
      </c>
      <c r="N663" s="9" t="str">
        <f t="shared" si="131"/>
        <v>Valid</v>
      </c>
      <c r="O663" t="str">
        <f t="shared" si="123"/>
        <v>Include</v>
      </c>
      <c r="P663" s="9">
        <f t="shared" si="124"/>
        <v>2035068.5799999984</v>
      </c>
      <c r="Q663" s="15">
        <f t="shared" si="125"/>
        <v>7469725</v>
      </c>
      <c r="R663" s="9">
        <f t="shared" si="126"/>
        <v>1914</v>
      </c>
      <c r="S663" s="9">
        <f t="shared" si="127"/>
        <v>7469725</v>
      </c>
      <c r="T663" s="15">
        <f t="shared" si="128"/>
        <v>16.686436250344954</v>
      </c>
      <c r="U663" s="15">
        <f>IF(O663="Exclude",0,G663*Fuel_Price!$B$2)</f>
        <v>831.36151200000006</v>
      </c>
      <c r="V663" s="15">
        <f t="shared" si="129"/>
        <v>2989922.7577359979</v>
      </c>
    </row>
    <row r="664" spans="1:22">
      <c r="A664" s="1" t="s">
        <v>1703</v>
      </c>
      <c r="B664" s="1" t="s">
        <v>1704</v>
      </c>
      <c r="C664" s="1" t="s">
        <v>1694</v>
      </c>
      <c r="D664" s="1" t="s">
        <v>12</v>
      </c>
      <c r="E664" s="12">
        <v>7834</v>
      </c>
      <c r="F664" s="12" t="s">
        <v>13</v>
      </c>
      <c r="G664" s="6">
        <v>1977.51</v>
      </c>
      <c r="H664" s="1">
        <v>18.010000000000002</v>
      </c>
      <c r="J664" t="str">
        <f t="shared" si="120"/>
        <v>OK</v>
      </c>
      <c r="K664" t="str">
        <f t="shared" si="121"/>
        <v>OK</v>
      </c>
      <c r="L664">
        <f t="shared" si="130"/>
        <v>12</v>
      </c>
      <c r="M664">
        <f t="shared" si="122"/>
        <v>10</v>
      </c>
      <c r="N664" s="9" t="str">
        <f t="shared" si="131"/>
        <v>Valid</v>
      </c>
      <c r="O664" t="str">
        <f t="shared" si="123"/>
        <v>Include</v>
      </c>
      <c r="P664" s="9">
        <f t="shared" si="124"/>
        <v>2035068.5799999984</v>
      </c>
      <c r="Q664" s="15">
        <f t="shared" si="125"/>
        <v>7469725</v>
      </c>
      <c r="R664" s="9">
        <f t="shared" si="126"/>
        <v>7834</v>
      </c>
      <c r="S664" s="9">
        <f t="shared" si="127"/>
        <v>7469725</v>
      </c>
      <c r="T664" s="15">
        <f t="shared" si="128"/>
        <v>16.686436250344954</v>
      </c>
      <c r="U664" s="15">
        <f>IF(O664="Exclude",0,G664*Fuel_Price!$B$2)</f>
        <v>2905.357692</v>
      </c>
      <c r="V664" s="15">
        <f t="shared" si="129"/>
        <v>2989922.7577359979</v>
      </c>
    </row>
    <row r="665" spans="1:22">
      <c r="A665" s="1" t="s">
        <v>1705</v>
      </c>
      <c r="B665" s="1" t="s">
        <v>1706</v>
      </c>
      <c r="C665" s="1" t="s">
        <v>1694</v>
      </c>
      <c r="D665" s="1" t="s">
        <v>12</v>
      </c>
      <c r="E665" s="12">
        <v>1058</v>
      </c>
      <c r="F665" s="12" t="s">
        <v>13</v>
      </c>
      <c r="G665" s="6">
        <v>347.36</v>
      </c>
      <c r="H665" s="1">
        <v>13.85</v>
      </c>
      <c r="J665" t="str">
        <f t="shared" si="120"/>
        <v>OK</v>
      </c>
      <c r="K665" t="str">
        <f t="shared" si="121"/>
        <v>OK</v>
      </c>
      <c r="L665">
        <f t="shared" si="130"/>
        <v>12</v>
      </c>
      <c r="M665">
        <f t="shared" si="122"/>
        <v>10</v>
      </c>
      <c r="N665" s="9" t="str">
        <f t="shared" si="131"/>
        <v>Valid</v>
      </c>
      <c r="O665" t="str">
        <f t="shared" si="123"/>
        <v>Include</v>
      </c>
      <c r="P665" s="9">
        <f t="shared" si="124"/>
        <v>2035068.5799999984</v>
      </c>
      <c r="Q665" s="15">
        <f t="shared" si="125"/>
        <v>7469725</v>
      </c>
      <c r="R665" s="9">
        <f t="shared" si="126"/>
        <v>1058</v>
      </c>
      <c r="S665" s="9">
        <f t="shared" si="127"/>
        <v>7469725</v>
      </c>
      <c r="T665" s="15">
        <f t="shared" si="128"/>
        <v>16.686436250344954</v>
      </c>
      <c r="U665" s="15">
        <f>IF(O665="Exclude",0,G665*Fuel_Price!$B$2)</f>
        <v>510.34131200000002</v>
      </c>
      <c r="V665" s="15">
        <f t="shared" si="129"/>
        <v>2989922.7577359979</v>
      </c>
    </row>
    <row r="666" spans="1:22">
      <c r="A666" s="1" t="s">
        <v>1707</v>
      </c>
      <c r="B666" s="1" t="s">
        <v>1708</v>
      </c>
      <c r="C666" s="1" t="s">
        <v>1694</v>
      </c>
      <c r="D666" s="1" t="s">
        <v>12</v>
      </c>
      <c r="E666" s="12">
        <v>4077</v>
      </c>
      <c r="F666" s="12" t="s">
        <v>13</v>
      </c>
      <c r="G666" s="6">
        <v>1028.81</v>
      </c>
      <c r="H666" s="1">
        <v>18.02</v>
      </c>
      <c r="J666" t="str">
        <f t="shared" si="120"/>
        <v>OK</v>
      </c>
      <c r="K666" t="str">
        <f t="shared" si="121"/>
        <v>OK</v>
      </c>
      <c r="L666">
        <f t="shared" si="130"/>
        <v>12</v>
      </c>
      <c r="M666">
        <f t="shared" si="122"/>
        <v>10</v>
      </c>
      <c r="N666" s="9" t="str">
        <f t="shared" si="131"/>
        <v>Valid</v>
      </c>
      <c r="O666" t="str">
        <f t="shared" si="123"/>
        <v>Include</v>
      </c>
      <c r="P666" s="9">
        <f t="shared" si="124"/>
        <v>2035068.5799999984</v>
      </c>
      <c r="Q666" s="15">
        <f t="shared" si="125"/>
        <v>7469725</v>
      </c>
      <c r="R666" s="9">
        <f t="shared" si="126"/>
        <v>4077</v>
      </c>
      <c r="S666" s="9">
        <f t="shared" si="127"/>
        <v>7469725</v>
      </c>
      <c r="T666" s="15">
        <f t="shared" si="128"/>
        <v>16.686436250344954</v>
      </c>
      <c r="U666" s="15">
        <f>IF(O666="Exclude",0,G666*Fuel_Price!$B$2)</f>
        <v>1511.527652</v>
      </c>
      <c r="V666" s="15">
        <f t="shared" si="129"/>
        <v>2989922.7577359979</v>
      </c>
    </row>
    <row r="667" spans="1:22">
      <c r="A667" s="1" t="s">
        <v>1709</v>
      </c>
      <c r="B667" s="1" t="s">
        <v>1710</v>
      </c>
      <c r="C667" s="1" t="s">
        <v>1694</v>
      </c>
      <c r="D667" s="1" t="s">
        <v>12</v>
      </c>
      <c r="E667" s="12">
        <v>11599</v>
      </c>
      <c r="F667" s="12" t="s">
        <v>13</v>
      </c>
      <c r="G667" s="6">
        <v>2778.97</v>
      </c>
      <c r="H667" s="1">
        <v>18.97</v>
      </c>
      <c r="J667" t="str">
        <f t="shared" si="120"/>
        <v>OK</v>
      </c>
      <c r="K667" t="str">
        <f t="shared" si="121"/>
        <v>OK</v>
      </c>
      <c r="L667">
        <f t="shared" si="130"/>
        <v>12</v>
      </c>
      <c r="M667">
        <f t="shared" si="122"/>
        <v>10</v>
      </c>
      <c r="N667" s="9" t="str">
        <f t="shared" si="131"/>
        <v>Valid</v>
      </c>
      <c r="O667" t="str">
        <f t="shared" si="123"/>
        <v>Include</v>
      </c>
      <c r="P667" s="9">
        <f t="shared" si="124"/>
        <v>2035068.5799999984</v>
      </c>
      <c r="Q667" s="15">
        <f t="shared" si="125"/>
        <v>7469725</v>
      </c>
      <c r="R667" s="9">
        <f t="shared" si="126"/>
        <v>11599</v>
      </c>
      <c r="S667" s="9">
        <f t="shared" si="127"/>
        <v>7469725</v>
      </c>
      <c r="T667" s="15">
        <f t="shared" si="128"/>
        <v>16.686436250344954</v>
      </c>
      <c r="U667" s="15">
        <f>IF(O667="Exclude",0,G667*Fuel_Price!$B$2)</f>
        <v>4082.8627240000001</v>
      </c>
      <c r="V667" s="15">
        <f t="shared" si="129"/>
        <v>2989922.7577359979</v>
      </c>
    </row>
    <row r="668" spans="1:22">
      <c r="A668" s="1" t="s">
        <v>1711</v>
      </c>
      <c r="B668" s="1" t="s">
        <v>1712</v>
      </c>
      <c r="C668" s="1" t="s">
        <v>1694</v>
      </c>
      <c r="D668" s="1" t="s">
        <v>12</v>
      </c>
      <c r="E668" s="12">
        <v>7069</v>
      </c>
      <c r="F668" s="12" t="s">
        <v>13</v>
      </c>
      <c r="G668" s="6">
        <v>1754.89</v>
      </c>
      <c r="H668" s="1">
        <v>18.309999999999999</v>
      </c>
      <c r="J668" t="str">
        <f t="shared" si="120"/>
        <v>OK</v>
      </c>
      <c r="K668" t="str">
        <f t="shared" si="121"/>
        <v>OK</v>
      </c>
      <c r="L668">
        <f t="shared" si="130"/>
        <v>12</v>
      </c>
      <c r="M668">
        <f t="shared" si="122"/>
        <v>10</v>
      </c>
      <c r="N668" s="9" t="str">
        <f t="shared" si="131"/>
        <v>Valid</v>
      </c>
      <c r="O668" t="str">
        <f t="shared" si="123"/>
        <v>Include</v>
      </c>
      <c r="P668" s="9">
        <f t="shared" si="124"/>
        <v>2035068.5799999984</v>
      </c>
      <c r="Q668" s="15">
        <f t="shared" si="125"/>
        <v>7469725</v>
      </c>
      <c r="R668" s="9">
        <f t="shared" si="126"/>
        <v>7069</v>
      </c>
      <c r="S668" s="9">
        <f t="shared" si="127"/>
        <v>7469725</v>
      </c>
      <c r="T668" s="15">
        <f t="shared" si="128"/>
        <v>16.686436250344954</v>
      </c>
      <c r="U668" s="15">
        <f>IF(O668="Exclude",0,G668*Fuel_Price!$B$2)</f>
        <v>2578.284388</v>
      </c>
      <c r="V668" s="15">
        <f t="shared" si="129"/>
        <v>2989922.7577359979</v>
      </c>
    </row>
    <row r="669" spans="1:22">
      <c r="A669" s="1" t="s">
        <v>1713</v>
      </c>
      <c r="B669" s="1" t="s">
        <v>1714</v>
      </c>
      <c r="C669" s="1" t="s">
        <v>1694</v>
      </c>
      <c r="D669" s="1" t="s">
        <v>12</v>
      </c>
      <c r="E669" s="12">
        <v>3269</v>
      </c>
      <c r="F669" s="12" t="s">
        <v>13</v>
      </c>
      <c r="G669" s="6">
        <v>842.54</v>
      </c>
      <c r="H669" s="1">
        <v>17.64</v>
      </c>
      <c r="J669" t="str">
        <f t="shared" si="120"/>
        <v>OK</v>
      </c>
      <c r="K669" t="str">
        <f t="shared" si="121"/>
        <v>OK</v>
      </c>
      <c r="L669">
        <f t="shared" si="130"/>
        <v>12</v>
      </c>
      <c r="M669">
        <f t="shared" si="122"/>
        <v>10</v>
      </c>
      <c r="N669" s="9" t="str">
        <f t="shared" si="131"/>
        <v>Valid</v>
      </c>
      <c r="O669" t="str">
        <f t="shared" si="123"/>
        <v>Include</v>
      </c>
      <c r="P669" s="9">
        <f t="shared" si="124"/>
        <v>2035068.5799999984</v>
      </c>
      <c r="Q669" s="15">
        <f t="shared" si="125"/>
        <v>7469725</v>
      </c>
      <c r="R669" s="9">
        <f t="shared" si="126"/>
        <v>3269</v>
      </c>
      <c r="S669" s="9">
        <f t="shared" si="127"/>
        <v>7469725</v>
      </c>
      <c r="T669" s="15">
        <f t="shared" si="128"/>
        <v>16.686436250344954</v>
      </c>
      <c r="U669" s="15">
        <f>IF(O669="Exclude",0,G669*Fuel_Price!$B$2)</f>
        <v>1237.859768</v>
      </c>
      <c r="V669" s="15">
        <f t="shared" si="129"/>
        <v>2989922.7577359979</v>
      </c>
    </row>
    <row r="670" spans="1:22">
      <c r="A670" s="1" t="s">
        <v>1715</v>
      </c>
      <c r="B670" s="1" t="s">
        <v>1716</v>
      </c>
      <c r="C670" s="1" t="s">
        <v>1694</v>
      </c>
      <c r="D670" s="1" t="s">
        <v>12</v>
      </c>
      <c r="E670" s="12">
        <v>6894</v>
      </c>
      <c r="F670" s="12" t="s">
        <v>13</v>
      </c>
      <c r="G670" s="6">
        <v>1890.02</v>
      </c>
      <c r="H670" s="1">
        <v>16.579999999999998</v>
      </c>
      <c r="J670" t="str">
        <f t="shared" si="120"/>
        <v>OK</v>
      </c>
      <c r="K670" t="str">
        <f t="shared" si="121"/>
        <v>OK</v>
      </c>
      <c r="L670">
        <f t="shared" si="130"/>
        <v>12</v>
      </c>
      <c r="M670">
        <f t="shared" si="122"/>
        <v>10</v>
      </c>
      <c r="N670" s="9" t="str">
        <f t="shared" si="131"/>
        <v>Valid</v>
      </c>
      <c r="O670" t="str">
        <f t="shared" si="123"/>
        <v>Include</v>
      </c>
      <c r="P670" s="9">
        <f t="shared" si="124"/>
        <v>2035068.5799999984</v>
      </c>
      <c r="Q670" s="15">
        <f t="shared" si="125"/>
        <v>7469725</v>
      </c>
      <c r="R670" s="9">
        <f t="shared" si="126"/>
        <v>6894</v>
      </c>
      <c r="S670" s="9">
        <f t="shared" si="127"/>
        <v>7469725</v>
      </c>
      <c r="T670" s="15">
        <f t="shared" si="128"/>
        <v>16.686436250344954</v>
      </c>
      <c r="U670" s="15">
        <f>IF(O670="Exclude",0,G670*Fuel_Price!$B$2)</f>
        <v>2776.8173839999999</v>
      </c>
      <c r="V670" s="15">
        <f t="shared" si="129"/>
        <v>2989922.7577359979</v>
      </c>
    </row>
    <row r="671" spans="1:22">
      <c r="A671" s="1" t="s">
        <v>1717</v>
      </c>
      <c r="B671" s="1" t="s">
        <v>1718</v>
      </c>
      <c r="C671" s="1" t="s">
        <v>1694</v>
      </c>
      <c r="D671" s="1" t="s">
        <v>12</v>
      </c>
      <c r="E671" s="12">
        <v>5915</v>
      </c>
      <c r="F671" s="12" t="s">
        <v>13</v>
      </c>
      <c r="G671" s="6">
        <v>1431.69</v>
      </c>
      <c r="H671" s="1">
        <v>18.78</v>
      </c>
      <c r="J671" t="str">
        <f t="shared" si="120"/>
        <v>OK</v>
      </c>
      <c r="K671" t="str">
        <f t="shared" si="121"/>
        <v>OK</v>
      </c>
      <c r="L671">
        <f t="shared" si="130"/>
        <v>12</v>
      </c>
      <c r="M671">
        <f t="shared" si="122"/>
        <v>10</v>
      </c>
      <c r="N671" s="9" t="str">
        <f t="shared" si="131"/>
        <v>Valid</v>
      </c>
      <c r="O671" t="str">
        <f t="shared" si="123"/>
        <v>Include</v>
      </c>
      <c r="P671" s="9">
        <f t="shared" si="124"/>
        <v>2035068.5799999984</v>
      </c>
      <c r="Q671" s="15">
        <f t="shared" si="125"/>
        <v>7469725</v>
      </c>
      <c r="R671" s="9">
        <f t="shared" si="126"/>
        <v>5915</v>
      </c>
      <c r="S671" s="9">
        <f t="shared" si="127"/>
        <v>7469725</v>
      </c>
      <c r="T671" s="15">
        <f t="shared" si="128"/>
        <v>16.686436250344954</v>
      </c>
      <c r="U671" s="15">
        <f>IF(O671="Exclude",0,G671*Fuel_Price!$B$2)</f>
        <v>2103.438948</v>
      </c>
      <c r="V671" s="15">
        <f t="shared" si="129"/>
        <v>2989922.7577359979</v>
      </c>
    </row>
    <row r="672" spans="1:22">
      <c r="A672" s="1" t="s">
        <v>1719</v>
      </c>
      <c r="B672" s="1" t="s">
        <v>1720</v>
      </c>
      <c r="C672" s="1" t="s">
        <v>1694</v>
      </c>
      <c r="D672" s="1" t="s">
        <v>12</v>
      </c>
      <c r="E672" s="12">
        <v>3413</v>
      </c>
      <c r="F672" s="12" t="s">
        <v>13</v>
      </c>
      <c r="G672" s="6">
        <v>827.93</v>
      </c>
      <c r="H672" s="1">
        <v>18.739999999999998</v>
      </c>
      <c r="J672" t="str">
        <f t="shared" si="120"/>
        <v>OK</v>
      </c>
      <c r="K672" t="str">
        <f t="shared" si="121"/>
        <v>OK</v>
      </c>
      <c r="L672">
        <f t="shared" si="130"/>
        <v>12</v>
      </c>
      <c r="M672">
        <f t="shared" si="122"/>
        <v>10</v>
      </c>
      <c r="N672" s="9" t="str">
        <f t="shared" si="131"/>
        <v>Valid</v>
      </c>
      <c r="O672" t="str">
        <f t="shared" si="123"/>
        <v>Include</v>
      </c>
      <c r="P672" s="9">
        <f t="shared" si="124"/>
        <v>2035068.5799999984</v>
      </c>
      <c r="Q672" s="15">
        <f t="shared" si="125"/>
        <v>7469725</v>
      </c>
      <c r="R672" s="9">
        <f t="shared" si="126"/>
        <v>3413</v>
      </c>
      <c r="S672" s="9">
        <f t="shared" si="127"/>
        <v>7469725</v>
      </c>
      <c r="T672" s="15">
        <f t="shared" si="128"/>
        <v>16.686436250344954</v>
      </c>
      <c r="U672" s="15">
        <f>IF(O672="Exclude",0,G672*Fuel_Price!$B$2)</f>
        <v>1216.3947559999999</v>
      </c>
      <c r="V672" s="15">
        <f t="shared" si="129"/>
        <v>2989922.7577359979</v>
      </c>
    </row>
    <row r="673" spans="1:22">
      <c r="A673" s="1" t="s">
        <v>1721</v>
      </c>
      <c r="B673" s="1" t="s">
        <v>1722</v>
      </c>
      <c r="C673" s="1" t="s">
        <v>1723</v>
      </c>
      <c r="D673" s="1" t="s">
        <v>12</v>
      </c>
      <c r="E673" s="12">
        <v>3702</v>
      </c>
      <c r="F673" s="12" t="s">
        <v>13</v>
      </c>
      <c r="G673" s="6">
        <v>639.48</v>
      </c>
      <c r="H673" s="1">
        <v>26.32</v>
      </c>
      <c r="J673" t="str">
        <f t="shared" si="120"/>
        <v>OK</v>
      </c>
      <c r="K673" t="str">
        <f t="shared" si="121"/>
        <v>OK</v>
      </c>
      <c r="L673">
        <f t="shared" si="130"/>
        <v>12</v>
      </c>
      <c r="M673">
        <f t="shared" si="122"/>
        <v>10</v>
      </c>
      <c r="N673" s="9" t="str">
        <f t="shared" si="131"/>
        <v>Valid</v>
      </c>
      <c r="O673" t="str">
        <f t="shared" si="123"/>
        <v>Include</v>
      </c>
      <c r="P673" s="9">
        <f t="shared" si="124"/>
        <v>2035068.5799999984</v>
      </c>
      <c r="Q673" s="15">
        <f t="shared" si="125"/>
        <v>7469725</v>
      </c>
      <c r="R673" s="9">
        <f t="shared" si="126"/>
        <v>3702</v>
      </c>
      <c r="S673" s="9">
        <f t="shared" si="127"/>
        <v>7469725</v>
      </c>
      <c r="T673" s="15">
        <f t="shared" si="128"/>
        <v>16.686436250344954</v>
      </c>
      <c r="U673" s="15">
        <f>IF(O673="Exclude",0,G673*Fuel_Price!$B$2)</f>
        <v>939.52401600000007</v>
      </c>
      <c r="V673" s="15">
        <f t="shared" si="129"/>
        <v>2989922.7577359979</v>
      </c>
    </row>
    <row r="674" spans="1:22">
      <c r="A674" s="1" t="s">
        <v>1724</v>
      </c>
      <c r="B674" s="1" t="s">
        <v>1725</v>
      </c>
      <c r="C674" s="1" t="s">
        <v>1726</v>
      </c>
      <c r="D674" s="1" t="s">
        <v>12</v>
      </c>
      <c r="E674" s="12">
        <v>5290</v>
      </c>
      <c r="F674" s="12" t="s">
        <v>13</v>
      </c>
      <c r="G674" s="6">
        <v>828.4</v>
      </c>
      <c r="H674" s="1">
        <v>29.03</v>
      </c>
      <c r="J674" t="str">
        <f t="shared" si="120"/>
        <v>OK</v>
      </c>
      <c r="K674" t="str">
        <f t="shared" si="121"/>
        <v>OK</v>
      </c>
      <c r="L674">
        <f t="shared" si="130"/>
        <v>12</v>
      </c>
      <c r="M674">
        <f t="shared" si="122"/>
        <v>10</v>
      </c>
      <c r="N674" s="9" t="str">
        <f t="shared" si="131"/>
        <v>Valid</v>
      </c>
      <c r="O674" t="str">
        <f t="shared" si="123"/>
        <v>Include</v>
      </c>
      <c r="P674" s="9">
        <f t="shared" si="124"/>
        <v>2035068.5799999984</v>
      </c>
      <c r="Q674" s="15">
        <f t="shared" si="125"/>
        <v>7469725</v>
      </c>
      <c r="R674" s="9">
        <f t="shared" si="126"/>
        <v>5290</v>
      </c>
      <c r="S674" s="9">
        <f t="shared" si="127"/>
        <v>7469725</v>
      </c>
      <c r="T674" s="15">
        <f t="shared" si="128"/>
        <v>16.686436250344954</v>
      </c>
      <c r="U674" s="15">
        <f>IF(O674="Exclude",0,G674*Fuel_Price!$B$2)</f>
        <v>1217.08528</v>
      </c>
      <c r="V674" s="15">
        <f t="shared" si="129"/>
        <v>2989922.7577359979</v>
      </c>
    </row>
    <row r="675" spans="1:22">
      <c r="A675" s="1" t="s">
        <v>1727</v>
      </c>
      <c r="B675" s="1" t="s">
        <v>1728</v>
      </c>
      <c r="C675" s="1" t="s">
        <v>1729</v>
      </c>
      <c r="D675" s="1" t="s">
        <v>12</v>
      </c>
      <c r="E675" s="12">
        <v>-36444</v>
      </c>
      <c r="F675" s="12" t="s">
        <v>13</v>
      </c>
      <c r="G675" s="6">
        <v>1045.54</v>
      </c>
      <c r="H675" s="1">
        <v>-158.46</v>
      </c>
      <c r="J675" t="str">
        <f t="shared" si="120"/>
        <v>Check</v>
      </c>
      <c r="K675" t="str">
        <f t="shared" si="121"/>
        <v>Check</v>
      </c>
      <c r="L675">
        <f t="shared" si="130"/>
        <v>12</v>
      </c>
      <c r="M675">
        <f t="shared" si="122"/>
        <v>10</v>
      </c>
      <c r="N675" s="9" t="str">
        <f t="shared" si="131"/>
        <v>Review</v>
      </c>
      <c r="O675" t="str">
        <f t="shared" si="123"/>
        <v>Exclude</v>
      </c>
      <c r="P675" s="9">
        <f t="shared" si="124"/>
        <v>2035068.5799999984</v>
      </c>
      <c r="Q675" s="15">
        <f t="shared" si="125"/>
        <v>7469725</v>
      </c>
      <c r="R675" s="9">
        <f t="shared" si="126"/>
        <v>0</v>
      </c>
      <c r="S675" s="9">
        <f t="shared" si="127"/>
        <v>7469725</v>
      </c>
      <c r="T675" s="15">
        <f t="shared" si="128"/>
        <v>16.686436250344954</v>
      </c>
      <c r="U675" s="15">
        <f>IF(O675="Exclude",0,G675*Fuel_Price!$B$2)</f>
        <v>0</v>
      </c>
      <c r="V675" s="15">
        <f t="shared" si="129"/>
        <v>2989922.7577359979</v>
      </c>
    </row>
    <row r="676" spans="1:22">
      <c r="A676" s="1" t="s">
        <v>1730</v>
      </c>
      <c r="B676" s="1" t="s">
        <v>1731</v>
      </c>
      <c r="C676" s="1" t="s">
        <v>1732</v>
      </c>
      <c r="D676" s="1" t="s">
        <v>12</v>
      </c>
      <c r="E676" s="12">
        <v>4831</v>
      </c>
      <c r="F676" s="12" t="s">
        <v>13</v>
      </c>
      <c r="G676" s="6">
        <v>1036.3399999999999</v>
      </c>
      <c r="H676" s="1">
        <v>21.19</v>
      </c>
      <c r="J676" t="str">
        <f t="shared" si="120"/>
        <v>OK</v>
      </c>
      <c r="K676" t="str">
        <f t="shared" si="121"/>
        <v>OK</v>
      </c>
      <c r="L676">
        <f t="shared" si="130"/>
        <v>12</v>
      </c>
      <c r="M676">
        <f t="shared" si="122"/>
        <v>10</v>
      </c>
      <c r="N676" s="9" t="str">
        <f t="shared" si="131"/>
        <v>Valid</v>
      </c>
      <c r="O676" t="str">
        <f t="shared" si="123"/>
        <v>Include</v>
      </c>
      <c r="P676" s="9">
        <f t="shared" si="124"/>
        <v>2035068.5799999984</v>
      </c>
      <c r="Q676" s="15">
        <f t="shared" si="125"/>
        <v>7469725</v>
      </c>
      <c r="R676" s="9">
        <f t="shared" si="126"/>
        <v>4831</v>
      </c>
      <c r="S676" s="9">
        <f t="shared" si="127"/>
        <v>7469725</v>
      </c>
      <c r="T676" s="15">
        <f t="shared" si="128"/>
        <v>16.686436250344954</v>
      </c>
      <c r="U676" s="15">
        <f>IF(O676="Exclude",0,G676*Fuel_Price!$B$2)</f>
        <v>1522.5907279999999</v>
      </c>
      <c r="V676" s="15">
        <f t="shared" si="129"/>
        <v>2989922.7577359979</v>
      </c>
    </row>
    <row r="677" spans="1:22">
      <c r="A677" s="1" t="s">
        <v>1733</v>
      </c>
      <c r="B677" s="1" t="s">
        <v>1734</v>
      </c>
      <c r="C677" s="1" t="s">
        <v>1735</v>
      </c>
      <c r="D677" s="1" t="s">
        <v>12</v>
      </c>
      <c r="E677" s="12">
        <v>2841</v>
      </c>
      <c r="F677" s="12" t="s">
        <v>13</v>
      </c>
      <c r="G677" s="6">
        <v>737.88</v>
      </c>
      <c r="H677" s="1">
        <v>17.5</v>
      </c>
      <c r="J677" t="str">
        <f t="shared" si="120"/>
        <v>OK</v>
      </c>
      <c r="K677" t="str">
        <f t="shared" si="121"/>
        <v>OK</v>
      </c>
      <c r="L677">
        <f t="shared" si="130"/>
        <v>12</v>
      </c>
      <c r="M677">
        <f t="shared" si="122"/>
        <v>10</v>
      </c>
      <c r="N677" s="9" t="str">
        <f t="shared" si="131"/>
        <v>Valid</v>
      </c>
      <c r="O677" t="str">
        <f t="shared" si="123"/>
        <v>Include</v>
      </c>
      <c r="P677" s="9">
        <f t="shared" si="124"/>
        <v>2035068.5799999984</v>
      </c>
      <c r="Q677" s="15">
        <f t="shared" si="125"/>
        <v>7469725</v>
      </c>
      <c r="R677" s="9">
        <f t="shared" si="126"/>
        <v>2841</v>
      </c>
      <c r="S677" s="9">
        <f t="shared" si="127"/>
        <v>7469725</v>
      </c>
      <c r="T677" s="15">
        <f t="shared" si="128"/>
        <v>16.686436250344954</v>
      </c>
      <c r="U677" s="15">
        <f>IF(O677="Exclude",0,G677*Fuel_Price!$B$2)</f>
        <v>1084.093296</v>
      </c>
      <c r="V677" s="15">
        <f t="shared" si="129"/>
        <v>2989922.7577359979</v>
      </c>
    </row>
    <row r="678" spans="1:22">
      <c r="A678" s="1" t="s">
        <v>1736</v>
      </c>
      <c r="B678" s="1" t="s">
        <v>1737</v>
      </c>
      <c r="C678" s="1" t="s">
        <v>1738</v>
      </c>
      <c r="D678" s="1" t="s">
        <v>12</v>
      </c>
      <c r="E678" s="12">
        <v>7611</v>
      </c>
      <c r="F678" s="12" t="s">
        <v>13</v>
      </c>
      <c r="G678" s="6">
        <v>2174.77</v>
      </c>
      <c r="H678" s="1">
        <v>15.91</v>
      </c>
      <c r="J678" t="str">
        <f t="shared" si="120"/>
        <v>OK</v>
      </c>
      <c r="K678" t="str">
        <f t="shared" si="121"/>
        <v>OK</v>
      </c>
      <c r="L678">
        <f t="shared" si="130"/>
        <v>12</v>
      </c>
      <c r="M678">
        <f t="shared" si="122"/>
        <v>10</v>
      </c>
      <c r="N678" s="9" t="str">
        <f t="shared" si="131"/>
        <v>Valid</v>
      </c>
      <c r="O678" t="str">
        <f t="shared" si="123"/>
        <v>Include</v>
      </c>
      <c r="P678" s="9">
        <f t="shared" si="124"/>
        <v>2035068.5799999984</v>
      </c>
      <c r="Q678" s="15">
        <f t="shared" si="125"/>
        <v>7469725</v>
      </c>
      <c r="R678" s="9">
        <f t="shared" si="126"/>
        <v>7611</v>
      </c>
      <c r="S678" s="9">
        <f t="shared" si="127"/>
        <v>7469725</v>
      </c>
      <c r="T678" s="15">
        <f t="shared" si="128"/>
        <v>16.686436250344954</v>
      </c>
      <c r="U678" s="15">
        <f>IF(O678="Exclude",0,G678*Fuel_Price!$B$2)</f>
        <v>3195.1720840000003</v>
      </c>
      <c r="V678" s="15">
        <f t="shared" si="129"/>
        <v>2989922.7577359979</v>
      </c>
    </row>
    <row r="679" spans="1:22">
      <c r="A679" s="1" t="s">
        <v>1739</v>
      </c>
      <c r="B679" s="1" t="s">
        <v>1740</v>
      </c>
      <c r="C679" s="1" t="s">
        <v>1738</v>
      </c>
      <c r="D679" s="1" t="s">
        <v>12</v>
      </c>
      <c r="E679" s="12">
        <v>4599</v>
      </c>
      <c r="F679" s="12" t="s">
        <v>13</v>
      </c>
      <c r="G679" s="6">
        <v>1222.1300000000001</v>
      </c>
      <c r="H679" s="1">
        <v>17.11</v>
      </c>
      <c r="J679" t="str">
        <f t="shared" si="120"/>
        <v>OK</v>
      </c>
      <c r="K679" t="str">
        <f t="shared" si="121"/>
        <v>OK</v>
      </c>
      <c r="L679">
        <f t="shared" si="130"/>
        <v>12</v>
      </c>
      <c r="M679">
        <f t="shared" si="122"/>
        <v>10</v>
      </c>
      <c r="N679" s="9" t="str">
        <f t="shared" si="131"/>
        <v>Valid</v>
      </c>
      <c r="O679" t="str">
        <f t="shared" si="123"/>
        <v>Include</v>
      </c>
      <c r="P679" s="9">
        <f t="shared" si="124"/>
        <v>2035068.5799999984</v>
      </c>
      <c r="Q679" s="15">
        <f t="shared" si="125"/>
        <v>7469725</v>
      </c>
      <c r="R679" s="9">
        <f t="shared" si="126"/>
        <v>4599</v>
      </c>
      <c r="S679" s="9">
        <f t="shared" si="127"/>
        <v>7469725</v>
      </c>
      <c r="T679" s="15">
        <f t="shared" si="128"/>
        <v>16.686436250344954</v>
      </c>
      <c r="U679" s="15">
        <f>IF(O679="Exclude",0,G679*Fuel_Price!$B$2)</f>
        <v>1795.5533960000002</v>
      </c>
      <c r="V679" s="15">
        <f t="shared" si="129"/>
        <v>2989922.7577359979</v>
      </c>
    </row>
    <row r="680" spans="1:22">
      <c r="A680" s="1" t="s">
        <v>1741</v>
      </c>
      <c r="B680" s="1" t="s">
        <v>1742</v>
      </c>
      <c r="C680" s="1" t="s">
        <v>1743</v>
      </c>
      <c r="D680" s="1" t="s">
        <v>12</v>
      </c>
      <c r="E680" s="12">
        <v>6617</v>
      </c>
      <c r="F680" s="12" t="s">
        <v>13</v>
      </c>
      <c r="G680" s="6">
        <v>1410.95</v>
      </c>
      <c r="H680" s="1">
        <v>21.32</v>
      </c>
      <c r="J680" t="str">
        <f t="shared" si="120"/>
        <v>OK</v>
      </c>
      <c r="K680" t="str">
        <f t="shared" si="121"/>
        <v>OK</v>
      </c>
      <c r="L680">
        <f t="shared" si="130"/>
        <v>12</v>
      </c>
      <c r="M680">
        <f t="shared" si="122"/>
        <v>10</v>
      </c>
      <c r="N680" s="9" t="str">
        <f t="shared" si="131"/>
        <v>Valid</v>
      </c>
      <c r="O680" t="str">
        <f t="shared" si="123"/>
        <v>Include</v>
      </c>
      <c r="P680" s="9">
        <f t="shared" si="124"/>
        <v>2035068.5799999984</v>
      </c>
      <c r="Q680" s="15">
        <f t="shared" si="125"/>
        <v>7469725</v>
      </c>
      <c r="R680" s="9">
        <f t="shared" si="126"/>
        <v>6617</v>
      </c>
      <c r="S680" s="9">
        <f t="shared" si="127"/>
        <v>7469725</v>
      </c>
      <c r="T680" s="15">
        <f t="shared" si="128"/>
        <v>16.686436250344954</v>
      </c>
      <c r="U680" s="15">
        <f>IF(O680="Exclude",0,G680*Fuel_Price!$B$2)</f>
        <v>2072.96774</v>
      </c>
      <c r="V680" s="15">
        <f t="shared" si="129"/>
        <v>2989922.7577359979</v>
      </c>
    </row>
    <row r="681" spans="1:22">
      <c r="A681" s="1" t="s">
        <v>1744</v>
      </c>
      <c r="B681" s="1" t="s">
        <v>1745</v>
      </c>
      <c r="C681" s="1" t="s">
        <v>1738</v>
      </c>
      <c r="D681" s="1" t="s">
        <v>12</v>
      </c>
      <c r="E681" s="12">
        <v>3144</v>
      </c>
      <c r="F681" s="12" t="s">
        <v>13</v>
      </c>
      <c r="G681" s="6">
        <v>801.66</v>
      </c>
      <c r="H681" s="1">
        <v>17.829999999999998</v>
      </c>
      <c r="J681" t="str">
        <f t="shared" si="120"/>
        <v>OK</v>
      </c>
      <c r="K681" t="str">
        <f t="shared" si="121"/>
        <v>OK</v>
      </c>
      <c r="L681">
        <f t="shared" si="130"/>
        <v>12</v>
      </c>
      <c r="M681">
        <f t="shared" si="122"/>
        <v>10</v>
      </c>
      <c r="N681" s="9" t="str">
        <f t="shared" si="131"/>
        <v>Valid</v>
      </c>
      <c r="O681" t="str">
        <f t="shared" si="123"/>
        <v>Include</v>
      </c>
      <c r="P681" s="9">
        <f t="shared" si="124"/>
        <v>2035068.5799999984</v>
      </c>
      <c r="Q681" s="15">
        <f t="shared" si="125"/>
        <v>7469725</v>
      </c>
      <c r="R681" s="9">
        <f t="shared" si="126"/>
        <v>3144</v>
      </c>
      <c r="S681" s="9">
        <f t="shared" si="127"/>
        <v>7469725</v>
      </c>
      <c r="T681" s="15">
        <f t="shared" si="128"/>
        <v>16.686436250344954</v>
      </c>
      <c r="U681" s="15">
        <f>IF(O681="Exclude",0,G681*Fuel_Price!$B$2)</f>
        <v>1177.7988720000001</v>
      </c>
      <c r="V681" s="15">
        <f t="shared" si="129"/>
        <v>2989922.7577359979</v>
      </c>
    </row>
    <row r="682" spans="1:22">
      <c r="A682" s="1" t="s">
        <v>1746</v>
      </c>
      <c r="B682" s="1" t="s">
        <v>1747</v>
      </c>
      <c r="C682" s="1" t="s">
        <v>1748</v>
      </c>
      <c r="D682" s="1" t="s">
        <v>12</v>
      </c>
      <c r="E682" s="12">
        <v>4521</v>
      </c>
      <c r="F682" s="12" t="s">
        <v>13</v>
      </c>
      <c r="G682" s="6">
        <v>1147.6199999999999</v>
      </c>
      <c r="H682" s="1">
        <v>17.91</v>
      </c>
      <c r="J682" t="str">
        <f t="shared" si="120"/>
        <v>OK</v>
      </c>
      <c r="K682" t="str">
        <f t="shared" si="121"/>
        <v>OK</v>
      </c>
      <c r="L682">
        <f t="shared" si="130"/>
        <v>12</v>
      </c>
      <c r="M682">
        <f t="shared" si="122"/>
        <v>10</v>
      </c>
      <c r="N682" s="9" t="str">
        <f t="shared" si="131"/>
        <v>Valid</v>
      </c>
      <c r="O682" t="str">
        <f t="shared" si="123"/>
        <v>Include</v>
      </c>
      <c r="P682" s="9">
        <f t="shared" si="124"/>
        <v>2035068.5799999984</v>
      </c>
      <c r="Q682" s="15">
        <f t="shared" si="125"/>
        <v>7469725</v>
      </c>
      <c r="R682" s="9">
        <f t="shared" si="126"/>
        <v>4521</v>
      </c>
      <c r="S682" s="9">
        <f t="shared" si="127"/>
        <v>7469725</v>
      </c>
      <c r="T682" s="15">
        <f t="shared" si="128"/>
        <v>16.686436250344954</v>
      </c>
      <c r="U682" s="15">
        <f>IF(O682="Exclude",0,G682*Fuel_Price!$B$2)</f>
        <v>1686.083304</v>
      </c>
      <c r="V682" s="15">
        <f t="shared" si="129"/>
        <v>2989922.7577359979</v>
      </c>
    </row>
    <row r="683" spans="1:22">
      <c r="A683" s="1" t="s">
        <v>1749</v>
      </c>
      <c r="B683" s="1" t="s">
        <v>1750</v>
      </c>
      <c r="C683" s="1" t="s">
        <v>1751</v>
      </c>
      <c r="D683" s="1" t="s">
        <v>12</v>
      </c>
      <c r="E683" s="12">
        <v>4743</v>
      </c>
      <c r="F683" s="12" t="s">
        <v>13</v>
      </c>
      <c r="G683" s="6">
        <v>1164.92</v>
      </c>
      <c r="H683" s="1">
        <v>18.510000000000002</v>
      </c>
      <c r="J683" t="str">
        <f t="shared" si="120"/>
        <v>OK</v>
      </c>
      <c r="K683" t="str">
        <f t="shared" si="121"/>
        <v>OK</v>
      </c>
      <c r="L683">
        <f t="shared" si="130"/>
        <v>12</v>
      </c>
      <c r="M683">
        <f t="shared" si="122"/>
        <v>10</v>
      </c>
      <c r="N683" s="9" t="str">
        <f t="shared" si="131"/>
        <v>Valid</v>
      </c>
      <c r="O683" t="str">
        <f t="shared" si="123"/>
        <v>Include</v>
      </c>
      <c r="P683" s="9">
        <f t="shared" si="124"/>
        <v>2035068.5799999984</v>
      </c>
      <c r="Q683" s="15">
        <f t="shared" si="125"/>
        <v>7469725</v>
      </c>
      <c r="R683" s="9">
        <f t="shared" si="126"/>
        <v>4743</v>
      </c>
      <c r="S683" s="9">
        <f t="shared" si="127"/>
        <v>7469725</v>
      </c>
      <c r="T683" s="15">
        <f t="shared" si="128"/>
        <v>16.686436250344954</v>
      </c>
      <c r="U683" s="15">
        <f>IF(O683="Exclude",0,G683*Fuel_Price!$B$2)</f>
        <v>1711.5004640000002</v>
      </c>
      <c r="V683" s="15">
        <f t="shared" si="129"/>
        <v>2989922.7577359979</v>
      </c>
    </row>
    <row r="684" spans="1:22">
      <c r="A684" s="1" t="s">
        <v>1752</v>
      </c>
      <c r="B684" s="1" t="s">
        <v>1753</v>
      </c>
      <c r="C684" s="1" t="s">
        <v>1735</v>
      </c>
      <c r="D684" s="1" t="s">
        <v>12</v>
      </c>
      <c r="E684" s="12">
        <v>4838</v>
      </c>
      <c r="F684" s="12" t="s">
        <v>13</v>
      </c>
      <c r="G684" s="6">
        <v>943.09</v>
      </c>
      <c r="H684" s="1">
        <v>23.32</v>
      </c>
      <c r="J684" t="str">
        <f t="shared" si="120"/>
        <v>OK</v>
      </c>
      <c r="K684" t="str">
        <f t="shared" si="121"/>
        <v>OK</v>
      </c>
      <c r="L684">
        <f t="shared" si="130"/>
        <v>12</v>
      </c>
      <c r="M684">
        <f t="shared" si="122"/>
        <v>10</v>
      </c>
      <c r="N684" s="9" t="str">
        <f t="shared" si="131"/>
        <v>Valid</v>
      </c>
      <c r="O684" t="str">
        <f t="shared" si="123"/>
        <v>Include</v>
      </c>
      <c r="P684" s="9">
        <f t="shared" si="124"/>
        <v>2035068.5799999984</v>
      </c>
      <c r="Q684" s="15">
        <f t="shared" si="125"/>
        <v>7469725</v>
      </c>
      <c r="R684" s="9">
        <f t="shared" si="126"/>
        <v>4838</v>
      </c>
      <c r="S684" s="9">
        <f t="shared" si="127"/>
        <v>7469725</v>
      </c>
      <c r="T684" s="15">
        <f t="shared" si="128"/>
        <v>16.686436250344954</v>
      </c>
      <c r="U684" s="15">
        <f>IF(O684="Exclude",0,G684*Fuel_Price!$B$2)</f>
        <v>1385.5878280000002</v>
      </c>
      <c r="V684" s="15">
        <f t="shared" si="129"/>
        <v>2989922.7577359979</v>
      </c>
    </row>
    <row r="685" spans="1:22">
      <c r="A685" s="1" t="s">
        <v>1754</v>
      </c>
      <c r="B685" s="1" t="s">
        <v>1755</v>
      </c>
      <c r="C685" s="1" t="s">
        <v>1756</v>
      </c>
      <c r="D685" s="1" t="s">
        <v>12</v>
      </c>
      <c r="E685" s="12">
        <v>5299</v>
      </c>
      <c r="F685" s="12" t="s">
        <v>13</v>
      </c>
      <c r="G685" s="6">
        <v>1344.64</v>
      </c>
      <c r="H685" s="1">
        <v>17.920000000000002</v>
      </c>
      <c r="J685" t="str">
        <f t="shared" si="120"/>
        <v>OK</v>
      </c>
      <c r="K685" t="str">
        <f t="shared" si="121"/>
        <v>OK</v>
      </c>
      <c r="L685">
        <f t="shared" si="130"/>
        <v>12</v>
      </c>
      <c r="M685">
        <f t="shared" si="122"/>
        <v>10</v>
      </c>
      <c r="N685" s="9" t="str">
        <f t="shared" si="131"/>
        <v>Valid</v>
      </c>
      <c r="O685" t="str">
        <f t="shared" si="123"/>
        <v>Include</v>
      </c>
      <c r="P685" s="9">
        <f t="shared" si="124"/>
        <v>2035068.5799999984</v>
      </c>
      <c r="Q685" s="15">
        <f t="shared" si="125"/>
        <v>7469725</v>
      </c>
      <c r="R685" s="9">
        <f t="shared" si="126"/>
        <v>5299</v>
      </c>
      <c r="S685" s="9">
        <f t="shared" si="127"/>
        <v>7469725</v>
      </c>
      <c r="T685" s="15">
        <f t="shared" si="128"/>
        <v>16.686436250344954</v>
      </c>
      <c r="U685" s="15">
        <f>IF(O685="Exclude",0,G685*Fuel_Price!$B$2)</f>
        <v>1975.5450880000003</v>
      </c>
      <c r="V685" s="15">
        <f t="shared" si="129"/>
        <v>2989922.7577359979</v>
      </c>
    </row>
    <row r="686" spans="1:22">
      <c r="A686" s="1" t="s">
        <v>1757</v>
      </c>
      <c r="B686" s="1" t="s">
        <v>1758</v>
      </c>
      <c r="C686" s="1" t="s">
        <v>1759</v>
      </c>
      <c r="D686" s="1" t="s">
        <v>12</v>
      </c>
      <c r="E686" s="12">
        <v>2836</v>
      </c>
      <c r="F686" s="12" t="s">
        <v>13</v>
      </c>
      <c r="G686" s="6">
        <v>776.28</v>
      </c>
      <c r="H686" s="1">
        <v>16.61</v>
      </c>
      <c r="J686" t="str">
        <f t="shared" si="120"/>
        <v>OK</v>
      </c>
      <c r="K686" t="str">
        <f t="shared" si="121"/>
        <v>OK</v>
      </c>
      <c r="L686">
        <f t="shared" si="130"/>
        <v>12</v>
      </c>
      <c r="M686">
        <f t="shared" si="122"/>
        <v>10</v>
      </c>
      <c r="N686" s="9" t="str">
        <f t="shared" si="131"/>
        <v>Valid</v>
      </c>
      <c r="O686" t="str">
        <f t="shared" si="123"/>
        <v>Include</v>
      </c>
      <c r="P686" s="9">
        <f t="shared" si="124"/>
        <v>2035068.5799999984</v>
      </c>
      <c r="Q686" s="15">
        <f t="shared" si="125"/>
        <v>7469725</v>
      </c>
      <c r="R686" s="9">
        <f t="shared" si="126"/>
        <v>2836</v>
      </c>
      <c r="S686" s="9">
        <f t="shared" si="127"/>
        <v>7469725</v>
      </c>
      <c r="T686" s="15">
        <f t="shared" si="128"/>
        <v>16.686436250344954</v>
      </c>
      <c r="U686" s="15">
        <f>IF(O686="Exclude",0,G686*Fuel_Price!$B$2)</f>
        <v>1140.5105759999999</v>
      </c>
      <c r="V686" s="15">
        <f t="shared" si="129"/>
        <v>2989922.7577359979</v>
      </c>
    </row>
    <row r="687" spans="1:22">
      <c r="A687" s="1" t="s">
        <v>1760</v>
      </c>
      <c r="B687" s="1" t="s">
        <v>1761</v>
      </c>
      <c r="C687" s="1" t="s">
        <v>1748</v>
      </c>
      <c r="D687" s="1" t="s">
        <v>12</v>
      </c>
      <c r="E687" s="12">
        <v>5444</v>
      </c>
      <c r="F687" s="12" t="s">
        <v>13</v>
      </c>
      <c r="G687" s="6">
        <v>1308.96</v>
      </c>
      <c r="H687" s="1">
        <v>18.91</v>
      </c>
      <c r="J687" t="str">
        <f t="shared" si="120"/>
        <v>OK</v>
      </c>
      <c r="K687" t="str">
        <f t="shared" si="121"/>
        <v>OK</v>
      </c>
      <c r="L687">
        <f t="shared" si="130"/>
        <v>12</v>
      </c>
      <c r="M687">
        <f t="shared" si="122"/>
        <v>10</v>
      </c>
      <c r="N687" s="9" t="str">
        <f t="shared" si="131"/>
        <v>Valid</v>
      </c>
      <c r="O687" t="str">
        <f t="shared" si="123"/>
        <v>Include</v>
      </c>
      <c r="P687" s="9">
        <f t="shared" si="124"/>
        <v>2035068.5799999984</v>
      </c>
      <c r="Q687" s="15">
        <f t="shared" si="125"/>
        <v>7469725</v>
      </c>
      <c r="R687" s="9">
        <f t="shared" si="126"/>
        <v>5444</v>
      </c>
      <c r="S687" s="9">
        <f t="shared" si="127"/>
        <v>7469725</v>
      </c>
      <c r="T687" s="15">
        <f t="shared" si="128"/>
        <v>16.686436250344954</v>
      </c>
      <c r="U687" s="15">
        <f>IF(O687="Exclude",0,G687*Fuel_Price!$B$2)</f>
        <v>1923.1240320000002</v>
      </c>
      <c r="V687" s="15">
        <f t="shared" si="129"/>
        <v>2989922.7577359979</v>
      </c>
    </row>
    <row r="688" spans="1:22">
      <c r="A688" s="1" t="s">
        <v>1763</v>
      </c>
      <c r="B688" s="1" t="s">
        <v>1764</v>
      </c>
      <c r="C688" s="1" t="s">
        <v>1588</v>
      </c>
      <c r="D688" s="1" t="s">
        <v>12</v>
      </c>
      <c r="E688" s="12">
        <v>5897</v>
      </c>
      <c r="F688" s="12" t="s">
        <v>13</v>
      </c>
      <c r="G688" s="6">
        <v>1105.45</v>
      </c>
      <c r="H688" s="1">
        <v>24.25</v>
      </c>
      <c r="J688" t="str">
        <f t="shared" si="120"/>
        <v>OK</v>
      </c>
      <c r="K688" t="str">
        <f t="shared" si="121"/>
        <v>OK</v>
      </c>
      <c r="L688">
        <f t="shared" si="130"/>
        <v>12</v>
      </c>
      <c r="M688">
        <f t="shared" si="122"/>
        <v>10</v>
      </c>
      <c r="N688" s="9" t="str">
        <f t="shared" si="131"/>
        <v>Valid</v>
      </c>
      <c r="O688" t="str">
        <f t="shared" si="123"/>
        <v>Include</v>
      </c>
      <c r="P688" s="9">
        <f t="shared" si="124"/>
        <v>2035068.5799999984</v>
      </c>
      <c r="Q688" s="15">
        <f t="shared" si="125"/>
        <v>7469725</v>
      </c>
      <c r="R688" s="9">
        <f t="shared" si="126"/>
        <v>5897</v>
      </c>
      <c r="S688" s="9">
        <f t="shared" si="127"/>
        <v>7469725</v>
      </c>
      <c r="T688" s="15">
        <f t="shared" si="128"/>
        <v>16.686436250344954</v>
      </c>
      <c r="U688" s="15">
        <f>IF(O688="Exclude",0,G688*Fuel_Price!$B$2)</f>
        <v>1624.1271400000001</v>
      </c>
      <c r="V688" s="15">
        <f t="shared" si="129"/>
        <v>2989922.7577359979</v>
      </c>
    </row>
    <row r="689" spans="1:22">
      <c r="A689" s="1" t="s">
        <v>1765</v>
      </c>
      <c r="B689" s="1" t="s">
        <v>1766</v>
      </c>
      <c r="C689" s="1" t="s">
        <v>1767</v>
      </c>
      <c r="D689" s="1" t="s">
        <v>12</v>
      </c>
      <c r="E689" s="12">
        <v>5121</v>
      </c>
      <c r="F689" s="12" t="s">
        <v>13</v>
      </c>
      <c r="G689" s="6">
        <v>1166.1300000000001</v>
      </c>
      <c r="H689" s="1">
        <v>19.96</v>
      </c>
      <c r="J689" t="str">
        <f t="shared" si="120"/>
        <v>OK</v>
      </c>
      <c r="K689" t="str">
        <f t="shared" si="121"/>
        <v>OK</v>
      </c>
      <c r="L689">
        <f t="shared" si="130"/>
        <v>12</v>
      </c>
      <c r="M689">
        <f t="shared" si="122"/>
        <v>10</v>
      </c>
      <c r="N689" s="9" t="str">
        <f t="shared" si="131"/>
        <v>Valid</v>
      </c>
      <c r="O689" t="str">
        <f t="shared" si="123"/>
        <v>Include</v>
      </c>
      <c r="P689" s="9">
        <f t="shared" si="124"/>
        <v>2035068.5799999984</v>
      </c>
      <c r="Q689" s="15">
        <f t="shared" si="125"/>
        <v>7469725</v>
      </c>
      <c r="R689" s="9">
        <f t="shared" si="126"/>
        <v>5121</v>
      </c>
      <c r="S689" s="9">
        <f t="shared" si="127"/>
        <v>7469725</v>
      </c>
      <c r="T689" s="15">
        <f t="shared" si="128"/>
        <v>16.686436250344954</v>
      </c>
      <c r="U689" s="15">
        <f>IF(O689="Exclude",0,G689*Fuel_Price!$B$2)</f>
        <v>1713.2781960000002</v>
      </c>
      <c r="V689" s="15">
        <f t="shared" si="129"/>
        <v>2989922.7577359979</v>
      </c>
    </row>
    <row r="690" spans="1:22">
      <c r="A690" s="1" t="s">
        <v>1768</v>
      </c>
      <c r="B690" s="1" t="s">
        <v>1769</v>
      </c>
      <c r="C690" s="1" t="s">
        <v>1762</v>
      </c>
      <c r="D690" s="1" t="s">
        <v>12</v>
      </c>
      <c r="E690" s="12">
        <v>3535</v>
      </c>
      <c r="F690" s="12" t="s">
        <v>13</v>
      </c>
      <c r="G690" s="6">
        <v>649.47</v>
      </c>
      <c r="H690" s="1">
        <v>24.74</v>
      </c>
      <c r="J690" t="str">
        <f t="shared" si="120"/>
        <v>OK</v>
      </c>
      <c r="K690" t="str">
        <f t="shared" si="121"/>
        <v>OK</v>
      </c>
      <c r="L690">
        <f t="shared" si="130"/>
        <v>12</v>
      </c>
      <c r="M690">
        <f t="shared" si="122"/>
        <v>10</v>
      </c>
      <c r="N690" s="9" t="str">
        <f t="shared" si="131"/>
        <v>Valid</v>
      </c>
      <c r="O690" t="str">
        <f t="shared" si="123"/>
        <v>Include</v>
      </c>
      <c r="P690" s="9">
        <f t="shared" si="124"/>
        <v>2035068.5799999984</v>
      </c>
      <c r="Q690" s="15">
        <f t="shared" si="125"/>
        <v>7469725</v>
      </c>
      <c r="R690" s="9">
        <f t="shared" si="126"/>
        <v>3535</v>
      </c>
      <c r="S690" s="9">
        <f t="shared" si="127"/>
        <v>7469725</v>
      </c>
      <c r="T690" s="15">
        <f t="shared" si="128"/>
        <v>16.686436250344954</v>
      </c>
      <c r="U690" s="15">
        <f>IF(O690="Exclude",0,G690*Fuel_Price!$B$2)</f>
        <v>954.20132400000011</v>
      </c>
      <c r="V690" s="15">
        <f t="shared" si="129"/>
        <v>2989922.7577359979</v>
      </c>
    </row>
    <row r="691" spans="1:22">
      <c r="A691" s="1" t="s">
        <v>1770</v>
      </c>
      <c r="B691" s="1" t="s">
        <v>1771</v>
      </c>
      <c r="C691" s="1" t="s">
        <v>1772</v>
      </c>
      <c r="D691" s="1" t="s">
        <v>12</v>
      </c>
      <c r="E691" s="12">
        <v>3070</v>
      </c>
      <c r="F691" s="12" t="s">
        <v>13</v>
      </c>
      <c r="G691" s="6">
        <v>657.15</v>
      </c>
      <c r="H691" s="1">
        <v>21.24</v>
      </c>
      <c r="J691" t="str">
        <f t="shared" si="120"/>
        <v>OK</v>
      </c>
      <c r="K691" t="str">
        <f t="shared" si="121"/>
        <v>OK</v>
      </c>
      <c r="L691">
        <f t="shared" si="130"/>
        <v>12</v>
      </c>
      <c r="M691">
        <f t="shared" si="122"/>
        <v>10</v>
      </c>
      <c r="N691" s="9" t="str">
        <f t="shared" si="131"/>
        <v>Valid</v>
      </c>
      <c r="O691" t="str">
        <f t="shared" si="123"/>
        <v>Include</v>
      </c>
      <c r="P691" s="9">
        <f t="shared" si="124"/>
        <v>2035068.5799999984</v>
      </c>
      <c r="Q691" s="15">
        <f t="shared" si="125"/>
        <v>7469725</v>
      </c>
      <c r="R691" s="9">
        <f t="shared" si="126"/>
        <v>3070</v>
      </c>
      <c r="S691" s="9">
        <f t="shared" si="127"/>
        <v>7469725</v>
      </c>
      <c r="T691" s="15">
        <f t="shared" si="128"/>
        <v>16.686436250344954</v>
      </c>
      <c r="U691" s="15">
        <f>IF(O691="Exclude",0,G691*Fuel_Price!$B$2)</f>
        <v>965.48478</v>
      </c>
      <c r="V691" s="15">
        <f t="shared" si="129"/>
        <v>2989922.7577359979</v>
      </c>
    </row>
    <row r="692" spans="1:22">
      <c r="A692" s="1" t="s">
        <v>1773</v>
      </c>
      <c r="B692" s="1" t="s">
        <v>1774</v>
      </c>
      <c r="C692" s="1" t="s">
        <v>1775</v>
      </c>
      <c r="D692" s="1" t="s">
        <v>12</v>
      </c>
      <c r="E692" s="12">
        <v>3303</v>
      </c>
      <c r="F692" s="12" t="s">
        <v>13</v>
      </c>
      <c r="G692" s="6">
        <v>746.8</v>
      </c>
      <c r="H692" s="1">
        <v>20.11</v>
      </c>
      <c r="J692" t="str">
        <f t="shared" si="120"/>
        <v>OK</v>
      </c>
      <c r="K692" t="str">
        <f t="shared" si="121"/>
        <v>OK</v>
      </c>
      <c r="L692">
        <f t="shared" si="130"/>
        <v>12</v>
      </c>
      <c r="M692">
        <f t="shared" si="122"/>
        <v>10</v>
      </c>
      <c r="N692" s="9" t="str">
        <f t="shared" si="131"/>
        <v>Valid</v>
      </c>
      <c r="O692" t="str">
        <f t="shared" si="123"/>
        <v>Include</v>
      </c>
      <c r="P692" s="9">
        <f t="shared" si="124"/>
        <v>2035068.5799999984</v>
      </c>
      <c r="Q692" s="15">
        <f t="shared" si="125"/>
        <v>7469725</v>
      </c>
      <c r="R692" s="9">
        <f t="shared" si="126"/>
        <v>3303</v>
      </c>
      <c r="S692" s="9">
        <f t="shared" si="127"/>
        <v>7469725</v>
      </c>
      <c r="T692" s="15">
        <f t="shared" si="128"/>
        <v>16.686436250344954</v>
      </c>
      <c r="U692" s="15">
        <f>IF(O692="Exclude",0,G692*Fuel_Price!$B$2)</f>
        <v>1097.19856</v>
      </c>
      <c r="V692" s="15">
        <f t="shared" si="129"/>
        <v>2989922.7577359979</v>
      </c>
    </row>
    <row r="693" spans="1:22">
      <c r="A693" s="1" t="s">
        <v>1776</v>
      </c>
      <c r="B693" s="1" t="s">
        <v>1777</v>
      </c>
      <c r="C693" s="1" t="s">
        <v>1775</v>
      </c>
      <c r="D693" s="1" t="s">
        <v>12</v>
      </c>
      <c r="E693" s="12">
        <v>4600</v>
      </c>
      <c r="F693" s="12" t="s">
        <v>13</v>
      </c>
      <c r="G693" s="6">
        <v>921.03</v>
      </c>
      <c r="H693" s="1">
        <v>22.71</v>
      </c>
      <c r="J693" t="str">
        <f t="shared" si="120"/>
        <v>OK</v>
      </c>
      <c r="K693" t="str">
        <f t="shared" si="121"/>
        <v>OK</v>
      </c>
      <c r="L693">
        <f t="shared" si="130"/>
        <v>12</v>
      </c>
      <c r="M693">
        <f t="shared" si="122"/>
        <v>10</v>
      </c>
      <c r="N693" s="9" t="str">
        <f t="shared" si="131"/>
        <v>Valid</v>
      </c>
      <c r="O693" t="str">
        <f t="shared" si="123"/>
        <v>Include</v>
      </c>
      <c r="P693" s="9">
        <f t="shared" si="124"/>
        <v>2035068.5799999984</v>
      </c>
      <c r="Q693" s="15">
        <f t="shared" si="125"/>
        <v>7469725</v>
      </c>
      <c r="R693" s="9">
        <f t="shared" si="126"/>
        <v>4600</v>
      </c>
      <c r="S693" s="9">
        <f t="shared" si="127"/>
        <v>7469725</v>
      </c>
      <c r="T693" s="15">
        <f t="shared" si="128"/>
        <v>16.686436250344954</v>
      </c>
      <c r="U693" s="15">
        <f>IF(O693="Exclude",0,G693*Fuel_Price!$B$2)</f>
        <v>1353.1772760000001</v>
      </c>
      <c r="V693" s="15">
        <f t="shared" si="129"/>
        <v>2989922.7577359979</v>
      </c>
    </row>
    <row r="694" spans="1:22">
      <c r="A694" s="1" t="s">
        <v>1778</v>
      </c>
      <c r="B694" s="1" t="s">
        <v>1779</v>
      </c>
      <c r="C694" s="1" t="s">
        <v>1780</v>
      </c>
      <c r="D694" s="1" t="s">
        <v>12</v>
      </c>
      <c r="E694" s="12">
        <v>9152</v>
      </c>
      <c r="F694" s="12" t="s">
        <v>13</v>
      </c>
      <c r="G694" s="6">
        <v>1636.85</v>
      </c>
      <c r="H694" s="1">
        <v>25.42</v>
      </c>
      <c r="J694" t="str">
        <f t="shared" si="120"/>
        <v>OK</v>
      </c>
      <c r="K694" t="str">
        <f t="shared" si="121"/>
        <v>OK</v>
      </c>
      <c r="L694">
        <f t="shared" si="130"/>
        <v>12</v>
      </c>
      <c r="M694">
        <f t="shared" si="122"/>
        <v>10</v>
      </c>
      <c r="N694" s="9" t="str">
        <f t="shared" si="131"/>
        <v>Valid</v>
      </c>
      <c r="O694" t="str">
        <f t="shared" si="123"/>
        <v>Include</v>
      </c>
      <c r="P694" s="9">
        <f t="shared" si="124"/>
        <v>2035068.5799999984</v>
      </c>
      <c r="Q694" s="15">
        <f t="shared" si="125"/>
        <v>7469725</v>
      </c>
      <c r="R694" s="9">
        <f t="shared" si="126"/>
        <v>9152</v>
      </c>
      <c r="S694" s="9">
        <f t="shared" si="127"/>
        <v>7469725</v>
      </c>
      <c r="T694" s="15">
        <f t="shared" si="128"/>
        <v>16.686436250344954</v>
      </c>
      <c r="U694" s="15">
        <f>IF(O694="Exclude",0,G694*Fuel_Price!$B$2)</f>
        <v>2404.8600200000001</v>
      </c>
      <c r="V694" s="15">
        <f t="shared" si="129"/>
        <v>2989922.7577359979</v>
      </c>
    </row>
    <row r="695" spans="1:22">
      <c r="A695" s="1" t="s">
        <v>1781</v>
      </c>
      <c r="B695" s="1" t="s">
        <v>1782</v>
      </c>
      <c r="C695" s="1" t="s">
        <v>1783</v>
      </c>
      <c r="D695" s="1" t="s">
        <v>12</v>
      </c>
      <c r="E695" s="12">
        <v>6891</v>
      </c>
      <c r="F695" s="12" t="s">
        <v>13</v>
      </c>
      <c r="G695" s="6">
        <v>1242.3</v>
      </c>
      <c r="H695" s="1">
        <v>25.22</v>
      </c>
      <c r="J695" t="str">
        <f t="shared" si="120"/>
        <v>OK</v>
      </c>
      <c r="K695" t="str">
        <f t="shared" si="121"/>
        <v>OK</v>
      </c>
      <c r="L695">
        <f t="shared" si="130"/>
        <v>12</v>
      </c>
      <c r="M695">
        <f t="shared" si="122"/>
        <v>10</v>
      </c>
      <c r="N695" s="9" t="str">
        <f t="shared" si="131"/>
        <v>Valid</v>
      </c>
      <c r="O695" t="str">
        <f t="shared" si="123"/>
        <v>Include</v>
      </c>
      <c r="P695" s="9">
        <f t="shared" si="124"/>
        <v>2035068.5799999984</v>
      </c>
      <c r="Q695" s="15">
        <f t="shared" si="125"/>
        <v>7469725</v>
      </c>
      <c r="R695" s="9">
        <f t="shared" si="126"/>
        <v>6891</v>
      </c>
      <c r="S695" s="9">
        <f t="shared" si="127"/>
        <v>7469725</v>
      </c>
      <c r="T695" s="15">
        <f t="shared" si="128"/>
        <v>16.686436250344954</v>
      </c>
      <c r="U695" s="15">
        <f>IF(O695="Exclude",0,G695*Fuel_Price!$B$2)</f>
        <v>1825.1871599999999</v>
      </c>
      <c r="V695" s="15">
        <f t="shared" si="129"/>
        <v>2989922.7577359979</v>
      </c>
    </row>
    <row r="696" spans="1:22">
      <c r="A696" s="1" t="s">
        <v>1784</v>
      </c>
      <c r="B696" s="1" t="s">
        <v>1785</v>
      </c>
      <c r="C696" s="1" t="s">
        <v>1780</v>
      </c>
      <c r="D696" s="1" t="s">
        <v>12</v>
      </c>
      <c r="E696" s="12">
        <v>6214</v>
      </c>
      <c r="F696" s="12" t="s">
        <v>13</v>
      </c>
      <c r="G696" s="6">
        <v>1204.3</v>
      </c>
      <c r="H696" s="1">
        <v>23.46</v>
      </c>
      <c r="J696" t="str">
        <f t="shared" si="120"/>
        <v>OK</v>
      </c>
      <c r="K696" t="str">
        <f t="shared" si="121"/>
        <v>OK</v>
      </c>
      <c r="L696">
        <f t="shared" si="130"/>
        <v>12</v>
      </c>
      <c r="M696">
        <f t="shared" si="122"/>
        <v>10</v>
      </c>
      <c r="N696" s="9" t="str">
        <f t="shared" si="131"/>
        <v>Valid</v>
      </c>
      <c r="O696" t="str">
        <f t="shared" si="123"/>
        <v>Include</v>
      </c>
      <c r="P696" s="9">
        <f t="shared" si="124"/>
        <v>2035068.5799999984</v>
      </c>
      <c r="Q696" s="15">
        <f t="shared" si="125"/>
        <v>7469725</v>
      </c>
      <c r="R696" s="9">
        <f t="shared" si="126"/>
        <v>6214</v>
      </c>
      <c r="S696" s="9">
        <f t="shared" si="127"/>
        <v>7469725</v>
      </c>
      <c r="T696" s="15">
        <f t="shared" si="128"/>
        <v>16.686436250344954</v>
      </c>
      <c r="U696" s="15">
        <f>IF(O696="Exclude",0,G696*Fuel_Price!$B$2)</f>
        <v>1769.3575599999999</v>
      </c>
      <c r="V696" s="15">
        <f t="shared" si="129"/>
        <v>2989922.7577359979</v>
      </c>
    </row>
    <row r="697" spans="1:22">
      <c r="A697" s="1" t="s">
        <v>1786</v>
      </c>
      <c r="B697" s="1" t="s">
        <v>1787</v>
      </c>
      <c r="C697" s="1" t="s">
        <v>1780</v>
      </c>
      <c r="D697" s="1" t="s">
        <v>12</v>
      </c>
      <c r="E697" s="12">
        <v>9535</v>
      </c>
      <c r="F697" s="12" t="s">
        <v>13</v>
      </c>
      <c r="G697" s="6">
        <v>1676.85</v>
      </c>
      <c r="H697" s="1">
        <v>25.85</v>
      </c>
      <c r="J697" t="str">
        <f t="shared" si="120"/>
        <v>OK</v>
      </c>
      <c r="K697" t="str">
        <f t="shared" si="121"/>
        <v>OK</v>
      </c>
      <c r="L697">
        <f t="shared" si="130"/>
        <v>12</v>
      </c>
      <c r="M697">
        <f t="shared" si="122"/>
        <v>10</v>
      </c>
      <c r="N697" s="9" t="str">
        <f t="shared" si="131"/>
        <v>Valid</v>
      </c>
      <c r="O697" t="str">
        <f t="shared" si="123"/>
        <v>Include</v>
      </c>
      <c r="P697" s="9">
        <f t="shared" si="124"/>
        <v>2035068.5799999984</v>
      </c>
      <c r="Q697" s="15">
        <f t="shared" si="125"/>
        <v>7469725</v>
      </c>
      <c r="R697" s="9">
        <f t="shared" si="126"/>
        <v>9535</v>
      </c>
      <c r="S697" s="9">
        <f t="shared" si="127"/>
        <v>7469725</v>
      </c>
      <c r="T697" s="15">
        <f t="shared" si="128"/>
        <v>16.686436250344954</v>
      </c>
      <c r="U697" s="15">
        <f>IF(O697="Exclude",0,G697*Fuel_Price!$B$2)</f>
        <v>2463.6280200000001</v>
      </c>
      <c r="V697" s="15">
        <f t="shared" si="129"/>
        <v>2989922.7577359979</v>
      </c>
    </row>
    <row r="698" spans="1:22">
      <c r="A698" s="1" t="s">
        <v>1788</v>
      </c>
      <c r="B698" s="1" t="s">
        <v>1789</v>
      </c>
      <c r="C698" s="1" t="s">
        <v>1780</v>
      </c>
      <c r="D698" s="1" t="s">
        <v>12</v>
      </c>
      <c r="E698" s="12">
        <v>3759</v>
      </c>
      <c r="F698" s="12" t="s">
        <v>13</v>
      </c>
      <c r="G698" s="6">
        <v>687.93</v>
      </c>
      <c r="H698" s="1">
        <v>24.84</v>
      </c>
      <c r="J698" t="str">
        <f t="shared" si="120"/>
        <v>OK</v>
      </c>
      <c r="K698" t="str">
        <f t="shared" si="121"/>
        <v>OK</v>
      </c>
      <c r="L698">
        <f t="shared" si="130"/>
        <v>12</v>
      </c>
      <c r="M698">
        <f t="shared" si="122"/>
        <v>10</v>
      </c>
      <c r="N698" s="9" t="str">
        <f t="shared" si="131"/>
        <v>Valid</v>
      </c>
      <c r="O698" t="str">
        <f t="shared" si="123"/>
        <v>Include</v>
      </c>
      <c r="P698" s="9">
        <f t="shared" si="124"/>
        <v>2035068.5799999984</v>
      </c>
      <c r="Q698" s="15">
        <f t="shared" si="125"/>
        <v>7469725</v>
      </c>
      <c r="R698" s="9">
        <f t="shared" si="126"/>
        <v>3759</v>
      </c>
      <c r="S698" s="9">
        <f t="shared" si="127"/>
        <v>7469725</v>
      </c>
      <c r="T698" s="15">
        <f t="shared" si="128"/>
        <v>16.686436250344954</v>
      </c>
      <c r="U698" s="15">
        <f>IF(O698="Exclude",0,G698*Fuel_Price!$B$2)</f>
        <v>1010.7067559999999</v>
      </c>
      <c r="V698" s="15">
        <f t="shared" si="129"/>
        <v>2989922.7577359979</v>
      </c>
    </row>
    <row r="699" spans="1:22">
      <c r="A699" s="1" t="s">
        <v>1790</v>
      </c>
      <c r="B699" s="1" t="s">
        <v>1791</v>
      </c>
      <c r="C699" s="1" t="s">
        <v>1792</v>
      </c>
      <c r="D699" s="1" t="s">
        <v>12</v>
      </c>
      <c r="E699" s="12">
        <v>7956</v>
      </c>
      <c r="F699" s="12" t="s">
        <v>13</v>
      </c>
      <c r="G699" s="6">
        <v>1447.98</v>
      </c>
      <c r="H699" s="1">
        <v>24.98</v>
      </c>
      <c r="J699" t="str">
        <f t="shared" si="120"/>
        <v>OK</v>
      </c>
      <c r="K699" t="str">
        <f t="shared" si="121"/>
        <v>OK</v>
      </c>
      <c r="L699">
        <f t="shared" si="130"/>
        <v>12</v>
      </c>
      <c r="M699">
        <f t="shared" si="122"/>
        <v>10</v>
      </c>
      <c r="N699" s="9" t="str">
        <f t="shared" si="131"/>
        <v>Valid</v>
      </c>
      <c r="O699" t="str">
        <f t="shared" si="123"/>
        <v>Include</v>
      </c>
      <c r="P699" s="9">
        <f t="shared" si="124"/>
        <v>2035068.5799999984</v>
      </c>
      <c r="Q699" s="15">
        <f t="shared" si="125"/>
        <v>7469725</v>
      </c>
      <c r="R699" s="9">
        <f t="shared" si="126"/>
        <v>7956</v>
      </c>
      <c r="S699" s="9">
        <f t="shared" si="127"/>
        <v>7469725</v>
      </c>
      <c r="T699" s="15">
        <f t="shared" si="128"/>
        <v>16.686436250344954</v>
      </c>
      <c r="U699" s="15">
        <f>IF(O699="Exclude",0,G699*Fuel_Price!$B$2)</f>
        <v>2127.3722160000002</v>
      </c>
      <c r="V699" s="15">
        <f t="shared" si="129"/>
        <v>2989922.7577359979</v>
      </c>
    </row>
    <row r="700" spans="1:22">
      <c r="A700" s="1" t="s">
        <v>1793</v>
      </c>
      <c r="B700" s="1" t="s">
        <v>1794</v>
      </c>
      <c r="C700" s="1" t="s">
        <v>1792</v>
      </c>
      <c r="D700" s="1" t="s">
        <v>12</v>
      </c>
      <c r="E700" s="12">
        <v>7588</v>
      </c>
      <c r="F700" s="12" t="s">
        <v>13</v>
      </c>
      <c r="G700" s="6">
        <v>1381.85</v>
      </c>
      <c r="H700" s="1">
        <v>24.96</v>
      </c>
      <c r="J700" t="str">
        <f t="shared" si="120"/>
        <v>OK</v>
      </c>
      <c r="K700" t="str">
        <f t="shared" si="121"/>
        <v>OK</v>
      </c>
      <c r="L700">
        <f t="shared" si="130"/>
        <v>12</v>
      </c>
      <c r="M700">
        <f t="shared" si="122"/>
        <v>10</v>
      </c>
      <c r="N700" s="9" t="str">
        <f t="shared" si="131"/>
        <v>Valid</v>
      </c>
      <c r="O700" t="str">
        <f t="shared" si="123"/>
        <v>Include</v>
      </c>
      <c r="P700" s="9">
        <f t="shared" si="124"/>
        <v>2035068.5799999984</v>
      </c>
      <c r="Q700" s="15">
        <f t="shared" si="125"/>
        <v>7469725</v>
      </c>
      <c r="R700" s="9">
        <f t="shared" si="126"/>
        <v>7588</v>
      </c>
      <c r="S700" s="9">
        <f t="shared" si="127"/>
        <v>7469725</v>
      </c>
      <c r="T700" s="15">
        <f t="shared" si="128"/>
        <v>16.686436250344954</v>
      </c>
      <c r="U700" s="15">
        <f>IF(O700="Exclude",0,G700*Fuel_Price!$B$2)</f>
        <v>2030.2140199999999</v>
      </c>
      <c r="V700" s="15">
        <f t="shared" si="129"/>
        <v>2989922.7577359979</v>
      </c>
    </row>
    <row r="701" spans="1:22">
      <c r="A701" s="1" t="s">
        <v>1795</v>
      </c>
      <c r="B701" s="1" t="s">
        <v>1796</v>
      </c>
      <c r="C701" s="1" t="s">
        <v>1792</v>
      </c>
      <c r="D701" s="1" t="s">
        <v>12</v>
      </c>
      <c r="E701" s="12">
        <v>14206</v>
      </c>
      <c r="F701" s="12" t="s">
        <v>13</v>
      </c>
      <c r="G701" s="6">
        <v>2333.64</v>
      </c>
      <c r="H701" s="1">
        <v>27.67</v>
      </c>
      <c r="J701" t="str">
        <f t="shared" si="120"/>
        <v>OK</v>
      </c>
      <c r="K701" t="str">
        <f t="shared" si="121"/>
        <v>OK</v>
      </c>
      <c r="L701">
        <f t="shared" si="130"/>
        <v>12</v>
      </c>
      <c r="M701">
        <f t="shared" si="122"/>
        <v>10</v>
      </c>
      <c r="N701" s="9" t="str">
        <f t="shared" si="131"/>
        <v>Valid</v>
      </c>
      <c r="O701" t="str">
        <f t="shared" si="123"/>
        <v>Include</v>
      </c>
      <c r="P701" s="9">
        <f t="shared" si="124"/>
        <v>2035068.5799999984</v>
      </c>
      <c r="Q701" s="15">
        <f t="shared" si="125"/>
        <v>7469725</v>
      </c>
      <c r="R701" s="9">
        <f t="shared" si="126"/>
        <v>14206</v>
      </c>
      <c r="S701" s="9">
        <f t="shared" si="127"/>
        <v>7469725</v>
      </c>
      <c r="T701" s="15">
        <f t="shared" si="128"/>
        <v>16.686436250344954</v>
      </c>
      <c r="U701" s="15">
        <f>IF(O701="Exclude",0,G701*Fuel_Price!$B$2)</f>
        <v>3428.5838880000001</v>
      </c>
      <c r="V701" s="15">
        <f t="shared" si="129"/>
        <v>2989922.7577359979</v>
      </c>
    </row>
    <row r="702" spans="1:22">
      <c r="A702" s="1" t="s">
        <v>1797</v>
      </c>
      <c r="B702" s="1" t="s">
        <v>1798</v>
      </c>
      <c r="C702" s="1" t="s">
        <v>1792</v>
      </c>
      <c r="D702" s="1" t="s">
        <v>12</v>
      </c>
      <c r="E702" s="12">
        <v>8894</v>
      </c>
      <c r="F702" s="12" t="s">
        <v>13</v>
      </c>
      <c r="G702" s="6">
        <v>1629</v>
      </c>
      <c r="H702" s="1">
        <v>24.82</v>
      </c>
      <c r="J702" t="str">
        <f t="shared" si="120"/>
        <v>OK</v>
      </c>
      <c r="K702" t="str">
        <f t="shared" si="121"/>
        <v>OK</v>
      </c>
      <c r="L702">
        <f t="shared" si="130"/>
        <v>12</v>
      </c>
      <c r="M702">
        <f t="shared" si="122"/>
        <v>10</v>
      </c>
      <c r="N702" s="9" t="str">
        <f t="shared" si="131"/>
        <v>Valid</v>
      </c>
      <c r="O702" t="str">
        <f t="shared" si="123"/>
        <v>Include</v>
      </c>
      <c r="P702" s="9">
        <f t="shared" si="124"/>
        <v>2035068.5799999984</v>
      </c>
      <c r="Q702" s="15">
        <f t="shared" si="125"/>
        <v>7469725</v>
      </c>
      <c r="R702" s="9">
        <f t="shared" si="126"/>
        <v>8894</v>
      </c>
      <c r="S702" s="9">
        <f t="shared" si="127"/>
        <v>7469725</v>
      </c>
      <c r="T702" s="15">
        <f t="shared" si="128"/>
        <v>16.686436250344954</v>
      </c>
      <c r="U702" s="15">
        <f>IF(O702="Exclude",0,G702*Fuel_Price!$B$2)</f>
        <v>2393.3268000000003</v>
      </c>
      <c r="V702" s="15">
        <f t="shared" si="129"/>
        <v>2989922.7577359979</v>
      </c>
    </row>
    <row r="703" spans="1:22">
      <c r="A703" s="1" t="s">
        <v>1799</v>
      </c>
      <c r="B703" s="1" t="s">
        <v>1800</v>
      </c>
      <c r="C703" s="1" t="s">
        <v>1792</v>
      </c>
      <c r="D703" s="1" t="s">
        <v>12</v>
      </c>
      <c r="E703" s="12">
        <v>6568</v>
      </c>
      <c r="F703" s="12" t="s">
        <v>13</v>
      </c>
      <c r="G703" s="6">
        <v>1281.25</v>
      </c>
      <c r="H703" s="1">
        <v>23.3</v>
      </c>
      <c r="J703" t="str">
        <f t="shared" si="120"/>
        <v>OK</v>
      </c>
      <c r="K703" t="str">
        <f t="shared" si="121"/>
        <v>OK</v>
      </c>
      <c r="L703">
        <f t="shared" si="130"/>
        <v>12</v>
      </c>
      <c r="M703">
        <f t="shared" si="122"/>
        <v>10</v>
      </c>
      <c r="N703" s="9" t="str">
        <f t="shared" si="131"/>
        <v>Valid</v>
      </c>
      <c r="O703" t="str">
        <f t="shared" si="123"/>
        <v>Include</v>
      </c>
      <c r="P703" s="9">
        <f t="shared" si="124"/>
        <v>2035068.5799999984</v>
      </c>
      <c r="Q703" s="15">
        <f t="shared" si="125"/>
        <v>7469725</v>
      </c>
      <c r="R703" s="9">
        <f t="shared" si="126"/>
        <v>6568</v>
      </c>
      <c r="S703" s="9">
        <f t="shared" si="127"/>
        <v>7469725</v>
      </c>
      <c r="T703" s="15">
        <f t="shared" si="128"/>
        <v>16.686436250344954</v>
      </c>
      <c r="U703" s="15">
        <f>IF(O703="Exclude",0,G703*Fuel_Price!$B$2)</f>
        <v>1882.4125000000001</v>
      </c>
      <c r="V703" s="15">
        <f t="shared" si="129"/>
        <v>2989922.7577359979</v>
      </c>
    </row>
    <row r="704" spans="1:22">
      <c r="A704" s="1" t="s">
        <v>1801</v>
      </c>
      <c r="B704" s="1" t="s">
        <v>1802</v>
      </c>
      <c r="C704" s="1" t="s">
        <v>1803</v>
      </c>
      <c r="D704" s="1" t="s">
        <v>12</v>
      </c>
      <c r="E704" s="12">
        <v>4847</v>
      </c>
      <c r="F704" s="12" t="s">
        <v>13</v>
      </c>
      <c r="G704" s="6">
        <v>891.8</v>
      </c>
      <c r="H704" s="1">
        <v>24.71</v>
      </c>
      <c r="J704" t="str">
        <f t="shared" si="120"/>
        <v>OK</v>
      </c>
      <c r="K704" t="str">
        <f t="shared" si="121"/>
        <v>OK</v>
      </c>
      <c r="L704">
        <f t="shared" si="130"/>
        <v>12</v>
      </c>
      <c r="M704">
        <f t="shared" si="122"/>
        <v>10</v>
      </c>
      <c r="N704" s="9" t="str">
        <f t="shared" si="131"/>
        <v>Valid</v>
      </c>
      <c r="O704" t="str">
        <f t="shared" si="123"/>
        <v>Include</v>
      </c>
      <c r="P704" s="9">
        <f t="shared" si="124"/>
        <v>2035068.5799999984</v>
      </c>
      <c r="Q704" s="15">
        <f t="shared" si="125"/>
        <v>7469725</v>
      </c>
      <c r="R704" s="9">
        <f t="shared" si="126"/>
        <v>4847</v>
      </c>
      <c r="S704" s="9">
        <f t="shared" si="127"/>
        <v>7469725</v>
      </c>
      <c r="T704" s="15">
        <f t="shared" si="128"/>
        <v>16.686436250344954</v>
      </c>
      <c r="U704" s="15">
        <f>IF(O704="Exclude",0,G704*Fuel_Price!$B$2)</f>
        <v>1310.2325599999999</v>
      </c>
      <c r="V704" s="15">
        <f t="shared" si="129"/>
        <v>2989922.7577359979</v>
      </c>
    </row>
    <row r="705" spans="1:22">
      <c r="A705" s="1" t="s">
        <v>1804</v>
      </c>
      <c r="B705" s="1" t="s">
        <v>1805</v>
      </c>
      <c r="C705" s="1" t="s">
        <v>1803</v>
      </c>
      <c r="D705" s="1" t="s">
        <v>12</v>
      </c>
      <c r="E705" s="12">
        <v>6082</v>
      </c>
      <c r="F705" s="12" t="s">
        <v>13</v>
      </c>
      <c r="G705" s="6">
        <v>1173.3</v>
      </c>
      <c r="H705" s="1">
        <v>23.57</v>
      </c>
      <c r="J705" t="str">
        <f t="shared" si="120"/>
        <v>OK</v>
      </c>
      <c r="K705" t="str">
        <f t="shared" si="121"/>
        <v>OK</v>
      </c>
      <c r="L705">
        <f t="shared" si="130"/>
        <v>12</v>
      </c>
      <c r="M705">
        <f t="shared" si="122"/>
        <v>10</v>
      </c>
      <c r="N705" s="9" t="str">
        <f t="shared" si="131"/>
        <v>Valid</v>
      </c>
      <c r="O705" t="str">
        <f t="shared" si="123"/>
        <v>Include</v>
      </c>
      <c r="P705" s="9">
        <f t="shared" si="124"/>
        <v>2035068.5799999984</v>
      </c>
      <c r="Q705" s="15">
        <f t="shared" si="125"/>
        <v>7469725</v>
      </c>
      <c r="R705" s="9">
        <f t="shared" si="126"/>
        <v>6082</v>
      </c>
      <c r="S705" s="9">
        <f t="shared" si="127"/>
        <v>7469725</v>
      </c>
      <c r="T705" s="15">
        <f t="shared" si="128"/>
        <v>16.686436250344954</v>
      </c>
      <c r="U705" s="15">
        <f>IF(O705="Exclude",0,G705*Fuel_Price!$B$2)</f>
        <v>1723.8123599999999</v>
      </c>
      <c r="V705" s="15">
        <f t="shared" si="129"/>
        <v>2989922.7577359979</v>
      </c>
    </row>
    <row r="706" spans="1:22">
      <c r="A706" s="1" t="s">
        <v>1806</v>
      </c>
      <c r="B706" s="1" t="s">
        <v>1807</v>
      </c>
      <c r="C706" s="1" t="s">
        <v>1803</v>
      </c>
      <c r="D706" s="1" t="s">
        <v>12</v>
      </c>
      <c r="E706" s="12">
        <v>5052</v>
      </c>
      <c r="F706" s="12" t="s">
        <v>13</v>
      </c>
      <c r="G706" s="6">
        <v>993.66</v>
      </c>
      <c r="H706" s="1">
        <v>23.11</v>
      </c>
      <c r="J706" t="str">
        <f t="shared" ref="J706:J769" si="132">IF(OR(H706&lt;=0,H706&gt;100),"Check","OK")</f>
        <v>OK</v>
      </c>
      <c r="K706" t="str">
        <f t="shared" ref="K706:K769" si="133">IF(E706&lt;0,"Check","OK")</f>
        <v>OK</v>
      </c>
      <c r="L706">
        <f t="shared" si="130"/>
        <v>12</v>
      </c>
      <c r="M706">
        <f t="shared" ref="M706:M769" si="134">COUNTIF(K:K,"Check")</f>
        <v>10</v>
      </c>
      <c r="N706" s="9" t="str">
        <f t="shared" si="131"/>
        <v>Valid</v>
      </c>
      <c r="O706" t="str">
        <f t="shared" ref="O706:O769" si="135">IF(N706="Review","Exclude","Include")</f>
        <v>Include</v>
      </c>
      <c r="P706" s="9">
        <f t="shared" ref="P706:P769" si="136">SUMIF(O:O,"Include",G:G)</f>
        <v>2035068.5799999984</v>
      </c>
      <c r="Q706" s="15">
        <f t="shared" ref="Q706:Q769" si="137">SUMIF(O:O,"Include",E:E)</f>
        <v>7469725</v>
      </c>
      <c r="R706" s="9">
        <f t="shared" ref="R706:R769" si="138">IF(O706="Exclude",0,E706)</f>
        <v>5052</v>
      </c>
      <c r="S706" s="9">
        <f t="shared" ref="S706:S769" si="139">SUM(R:R)</f>
        <v>7469725</v>
      </c>
      <c r="T706" s="15">
        <f t="shared" ref="T706:T769" si="140">S706/(P706/4.54609)</f>
        <v>16.686436250344954</v>
      </c>
      <c r="U706" s="15">
        <f>IF(O706="Exclude",0,G706*Fuel_Price!$B$2)</f>
        <v>1459.885272</v>
      </c>
      <c r="V706" s="15">
        <f t="shared" ref="V706:V769" si="141">SUM(U:U)</f>
        <v>2989922.7577359979</v>
      </c>
    </row>
    <row r="707" spans="1:22">
      <c r="A707" s="1" t="s">
        <v>1808</v>
      </c>
      <c r="B707" s="1" t="s">
        <v>1809</v>
      </c>
      <c r="C707" s="1" t="s">
        <v>1803</v>
      </c>
      <c r="D707" s="1" t="s">
        <v>12</v>
      </c>
      <c r="E707" s="12">
        <v>11564</v>
      </c>
      <c r="F707" s="12" t="s">
        <v>13</v>
      </c>
      <c r="G707" s="6">
        <v>1774.92</v>
      </c>
      <c r="H707" s="1">
        <v>29.62</v>
      </c>
      <c r="J707" t="str">
        <f t="shared" si="132"/>
        <v>OK</v>
      </c>
      <c r="K707" t="str">
        <f t="shared" si="133"/>
        <v>OK</v>
      </c>
      <c r="L707">
        <f t="shared" ref="L707:L770" si="142">COUNTIF(J:J,"Check")</f>
        <v>12</v>
      </c>
      <c r="M707">
        <f t="shared" si="134"/>
        <v>10</v>
      </c>
      <c r="N707" s="9" t="str">
        <f t="shared" si="131"/>
        <v>Valid</v>
      </c>
      <c r="O707" t="str">
        <f t="shared" si="135"/>
        <v>Include</v>
      </c>
      <c r="P707" s="9">
        <f t="shared" si="136"/>
        <v>2035068.5799999984</v>
      </c>
      <c r="Q707" s="15">
        <f t="shared" si="137"/>
        <v>7469725</v>
      </c>
      <c r="R707" s="9">
        <f t="shared" si="138"/>
        <v>11564</v>
      </c>
      <c r="S707" s="9">
        <f t="shared" si="139"/>
        <v>7469725</v>
      </c>
      <c r="T707" s="15">
        <f t="shared" si="140"/>
        <v>16.686436250344954</v>
      </c>
      <c r="U707" s="15">
        <f>IF(O707="Exclude",0,G707*Fuel_Price!$B$2)</f>
        <v>2607.7124640000002</v>
      </c>
      <c r="V707" s="15">
        <f t="shared" si="141"/>
        <v>2989922.7577359979</v>
      </c>
    </row>
    <row r="708" spans="1:22">
      <c r="A708" s="1" t="s">
        <v>1810</v>
      </c>
      <c r="B708" s="1" t="s">
        <v>1811</v>
      </c>
      <c r="C708" s="1" t="s">
        <v>1803</v>
      </c>
      <c r="D708" s="1" t="s">
        <v>12</v>
      </c>
      <c r="E708" s="12">
        <v>6828</v>
      </c>
      <c r="F708" s="12" t="s">
        <v>13</v>
      </c>
      <c r="G708" s="6">
        <v>1296.77</v>
      </c>
      <c r="H708" s="1">
        <v>23.94</v>
      </c>
      <c r="J708" t="str">
        <f t="shared" si="132"/>
        <v>OK</v>
      </c>
      <c r="K708" t="str">
        <f t="shared" si="133"/>
        <v>OK</v>
      </c>
      <c r="L708">
        <f t="shared" si="142"/>
        <v>12</v>
      </c>
      <c r="M708">
        <f t="shared" si="134"/>
        <v>10</v>
      </c>
      <c r="N708" s="9" t="str">
        <f t="shared" si="131"/>
        <v>Valid</v>
      </c>
      <c r="O708" t="str">
        <f t="shared" si="135"/>
        <v>Include</v>
      </c>
      <c r="P708" s="9">
        <f t="shared" si="136"/>
        <v>2035068.5799999984</v>
      </c>
      <c r="Q708" s="15">
        <f t="shared" si="137"/>
        <v>7469725</v>
      </c>
      <c r="R708" s="9">
        <f t="shared" si="138"/>
        <v>6828</v>
      </c>
      <c r="S708" s="9">
        <f t="shared" si="139"/>
        <v>7469725</v>
      </c>
      <c r="T708" s="15">
        <f t="shared" si="140"/>
        <v>16.686436250344954</v>
      </c>
      <c r="U708" s="15">
        <f>IF(O708="Exclude",0,G708*Fuel_Price!$B$2)</f>
        <v>1905.2144840000001</v>
      </c>
      <c r="V708" s="15">
        <f t="shared" si="141"/>
        <v>2989922.7577359979</v>
      </c>
    </row>
    <row r="709" spans="1:22">
      <c r="A709" s="1" t="s">
        <v>1812</v>
      </c>
      <c r="B709" s="1" t="s">
        <v>1813</v>
      </c>
      <c r="C709" s="1" t="s">
        <v>1803</v>
      </c>
      <c r="D709" s="1" t="s">
        <v>12</v>
      </c>
      <c r="E709" s="12">
        <v>4801</v>
      </c>
      <c r="F709" s="12" t="s">
        <v>13</v>
      </c>
      <c r="G709" s="6">
        <v>929.73</v>
      </c>
      <c r="H709" s="1">
        <v>23.48</v>
      </c>
      <c r="J709" t="str">
        <f t="shared" si="132"/>
        <v>OK</v>
      </c>
      <c r="K709" t="str">
        <f t="shared" si="133"/>
        <v>OK</v>
      </c>
      <c r="L709">
        <f t="shared" si="142"/>
        <v>12</v>
      </c>
      <c r="M709">
        <f t="shared" si="134"/>
        <v>10</v>
      </c>
      <c r="N709" s="9" t="str">
        <f t="shared" si="131"/>
        <v>Valid</v>
      </c>
      <c r="O709" t="str">
        <f t="shared" si="135"/>
        <v>Include</v>
      </c>
      <c r="P709" s="9">
        <f t="shared" si="136"/>
        <v>2035068.5799999984</v>
      </c>
      <c r="Q709" s="15">
        <f t="shared" si="137"/>
        <v>7469725</v>
      </c>
      <c r="R709" s="9">
        <f t="shared" si="138"/>
        <v>4801</v>
      </c>
      <c r="S709" s="9">
        <f t="shared" si="139"/>
        <v>7469725</v>
      </c>
      <c r="T709" s="15">
        <f t="shared" si="140"/>
        <v>16.686436250344954</v>
      </c>
      <c r="U709" s="15">
        <f>IF(O709="Exclude",0,G709*Fuel_Price!$B$2)</f>
        <v>1365.9593160000002</v>
      </c>
      <c r="V709" s="15">
        <f t="shared" si="141"/>
        <v>2989922.7577359979</v>
      </c>
    </row>
    <row r="710" spans="1:22">
      <c r="A710" s="1" t="s">
        <v>1814</v>
      </c>
      <c r="B710" s="1" t="s">
        <v>1815</v>
      </c>
      <c r="C710" s="1" t="s">
        <v>1803</v>
      </c>
      <c r="D710" s="1" t="s">
        <v>12</v>
      </c>
      <c r="E710" s="12">
        <v>6184</v>
      </c>
      <c r="F710" s="12" t="s">
        <v>13</v>
      </c>
      <c r="G710" s="6">
        <v>1307.82</v>
      </c>
      <c r="H710" s="1">
        <v>21.5</v>
      </c>
      <c r="J710" t="str">
        <f t="shared" si="132"/>
        <v>OK</v>
      </c>
      <c r="K710" t="str">
        <f t="shared" si="133"/>
        <v>OK</v>
      </c>
      <c r="L710">
        <f t="shared" si="142"/>
        <v>12</v>
      </c>
      <c r="M710">
        <f t="shared" si="134"/>
        <v>10</v>
      </c>
      <c r="N710" s="9" t="str">
        <f t="shared" si="131"/>
        <v>Valid</v>
      </c>
      <c r="O710" t="str">
        <f t="shared" si="135"/>
        <v>Include</v>
      </c>
      <c r="P710" s="9">
        <f t="shared" si="136"/>
        <v>2035068.5799999984</v>
      </c>
      <c r="Q710" s="15">
        <f t="shared" si="137"/>
        <v>7469725</v>
      </c>
      <c r="R710" s="9">
        <f t="shared" si="138"/>
        <v>6184</v>
      </c>
      <c r="S710" s="9">
        <f t="shared" si="139"/>
        <v>7469725</v>
      </c>
      <c r="T710" s="15">
        <f t="shared" si="140"/>
        <v>16.686436250344954</v>
      </c>
      <c r="U710" s="15">
        <f>IF(O710="Exclude",0,G710*Fuel_Price!$B$2)</f>
        <v>1921.4491439999999</v>
      </c>
      <c r="V710" s="15">
        <f t="shared" si="141"/>
        <v>2989922.7577359979</v>
      </c>
    </row>
    <row r="711" spans="1:22">
      <c r="A711" s="1" t="s">
        <v>1816</v>
      </c>
      <c r="B711" s="1" t="s">
        <v>1817</v>
      </c>
      <c r="C711" s="1" t="s">
        <v>1803</v>
      </c>
      <c r="D711" s="1" t="s">
        <v>12</v>
      </c>
      <c r="E711" s="12">
        <v>5783</v>
      </c>
      <c r="F711" s="12" t="s">
        <v>13</v>
      </c>
      <c r="G711" s="6">
        <v>1054.6500000000001</v>
      </c>
      <c r="H711" s="1">
        <v>24.93</v>
      </c>
      <c r="J711" t="str">
        <f t="shared" si="132"/>
        <v>OK</v>
      </c>
      <c r="K711" t="str">
        <f t="shared" si="133"/>
        <v>OK</v>
      </c>
      <c r="L711">
        <f t="shared" si="142"/>
        <v>12</v>
      </c>
      <c r="M711">
        <f t="shared" si="134"/>
        <v>10</v>
      </c>
      <c r="N711" s="9" t="str">
        <f t="shared" ref="N711:N774" si="143">IF(OR(H711&lt;=0,H711&gt;100,E711&lt;0),"Review","Valid")</f>
        <v>Valid</v>
      </c>
      <c r="O711" t="str">
        <f t="shared" si="135"/>
        <v>Include</v>
      </c>
      <c r="P711" s="9">
        <f t="shared" si="136"/>
        <v>2035068.5799999984</v>
      </c>
      <c r="Q711" s="15">
        <f t="shared" si="137"/>
        <v>7469725</v>
      </c>
      <c r="R711" s="9">
        <f t="shared" si="138"/>
        <v>5783</v>
      </c>
      <c r="S711" s="9">
        <f t="shared" si="139"/>
        <v>7469725</v>
      </c>
      <c r="T711" s="15">
        <f t="shared" si="140"/>
        <v>16.686436250344954</v>
      </c>
      <c r="U711" s="15">
        <f>IF(O711="Exclude",0,G711*Fuel_Price!$B$2)</f>
        <v>1549.4917800000003</v>
      </c>
      <c r="V711" s="15">
        <f t="shared" si="141"/>
        <v>2989922.7577359979</v>
      </c>
    </row>
    <row r="712" spans="1:22">
      <c r="A712" s="1" t="s">
        <v>1818</v>
      </c>
      <c r="B712" s="1" t="s">
        <v>1819</v>
      </c>
      <c r="C712" s="1" t="s">
        <v>1820</v>
      </c>
      <c r="D712" s="1" t="s">
        <v>12</v>
      </c>
      <c r="E712" s="12">
        <v>7898</v>
      </c>
      <c r="F712" s="12" t="s">
        <v>13</v>
      </c>
      <c r="G712" s="6">
        <v>1360.29</v>
      </c>
      <c r="H712" s="1">
        <v>26.4</v>
      </c>
      <c r="J712" t="str">
        <f t="shared" si="132"/>
        <v>OK</v>
      </c>
      <c r="K712" t="str">
        <f t="shared" si="133"/>
        <v>OK</v>
      </c>
      <c r="L712">
        <f t="shared" si="142"/>
        <v>12</v>
      </c>
      <c r="M712">
        <f t="shared" si="134"/>
        <v>10</v>
      </c>
      <c r="N712" s="9" t="str">
        <f t="shared" si="143"/>
        <v>Valid</v>
      </c>
      <c r="O712" t="str">
        <f t="shared" si="135"/>
        <v>Include</v>
      </c>
      <c r="P712" s="9">
        <f t="shared" si="136"/>
        <v>2035068.5799999984</v>
      </c>
      <c r="Q712" s="15">
        <f t="shared" si="137"/>
        <v>7469725</v>
      </c>
      <c r="R712" s="9">
        <f t="shared" si="138"/>
        <v>7898</v>
      </c>
      <c r="S712" s="9">
        <f t="shared" si="139"/>
        <v>7469725</v>
      </c>
      <c r="T712" s="15">
        <f t="shared" si="140"/>
        <v>16.686436250344954</v>
      </c>
      <c r="U712" s="15">
        <f>IF(O712="Exclude",0,G712*Fuel_Price!$B$2)</f>
        <v>1998.5380680000001</v>
      </c>
      <c r="V712" s="15">
        <f t="shared" si="141"/>
        <v>2989922.7577359979</v>
      </c>
    </row>
    <row r="713" spans="1:22">
      <c r="A713" s="1" t="s">
        <v>1821</v>
      </c>
      <c r="B713" s="1" t="s">
        <v>1822</v>
      </c>
      <c r="C713" s="1" t="s">
        <v>1783</v>
      </c>
      <c r="D713" s="1" t="s">
        <v>12</v>
      </c>
      <c r="E713" s="12">
        <v>4434</v>
      </c>
      <c r="F713" s="12" t="s">
        <v>13</v>
      </c>
      <c r="G713" s="6">
        <v>882.72</v>
      </c>
      <c r="H713" s="1">
        <v>22.84</v>
      </c>
      <c r="J713" t="str">
        <f t="shared" si="132"/>
        <v>OK</v>
      </c>
      <c r="K713" t="str">
        <f t="shared" si="133"/>
        <v>OK</v>
      </c>
      <c r="L713">
        <f t="shared" si="142"/>
        <v>12</v>
      </c>
      <c r="M713">
        <f t="shared" si="134"/>
        <v>10</v>
      </c>
      <c r="N713" s="9" t="str">
        <f t="shared" si="143"/>
        <v>Valid</v>
      </c>
      <c r="O713" t="str">
        <f t="shared" si="135"/>
        <v>Include</v>
      </c>
      <c r="P713" s="9">
        <f t="shared" si="136"/>
        <v>2035068.5799999984</v>
      </c>
      <c r="Q713" s="15">
        <f t="shared" si="137"/>
        <v>7469725</v>
      </c>
      <c r="R713" s="9">
        <f t="shared" si="138"/>
        <v>4434</v>
      </c>
      <c r="S713" s="9">
        <f t="shared" si="139"/>
        <v>7469725</v>
      </c>
      <c r="T713" s="15">
        <f t="shared" si="140"/>
        <v>16.686436250344954</v>
      </c>
      <c r="U713" s="15">
        <f>IF(O713="Exclude",0,G713*Fuel_Price!$B$2)</f>
        <v>1296.8922240000002</v>
      </c>
      <c r="V713" s="15">
        <f t="shared" si="141"/>
        <v>2989922.7577359979</v>
      </c>
    </row>
    <row r="714" spans="1:22">
      <c r="A714" s="1" t="s">
        <v>1823</v>
      </c>
      <c r="B714" s="1" t="s">
        <v>1824</v>
      </c>
      <c r="C714" s="1" t="s">
        <v>1803</v>
      </c>
      <c r="D714" s="1" t="s">
        <v>12</v>
      </c>
      <c r="E714" s="12">
        <v>4684</v>
      </c>
      <c r="F714" s="12" t="s">
        <v>13</v>
      </c>
      <c r="G714" s="6">
        <v>938.61</v>
      </c>
      <c r="H714" s="1">
        <v>22.69</v>
      </c>
      <c r="J714" t="str">
        <f t="shared" si="132"/>
        <v>OK</v>
      </c>
      <c r="K714" t="str">
        <f t="shared" si="133"/>
        <v>OK</v>
      </c>
      <c r="L714">
        <f t="shared" si="142"/>
        <v>12</v>
      </c>
      <c r="M714">
        <f t="shared" si="134"/>
        <v>10</v>
      </c>
      <c r="N714" s="9" t="str">
        <f t="shared" si="143"/>
        <v>Valid</v>
      </c>
      <c r="O714" t="str">
        <f t="shared" si="135"/>
        <v>Include</v>
      </c>
      <c r="P714" s="9">
        <f t="shared" si="136"/>
        <v>2035068.5799999984</v>
      </c>
      <c r="Q714" s="15">
        <f t="shared" si="137"/>
        <v>7469725</v>
      </c>
      <c r="R714" s="9">
        <f t="shared" si="138"/>
        <v>4684</v>
      </c>
      <c r="S714" s="9">
        <f t="shared" si="139"/>
        <v>7469725</v>
      </c>
      <c r="T714" s="15">
        <f t="shared" si="140"/>
        <v>16.686436250344954</v>
      </c>
      <c r="U714" s="15">
        <f>IF(O714="Exclude",0,G714*Fuel_Price!$B$2)</f>
        <v>1379.0058120000001</v>
      </c>
      <c r="V714" s="15">
        <f t="shared" si="141"/>
        <v>2989922.7577359979</v>
      </c>
    </row>
    <row r="715" spans="1:22">
      <c r="A715" s="1" t="s">
        <v>1825</v>
      </c>
      <c r="B715" s="1" t="s">
        <v>1826</v>
      </c>
      <c r="C715" s="1" t="s">
        <v>1827</v>
      </c>
      <c r="D715" s="1" t="s">
        <v>12</v>
      </c>
      <c r="E715" s="12">
        <v>4022</v>
      </c>
      <c r="F715" s="12" t="s">
        <v>13</v>
      </c>
      <c r="G715" s="6">
        <v>851.1</v>
      </c>
      <c r="H715" s="1">
        <v>21.48</v>
      </c>
      <c r="J715" t="str">
        <f t="shared" si="132"/>
        <v>OK</v>
      </c>
      <c r="K715" t="str">
        <f t="shared" si="133"/>
        <v>OK</v>
      </c>
      <c r="L715">
        <f t="shared" si="142"/>
        <v>12</v>
      </c>
      <c r="M715">
        <f t="shared" si="134"/>
        <v>10</v>
      </c>
      <c r="N715" s="9" t="str">
        <f t="shared" si="143"/>
        <v>Valid</v>
      </c>
      <c r="O715" t="str">
        <f t="shared" si="135"/>
        <v>Include</v>
      </c>
      <c r="P715" s="9">
        <f t="shared" si="136"/>
        <v>2035068.5799999984</v>
      </c>
      <c r="Q715" s="15">
        <f t="shared" si="137"/>
        <v>7469725</v>
      </c>
      <c r="R715" s="9">
        <f t="shared" si="138"/>
        <v>4022</v>
      </c>
      <c r="S715" s="9">
        <f t="shared" si="139"/>
        <v>7469725</v>
      </c>
      <c r="T715" s="15">
        <f t="shared" si="140"/>
        <v>16.686436250344954</v>
      </c>
      <c r="U715" s="15">
        <f>IF(O715="Exclude",0,G715*Fuel_Price!$B$2)</f>
        <v>1250.4361200000001</v>
      </c>
      <c r="V715" s="15">
        <f t="shared" si="141"/>
        <v>2989922.7577359979</v>
      </c>
    </row>
    <row r="716" spans="1:22">
      <c r="A716" s="1" t="s">
        <v>1828</v>
      </c>
      <c r="B716" s="1" t="s">
        <v>1829</v>
      </c>
      <c r="C716" s="1" t="s">
        <v>1803</v>
      </c>
      <c r="D716" s="1" t="s">
        <v>12</v>
      </c>
      <c r="E716" s="12">
        <v>6679</v>
      </c>
      <c r="F716" s="12" t="s">
        <v>13</v>
      </c>
      <c r="G716" s="6">
        <v>1284.69</v>
      </c>
      <c r="H716" s="1">
        <v>23.63</v>
      </c>
      <c r="J716" t="str">
        <f t="shared" si="132"/>
        <v>OK</v>
      </c>
      <c r="K716" t="str">
        <f t="shared" si="133"/>
        <v>OK</v>
      </c>
      <c r="L716">
        <f t="shared" si="142"/>
        <v>12</v>
      </c>
      <c r="M716">
        <f t="shared" si="134"/>
        <v>10</v>
      </c>
      <c r="N716" s="9" t="str">
        <f t="shared" si="143"/>
        <v>Valid</v>
      </c>
      <c r="O716" t="str">
        <f t="shared" si="135"/>
        <v>Include</v>
      </c>
      <c r="P716" s="9">
        <f t="shared" si="136"/>
        <v>2035068.5799999984</v>
      </c>
      <c r="Q716" s="15">
        <f t="shared" si="137"/>
        <v>7469725</v>
      </c>
      <c r="R716" s="9">
        <f t="shared" si="138"/>
        <v>6679</v>
      </c>
      <c r="S716" s="9">
        <f t="shared" si="139"/>
        <v>7469725</v>
      </c>
      <c r="T716" s="15">
        <f t="shared" si="140"/>
        <v>16.686436250344954</v>
      </c>
      <c r="U716" s="15">
        <f>IF(O716="Exclude",0,G716*Fuel_Price!$B$2)</f>
        <v>1887.4665480000001</v>
      </c>
      <c r="V716" s="15">
        <f t="shared" si="141"/>
        <v>2989922.7577359979</v>
      </c>
    </row>
    <row r="717" spans="1:22">
      <c r="A717" s="1" t="s">
        <v>1830</v>
      </c>
      <c r="B717" s="1" t="s">
        <v>1831</v>
      </c>
      <c r="C717" s="1" t="s">
        <v>1803</v>
      </c>
      <c r="D717" s="1" t="s">
        <v>12</v>
      </c>
      <c r="E717" s="12">
        <v>10436</v>
      </c>
      <c r="F717" s="12" t="s">
        <v>13</v>
      </c>
      <c r="G717" s="6">
        <v>1873.58</v>
      </c>
      <c r="H717" s="1">
        <v>25.32</v>
      </c>
      <c r="J717" t="str">
        <f t="shared" si="132"/>
        <v>OK</v>
      </c>
      <c r="K717" t="str">
        <f t="shared" si="133"/>
        <v>OK</v>
      </c>
      <c r="L717">
        <f t="shared" si="142"/>
        <v>12</v>
      </c>
      <c r="M717">
        <f t="shared" si="134"/>
        <v>10</v>
      </c>
      <c r="N717" s="9" t="str">
        <f t="shared" si="143"/>
        <v>Valid</v>
      </c>
      <c r="O717" t="str">
        <f t="shared" si="135"/>
        <v>Include</v>
      </c>
      <c r="P717" s="9">
        <f t="shared" si="136"/>
        <v>2035068.5799999984</v>
      </c>
      <c r="Q717" s="15">
        <f t="shared" si="137"/>
        <v>7469725</v>
      </c>
      <c r="R717" s="9">
        <f t="shared" si="138"/>
        <v>10436</v>
      </c>
      <c r="S717" s="9">
        <f t="shared" si="139"/>
        <v>7469725</v>
      </c>
      <c r="T717" s="15">
        <f t="shared" si="140"/>
        <v>16.686436250344954</v>
      </c>
      <c r="U717" s="15">
        <f>IF(O717="Exclude",0,G717*Fuel_Price!$B$2)</f>
        <v>2752.663736</v>
      </c>
      <c r="V717" s="15">
        <f t="shared" si="141"/>
        <v>2989922.7577359979</v>
      </c>
    </row>
    <row r="718" spans="1:22">
      <c r="A718" s="1" t="s">
        <v>1832</v>
      </c>
      <c r="B718" s="1" t="s">
        <v>1833</v>
      </c>
      <c r="C718" s="1" t="s">
        <v>1792</v>
      </c>
      <c r="D718" s="1" t="s">
        <v>12</v>
      </c>
      <c r="E718" s="12">
        <v>7179</v>
      </c>
      <c r="F718" s="12" t="s">
        <v>13</v>
      </c>
      <c r="G718" s="6">
        <v>1395.3</v>
      </c>
      <c r="H718" s="1">
        <v>23.39</v>
      </c>
      <c r="J718" t="str">
        <f t="shared" si="132"/>
        <v>OK</v>
      </c>
      <c r="K718" t="str">
        <f t="shared" si="133"/>
        <v>OK</v>
      </c>
      <c r="L718">
        <f t="shared" si="142"/>
        <v>12</v>
      </c>
      <c r="M718">
        <f t="shared" si="134"/>
        <v>10</v>
      </c>
      <c r="N718" s="9" t="str">
        <f t="shared" si="143"/>
        <v>Valid</v>
      </c>
      <c r="O718" t="str">
        <f t="shared" si="135"/>
        <v>Include</v>
      </c>
      <c r="P718" s="9">
        <f t="shared" si="136"/>
        <v>2035068.5799999984</v>
      </c>
      <c r="Q718" s="15">
        <f t="shared" si="137"/>
        <v>7469725</v>
      </c>
      <c r="R718" s="9">
        <f t="shared" si="138"/>
        <v>7179</v>
      </c>
      <c r="S718" s="9">
        <f t="shared" si="139"/>
        <v>7469725</v>
      </c>
      <c r="T718" s="15">
        <f t="shared" si="140"/>
        <v>16.686436250344954</v>
      </c>
      <c r="U718" s="15">
        <f>IF(O718="Exclude",0,G718*Fuel_Price!$B$2)</f>
        <v>2049.9747600000001</v>
      </c>
      <c r="V718" s="15">
        <f t="shared" si="141"/>
        <v>2989922.7577359979</v>
      </c>
    </row>
    <row r="719" spans="1:22">
      <c r="A719" s="1" t="s">
        <v>1834</v>
      </c>
      <c r="B719" s="1" t="s">
        <v>1835</v>
      </c>
      <c r="C719" s="1" t="s">
        <v>1803</v>
      </c>
      <c r="D719" s="1" t="s">
        <v>12</v>
      </c>
      <c r="E719" s="12">
        <v>6159</v>
      </c>
      <c r="F719" s="12" t="s">
        <v>13</v>
      </c>
      <c r="G719" s="6">
        <v>1310.3599999999999</v>
      </c>
      <c r="H719" s="1">
        <v>21.37</v>
      </c>
      <c r="J719" t="str">
        <f t="shared" si="132"/>
        <v>OK</v>
      </c>
      <c r="K719" t="str">
        <f t="shared" si="133"/>
        <v>OK</v>
      </c>
      <c r="L719">
        <f t="shared" si="142"/>
        <v>12</v>
      </c>
      <c r="M719">
        <f t="shared" si="134"/>
        <v>10</v>
      </c>
      <c r="N719" s="9" t="str">
        <f t="shared" si="143"/>
        <v>Valid</v>
      </c>
      <c r="O719" t="str">
        <f t="shared" si="135"/>
        <v>Include</v>
      </c>
      <c r="P719" s="9">
        <f t="shared" si="136"/>
        <v>2035068.5799999984</v>
      </c>
      <c r="Q719" s="15">
        <f t="shared" si="137"/>
        <v>7469725</v>
      </c>
      <c r="R719" s="9">
        <f t="shared" si="138"/>
        <v>6159</v>
      </c>
      <c r="S719" s="9">
        <f t="shared" si="139"/>
        <v>7469725</v>
      </c>
      <c r="T719" s="15">
        <f t="shared" si="140"/>
        <v>16.686436250344954</v>
      </c>
      <c r="U719" s="15">
        <f>IF(O719="Exclude",0,G719*Fuel_Price!$B$2)</f>
        <v>1925.180912</v>
      </c>
      <c r="V719" s="15">
        <f t="shared" si="141"/>
        <v>2989922.7577359979</v>
      </c>
    </row>
    <row r="720" spans="1:22">
      <c r="A720" s="1" t="s">
        <v>1836</v>
      </c>
      <c r="B720" s="1" t="s">
        <v>1837</v>
      </c>
      <c r="C720" s="1" t="s">
        <v>1803</v>
      </c>
      <c r="D720" s="1" t="s">
        <v>12</v>
      </c>
      <c r="E720" s="12">
        <v>4536</v>
      </c>
      <c r="F720" s="12" t="s">
        <v>13</v>
      </c>
      <c r="G720" s="6">
        <v>845.02</v>
      </c>
      <c r="H720" s="1">
        <v>24.4</v>
      </c>
      <c r="J720" t="str">
        <f t="shared" si="132"/>
        <v>OK</v>
      </c>
      <c r="K720" t="str">
        <f t="shared" si="133"/>
        <v>OK</v>
      </c>
      <c r="L720">
        <f t="shared" si="142"/>
        <v>12</v>
      </c>
      <c r="M720">
        <f t="shared" si="134"/>
        <v>10</v>
      </c>
      <c r="N720" s="9" t="str">
        <f t="shared" si="143"/>
        <v>Valid</v>
      </c>
      <c r="O720" t="str">
        <f t="shared" si="135"/>
        <v>Include</v>
      </c>
      <c r="P720" s="9">
        <f t="shared" si="136"/>
        <v>2035068.5799999984</v>
      </c>
      <c r="Q720" s="15">
        <f t="shared" si="137"/>
        <v>7469725</v>
      </c>
      <c r="R720" s="9">
        <f t="shared" si="138"/>
        <v>4536</v>
      </c>
      <c r="S720" s="9">
        <f t="shared" si="139"/>
        <v>7469725</v>
      </c>
      <c r="T720" s="15">
        <f t="shared" si="140"/>
        <v>16.686436250344954</v>
      </c>
      <c r="U720" s="15">
        <f>IF(O720="Exclude",0,G720*Fuel_Price!$B$2)</f>
        <v>1241.5033840000001</v>
      </c>
      <c r="V720" s="15">
        <f t="shared" si="141"/>
        <v>2989922.7577359979</v>
      </c>
    </row>
    <row r="721" spans="1:22">
      <c r="A721" s="1" t="s">
        <v>1838</v>
      </c>
      <c r="B721" s="1" t="s">
        <v>1839</v>
      </c>
      <c r="C721" s="1" t="s">
        <v>1792</v>
      </c>
      <c r="D721" s="1" t="s">
        <v>12</v>
      </c>
      <c r="E721" s="12">
        <v>7211</v>
      </c>
      <c r="F721" s="12" t="s">
        <v>13</v>
      </c>
      <c r="G721" s="6">
        <v>1616.88</v>
      </c>
      <c r="H721" s="1">
        <v>20.27</v>
      </c>
      <c r="J721" t="str">
        <f t="shared" si="132"/>
        <v>OK</v>
      </c>
      <c r="K721" t="str">
        <f t="shared" si="133"/>
        <v>OK</v>
      </c>
      <c r="L721">
        <f t="shared" si="142"/>
        <v>12</v>
      </c>
      <c r="M721">
        <f t="shared" si="134"/>
        <v>10</v>
      </c>
      <c r="N721" s="9" t="str">
        <f t="shared" si="143"/>
        <v>Valid</v>
      </c>
      <c r="O721" t="str">
        <f t="shared" si="135"/>
        <v>Include</v>
      </c>
      <c r="P721" s="9">
        <f t="shared" si="136"/>
        <v>2035068.5799999984</v>
      </c>
      <c r="Q721" s="15">
        <f t="shared" si="137"/>
        <v>7469725</v>
      </c>
      <c r="R721" s="9">
        <f t="shared" si="138"/>
        <v>7211</v>
      </c>
      <c r="S721" s="9">
        <f t="shared" si="139"/>
        <v>7469725</v>
      </c>
      <c r="T721" s="15">
        <f t="shared" si="140"/>
        <v>16.686436250344954</v>
      </c>
      <c r="U721" s="15">
        <f>IF(O721="Exclude",0,G721*Fuel_Price!$B$2)</f>
        <v>2375.5200960000002</v>
      </c>
      <c r="V721" s="15">
        <f t="shared" si="141"/>
        <v>2989922.7577359979</v>
      </c>
    </row>
    <row r="722" spans="1:22">
      <c r="A722" s="1" t="s">
        <v>1840</v>
      </c>
      <c r="B722" s="1" t="s">
        <v>1841</v>
      </c>
      <c r="C722" s="1" t="s">
        <v>1803</v>
      </c>
      <c r="D722" s="1" t="s">
        <v>12</v>
      </c>
      <c r="E722" s="12">
        <v>6886</v>
      </c>
      <c r="F722" s="12" t="s">
        <v>13</v>
      </c>
      <c r="G722" s="6">
        <v>1126.49</v>
      </c>
      <c r="H722" s="1">
        <v>27.79</v>
      </c>
      <c r="J722" t="str">
        <f t="shared" si="132"/>
        <v>OK</v>
      </c>
      <c r="K722" t="str">
        <f t="shared" si="133"/>
        <v>OK</v>
      </c>
      <c r="L722">
        <f t="shared" si="142"/>
        <v>12</v>
      </c>
      <c r="M722">
        <f t="shared" si="134"/>
        <v>10</v>
      </c>
      <c r="N722" s="9" t="str">
        <f t="shared" si="143"/>
        <v>Valid</v>
      </c>
      <c r="O722" t="str">
        <f t="shared" si="135"/>
        <v>Include</v>
      </c>
      <c r="P722" s="9">
        <f t="shared" si="136"/>
        <v>2035068.5799999984</v>
      </c>
      <c r="Q722" s="15">
        <f t="shared" si="137"/>
        <v>7469725</v>
      </c>
      <c r="R722" s="9">
        <f t="shared" si="138"/>
        <v>6886</v>
      </c>
      <c r="S722" s="9">
        <f t="shared" si="139"/>
        <v>7469725</v>
      </c>
      <c r="T722" s="15">
        <f t="shared" si="140"/>
        <v>16.686436250344954</v>
      </c>
      <c r="U722" s="15">
        <f>IF(O722="Exclude",0,G722*Fuel_Price!$B$2)</f>
        <v>1655.0391080000002</v>
      </c>
      <c r="V722" s="15">
        <f t="shared" si="141"/>
        <v>2989922.7577359979</v>
      </c>
    </row>
    <row r="723" spans="1:22">
      <c r="A723" s="1" t="s">
        <v>1842</v>
      </c>
      <c r="B723" s="1" t="s">
        <v>1843</v>
      </c>
      <c r="C723" s="1" t="s">
        <v>1844</v>
      </c>
      <c r="D723" s="1" t="s">
        <v>12</v>
      </c>
      <c r="E723" s="12">
        <v>6775</v>
      </c>
      <c r="F723" s="12" t="s">
        <v>13</v>
      </c>
      <c r="G723" s="6">
        <v>1179.48</v>
      </c>
      <c r="H723" s="1">
        <v>26.11</v>
      </c>
      <c r="J723" t="str">
        <f t="shared" si="132"/>
        <v>OK</v>
      </c>
      <c r="K723" t="str">
        <f t="shared" si="133"/>
        <v>OK</v>
      </c>
      <c r="L723">
        <f t="shared" si="142"/>
        <v>12</v>
      </c>
      <c r="M723">
        <f t="shared" si="134"/>
        <v>10</v>
      </c>
      <c r="N723" s="9" t="str">
        <f t="shared" si="143"/>
        <v>Valid</v>
      </c>
      <c r="O723" t="str">
        <f t="shared" si="135"/>
        <v>Include</v>
      </c>
      <c r="P723" s="9">
        <f t="shared" si="136"/>
        <v>2035068.5799999984</v>
      </c>
      <c r="Q723" s="15">
        <f t="shared" si="137"/>
        <v>7469725</v>
      </c>
      <c r="R723" s="9">
        <f t="shared" si="138"/>
        <v>6775</v>
      </c>
      <c r="S723" s="9">
        <f t="shared" si="139"/>
        <v>7469725</v>
      </c>
      <c r="T723" s="15">
        <f t="shared" si="140"/>
        <v>16.686436250344954</v>
      </c>
      <c r="U723" s="15">
        <f>IF(O723="Exclude",0,G723*Fuel_Price!$B$2)</f>
        <v>1732.892016</v>
      </c>
      <c r="V723" s="15">
        <f t="shared" si="141"/>
        <v>2989922.7577359979</v>
      </c>
    </row>
    <row r="724" spans="1:22">
      <c r="A724" s="1" t="s">
        <v>1845</v>
      </c>
      <c r="B724" s="1" t="s">
        <v>1846</v>
      </c>
      <c r="C724" s="1" t="s">
        <v>1844</v>
      </c>
      <c r="D724" s="1" t="s">
        <v>12</v>
      </c>
      <c r="E724" s="12">
        <v>6390</v>
      </c>
      <c r="F724" s="12" t="s">
        <v>13</v>
      </c>
      <c r="G724" s="6">
        <v>1132.17</v>
      </c>
      <c r="H724" s="1">
        <v>25.66</v>
      </c>
      <c r="J724" t="str">
        <f t="shared" si="132"/>
        <v>OK</v>
      </c>
      <c r="K724" t="str">
        <f t="shared" si="133"/>
        <v>OK</v>
      </c>
      <c r="L724">
        <f t="shared" si="142"/>
        <v>12</v>
      </c>
      <c r="M724">
        <f t="shared" si="134"/>
        <v>10</v>
      </c>
      <c r="N724" s="9" t="str">
        <f t="shared" si="143"/>
        <v>Valid</v>
      </c>
      <c r="O724" t="str">
        <f t="shared" si="135"/>
        <v>Include</v>
      </c>
      <c r="P724" s="9">
        <f t="shared" si="136"/>
        <v>2035068.5799999984</v>
      </c>
      <c r="Q724" s="15">
        <f t="shared" si="137"/>
        <v>7469725</v>
      </c>
      <c r="R724" s="9">
        <f t="shared" si="138"/>
        <v>6390</v>
      </c>
      <c r="S724" s="9">
        <f t="shared" si="139"/>
        <v>7469725</v>
      </c>
      <c r="T724" s="15">
        <f t="shared" si="140"/>
        <v>16.686436250344954</v>
      </c>
      <c r="U724" s="15">
        <f>IF(O724="Exclude",0,G724*Fuel_Price!$B$2)</f>
        <v>1663.3841640000003</v>
      </c>
      <c r="V724" s="15">
        <f t="shared" si="141"/>
        <v>2989922.7577359979</v>
      </c>
    </row>
    <row r="725" spans="1:22">
      <c r="A725" s="1" t="s">
        <v>1847</v>
      </c>
      <c r="B725" s="1" t="s">
        <v>1848</v>
      </c>
      <c r="C725" s="1" t="s">
        <v>1792</v>
      </c>
      <c r="D725" s="1" t="s">
        <v>12</v>
      </c>
      <c r="E725" s="12">
        <v>7257</v>
      </c>
      <c r="F725" s="12" t="s">
        <v>13</v>
      </c>
      <c r="G725" s="6">
        <v>1015.25</v>
      </c>
      <c r="H725" s="1">
        <v>32.5</v>
      </c>
      <c r="J725" t="str">
        <f t="shared" si="132"/>
        <v>OK</v>
      </c>
      <c r="K725" t="str">
        <f t="shared" si="133"/>
        <v>OK</v>
      </c>
      <c r="L725">
        <f t="shared" si="142"/>
        <v>12</v>
      </c>
      <c r="M725">
        <f t="shared" si="134"/>
        <v>10</v>
      </c>
      <c r="N725" s="9" t="str">
        <f t="shared" si="143"/>
        <v>Valid</v>
      </c>
      <c r="O725" t="str">
        <f t="shared" si="135"/>
        <v>Include</v>
      </c>
      <c r="P725" s="9">
        <f t="shared" si="136"/>
        <v>2035068.5799999984</v>
      </c>
      <c r="Q725" s="15">
        <f t="shared" si="137"/>
        <v>7469725</v>
      </c>
      <c r="R725" s="9">
        <f t="shared" si="138"/>
        <v>7257</v>
      </c>
      <c r="S725" s="9">
        <f t="shared" si="139"/>
        <v>7469725</v>
      </c>
      <c r="T725" s="15">
        <f t="shared" si="140"/>
        <v>16.686436250344954</v>
      </c>
      <c r="U725" s="15">
        <f>IF(O725="Exclude",0,G725*Fuel_Price!$B$2)</f>
        <v>1491.6053000000002</v>
      </c>
      <c r="V725" s="15">
        <f t="shared" si="141"/>
        <v>2989922.7577359979</v>
      </c>
    </row>
    <row r="726" spans="1:22">
      <c r="A726" s="1" t="s">
        <v>1849</v>
      </c>
      <c r="B726" s="1" t="s">
        <v>1850</v>
      </c>
      <c r="C726" s="1" t="s">
        <v>1844</v>
      </c>
      <c r="D726" s="1" t="s">
        <v>12</v>
      </c>
      <c r="E726" s="12">
        <v>4761</v>
      </c>
      <c r="F726" s="12" t="s">
        <v>13</v>
      </c>
      <c r="G726" s="6">
        <v>881.81</v>
      </c>
      <c r="H726" s="1">
        <v>24.54</v>
      </c>
      <c r="J726" t="str">
        <f t="shared" si="132"/>
        <v>OK</v>
      </c>
      <c r="K726" t="str">
        <f t="shared" si="133"/>
        <v>OK</v>
      </c>
      <c r="L726">
        <f t="shared" si="142"/>
        <v>12</v>
      </c>
      <c r="M726">
        <f t="shared" si="134"/>
        <v>10</v>
      </c>
      <c r="N726" s="9" t="str">
        <f t="shared" si="143"/>
        <v>Valid</v>
      </c>
      <c r="O726" t="str">
        <f t="shared" si="135"/>
        <v>Include</v>
      </c>
      <c r="P726" s="9">
        <f t="shared" si="136"/>
        <v>2035068.5799999984</v>
      </c>
      <c r="Q726" s="15">
        <f t="shared" si="137"/>
        <v>7469725</v>
      </c>
      <c r="R726" s="9">
        <f t="shared" si="138"/>
        <v>4761</v>
      </c>
      <c r="S726" s="9">
        <f t="shared" si="139"/>
        <v>7469725</v>
      </c>
      <c r="T726" s="15">
        <f t="shared" si="140"/>
        <v>16.686436250344954</v>
      </c>
      <c r="U726" s="15">
        <f>IF(O726="Exclude",0,G726*Fuel_Price!$B$2)</f>
        <v>1295.5552519999999</v>
      </c>
      <c r="V726" s="15">
        <f t="shared" si="141"/>
        <v>2989922.7577359979</v>
      </c>
    </row>
    <row r="727" spans="1:22">
      <c r="A727" s="1" t="s">
        <v>1851</v>
      </c>
      <c r="B727" s="1" t="s">
        <v>1852</v>
      </c>
      <c r="C727" s="1" t="s">
        <v>1844</v>
      </c>
      <c r="D727" s="1" t="s">
        <v>12</v>
      </c>
      <c r="E727" s="12">
        <v>6933</v>
      </c>
      <c r="F727" s="12" t="s">
        <v>13</v>
      </c>
      <c r="G727" s="6">
        <v>864.54</v>
      </c>
      <c r="H727" s="1">
        <v>36.46</v>
      </c>
      <c r="J727" t="str">
        <f t="shared" si="132"/>
        <v>OK</v>
      </c>
      <c r="K727" t="str">
        <f t="shared" si="133"/>
        <v>OK</v>
      </c>
      <c r="L727">
        <f t="shared" si="142"/>
        <v>12</v>
      </c>
      <c r="M727">
        <f t="shared" si="134"/>
        <v>10</v>
      </c>
      <c r="N727" s="9" t="str">
        <f t="shared" si="143"/>
        <v>Valid</v>
      </c>
      <c r="O727" t="str">
        <f t="shared" si="135"/>
        <v>Include</v>
      </c>
      <c r="P727" s="9">
        <f t="shared" si="136"/>
        <v>2035068.5799999984</v>
      </c>
      <c r="Q727" s="15">
        <f t="shared" si="137"/>
        <v>7469725</v>
      </c>
      <c r="R727" s="9">
        <f t="shared" si="138"/>
        <v>6933</v>
      </c>
      <c r="S727" s="9">
        <f t="shared" si="139"/>
        <v>7469725</v>
      </c>
      <c r="T727" s="15">
        <f t="shared" si="140"/>
        <v>16.686436250344954</v>
      </c>
      <c r="U727" s="15">
        <f>IF(O727="Exclude",0,G727*Fuel_Price!$B$2)</f>
        <v>1270.182168</v>
      </c>
      <c r="V727" s="15">
        <f t="shared" si="141"/>
        <v>2989922.7577359979</v>
      </c>
    </row>
    <row r="728" spans="1:22">
      <c r="A728" s="1" t="s">
        <v>1853</v>
      </c>
      <c r="B728" s="1" t="s">
        <v>1854</v>
      </c>
      <c r="C728" s="1" t="s">
        <v>1844</v>
      </c>
      <c r="D728" s="1" t="s">
        <v>12</v>
      </c>
      <c r="E728" s="12">
        <v>10083</v>
      </c>
      <c r="F728" s="12" t="s">
        <v>13</v>
      </c>
      <c r="G728" s="6">
        <v>2011.64</v>
      </c>
      <c r="H728" s="1">
        <v>22.79</v>
      </c>
      <c r="J728" t="str">
        <f t="shared" si="132"/>
        <v>OK</v>
      </c>
      <c r="K728" t="str">
        <f t="shared" si="133"/>
        <v>OK</v>
      </c>
      <c r="L728">
        <f t="shared" si="142"/>
        <v>12</v>
      </c>
      <c r="M728">
        <f t="shared" si="134"/>
        <v>10</v>
      </c>
      <c r="N728" s="9" t="str">
        <f t="shared" si="143"/>
        <v>Valid</v>
      </c>
      <c r="O728" t="str">
        <f t="shared" si="135"/>
        <v>Include</v>
      </c>
      <c r="P728" s="9">
        <f t="shared" si="136"/>
        <v>2035068.5799999984</v>
      </c>
      <c r="Q728" s="15">
        <f t="shared" si="137"/>
        <v>7469725</v>
      </c>
      <c r="R728" s="9">
        <f t="shared" si="138"/>
        <v>10083</v>
      </c>
      <c r="S728" s="9">
        <f t="shared" si="139"/>
        <v>7469725</v>
      </c>
      <c r="T728" s="15">
        <f t="shared" si="140"/>
        <v>16.686436250344954</v>
      </c>
      <c r="U728" s="15">
        <f>IF(O728="Exclude",0,G728*Fuel_Price!$B$2)</f>
        <v>2955.5014880000003</v>
      </c>
      <c r="V728" s="15">
        <f t="shared" si="141"/>
        <v>2989922.7577359979</v>
      </c>
    </row>
    <row r="729" spans="1:22">
      <c r="A729" s="1" t="s">
        <v>1855</v>
      </c>
      <c r="B729" s="1" t="s">
        <v>1856</v>
      </c>
      <c r="C729" s="1" t="s">
        <v>1844</v>
      </c>
      <c r="D729" s="1" t="s">
        <v>12</v>
      </c>
      <c r="E729" s="12">
        <v>9549</v>
      </c>
      <c r="F729" s="12" t="s">
        <v>13</v>
      </c>
      <c r="G729" s="6">
        <v>1868.08</v>
      </c>
      <c r="H729" s="1">
        <v>23.24</v>
      </c>
      <c r="J729" t="str">
        <f t="shared" si="132"/>
        <v>OK</v>
      </c>
      <c r="K729" t="str">
        <f t="shared" si="133"/>
        <v>OK</v>
      </c>
      <c r="L729">
        <f t="shared" si="142"/>
        <v>12</v>
      </c>
      <c r="M729">
        <f t="shared" si="134"/>
        <v>10</v>
      </c>
      <c r="N729" s="9" t="str">
        <f t="shared" si="143"/>
        <v>Valid</v>
      </c>
      <c r="O729" t="str">
        <f t="shared" si="135"/>
        <v>Include</v>
      </c>
      <c r="P729" s="9">
        <f t="shared" si="136"/>
        <v>2035068.5799999984</v>
      </c>
      <c r="Q729" s="15">
        <f t="shared" si="137"/>
        <v>7469725</v>
      </c>
      <c r="R729" s="9">
        <f t="shared" si="138"/>
        <v>9549</v>
      </c>
      <c r="S729" s="9">
        <f t="shared" si="139"/>
        <v>7469725</v>
      </c>
      <c r="T729" s="15">
        <f t="shared" si="140"/>
        <v>16.686436250344954</v>
      </c>
      <c r="U729" s="15">
        <f>IF(O729="Exclude",0,G729*Fuel_Price!$B$2)</f>
        <v>2744.5831360000002</v>
      </c>
      <c r="V729" s="15">
        <f t="shared" si="141"/>
        <v>2989922.7577359979</v>
      </c>
    </row>
    <row r="730" spans="1:22">
      <c r="A730" s="1" t="s">
        <v>1857</v>
      </c>
      <c r="B730" s="1" t="s">
        <v>1858</v>
      </c>
      <c r="C730" s="1" t="s">
        <v>1844</v>
      </c>
      <c r="D730" s="1" t="s">
        <v>12</v>
      </c>
      <c r="E730" s="12">
        <v>15715</v>
      </c>
      <c r="F730" s="12" t="s">
        <v>13</v>
      </c>
      <c r="G730" s="6">
        <v>3257.98</v>
      </c>
      <c r="H730" s="1">
        <v>21.93</v>
      </c>
      <c r="J730" t="str">
        <f t="shared" si="132"/>
        <v>OK</v>
      </c>
      <c r="K730" t="str">
        <f t="shared" si="133"/>
        <v>OK</v>
      </c>
      <c r="L730">
        <f t="shared" si="142"/>
        <v>12</v>
      </c>
      <c r="M730">
        <f t="shared" si="134"/>
        <v>10</v>
      </c>
      <c r="N730" s="9" t="str">
        <f t="shared" si="143"/>
        <v>Valid</v>
      </c>
      <c r="O730" t="str">
        <f t="shared" si="135"/>
        <v>Include</v>
      </c>
      <c r="P730" s="9">
        <f t="shared" si="136"/>
        <v>2035068.5799999984</v>
      </c>
      <c r="Q730" s="15">
        <f t="shared" si="137"/>
        <v>7469725</v>
      </c>
      <c r="R730" s="9">
        <f t="shared" si="138"/>
        <v>15715</v>
      </c>
      <c r="S730" s="9">
        <f t="shared" si="139"/>
        <v>7469725</v>
      </c>
      <c r="T730" s="15">
        <f t="shared" si="140"/>
        <v>16.686436250344954</v>
      </c>
      <c r="U730" s="15">
        <f>IF(O730="Exclude",0,G730*Fuel_Price!$B$2)</f>
        <v>4786.6242160000002</v>
      </c>
      <c r="V730" s="15">
        <f t="shared" si="141"/>
        <v>2989922.7577359979</v>
      </c>
    </row>
    <row r="731" spans="1:22">
      <c r="A731" s="1" t="s">
        <v>1859</v>
      </c>
      <c r="B731" s="1" t="s">
        <v>1860</v>
      </c>
      <c r="C731" s="1" t="s">
        <v>1861</v>
      </c>
      <c r="D731" s="1" t="s">
        <v>12</v>
      </c>
      <c r="E731" s="12">
        <v>1068</v>
      </c>
      <c r="F731" s="12" t="s">
        <v>13</v>
      </c>
      <c r="G731" s="6">
        <v>1264.43</v>
      </c>
      <c r="H731" s="1">
        <v>3.84</v>
      </c>
      <c r="J731" t="str">
        <f t="shared" si="132"/>
        <v>OK</v>
      </c>
      <c r="K731" t="str">
        <f t="shared" si="133"/>
        <v>OK</v>
      </c>
      <c r="L731">
        <f t="shared" si="142"/>
        <v>12</v>
      </c>
      <c r="M731">
        <f t="shared" si="134"/>
        <v>10</v>
      </c>
      <c r="N731" s="9" t="str">
        <f t="shared" si="143"/>
        <v>Valid</v>
      </c>
      <c r="O731" t="str">
        <f t="shared" si="135"/>
        <v>Include</v>
      </c>
      <c r="P731" s="9">
        <f t="shared" si="136"/>
        <v>2035068.5799999984</v>
      </c>
      <c r="Q731" s="15">
        <f t="shared" si="137"/>
        <v>7469725</v>
      </c>
      <c r="R731" s="9">
        <f t="shared" si="138"/>
        <v>1068</v>
      </c>
      <c r="S731" s="9">
        <f t="shared" si="139"/>
        <v>7469725</v>
      </c>
      <c r="T731" s="15">
        <f t="shared" si="140"/>
        <v>16.686436250344954</v>
      </c>
      <c r="U731" s="15">
        <f>IF(O731="Exclude",0,G731*Fuel_Price!$B$2)</f>
        <v>1857.7005560000002</v>
      </c>
      <c r="V731" s="15">
        <f t="shared" si="141"/>
        <v>2989922.7577359979</v>
      </c>
    </row>
    <row r="732" spans="1:22">
      <c r="A732" s="1" t="s">
        <v>1862</v>
      </c>
      <c r="B732" s="1" t="s">
        <v>1863</v>
      </c>
      <c r="C732" s="1" t="s">
        <v>1864</v>
      </c>
      <c r="D732" s="1" t="s">
        <v>12</v>
      </c>
      <c r="E732" s="12">
        <v>10037</v>
      </c>
      <c r="F732" s="12" t="s">
        <v>13</v>
      </c>
      <c r="G732" s="6">
        <v>2366.04</v>
      </c>
      <c r="H732" s="1">
        <v>19.29</v>
      </c>
      <c r="J732" t="str">
        <f t="shared" si="132"/>
        <v>OK</v>
      </c>
      <c r="K732" t="str">
        <f t="shared" si="133"/>
        <v>OK</v>
      </c>
      <c r="L732">
        <f t="shared" si="142"/>
        <v>12</v>
      </c>
      <c r="M732">
        <f t="shared" si="134"/>
        <v>10</v>
      </c>
      <c r="N732" s="9" t="str">
        <f t="shared" si="143"/>
        <v>Valid</v>
      </c>
      <c r="O732" t="str">
        <f t="shared" si="135"/>
        <v>Include</v>
      </c>
      <c r="P732" s="9">
        <f t="shared" si="136"/>
        <v>2035068.5799999984</v>
      </c>
      <c r="Q732" s="15">
        <f t="shared" si="137"/>
        <v>7469725</v>
      </c>
      <c r="R732" s="9">
        <f t="shared" si="138"/>
        <v>10037</v>
      </c>
      <c r="S732" s="9">
        <f t="shared" si="139"/>
        <v>7469725</v>
      </c>
      <c r="T732" s="15">
        <f t="shared" si="140"/>
        <v>16.686436250344954</v>
      </c>
      <c r="U732" s="15">
        <f>IF(O732="Exclude",0,G732*Fuel_Price!$B$2)</f>
        <v>3476.1859680000002</v>
      </c>
      <c r="V732" s="15">
        <f t="shared" si="141"/>
        <v>2989922.7577359979</v>
      </c>
    </row>
    <row r="733" spans="1:22">
      <c r="A733" s="1" t="s">
        <v>1865</v>
      </c>
      <c r="B733" s="1" t="s">
        <v>1866</v>
      </c>
      <c r="C733" s="1" t="s">
        <v>1867</v>
      </c>
      <c r="D733" s="1" t="s">
        <v>12</v>
      </c>
      <c r="E733" s="12">
        <v>3372</v>
      </c>
      <c r="F733" s="12" t="s">
        <v>13</v>
      </c>
      <c r="G733" s="6">
        <v>938.39</v>
      </c>
      <c r="H733" s="1">
        <v>16.34</v>
      </c>
      <c r="J733" t="str">
        <f t="shared" si="132"/>
        <v>OK</v>
      </c>
      <c r="K733" t="str">
        <f t="shared" si="133"/>
        <v>OK</v>
      </c>
      <c r="L733">
        <f t="shared" si="142"/>
        <v>12</v>
      </c>
      <c r="M733">
        <f t="shared" si="134"/>
        <v>10</v>
      </c>
      <c r="N733" s="9" t="str">
        <f t="shared" si="143"/>
        <v>Valid</v>
      </c>
      <c r="O733" t="str">
        <f t="shared" si="135"/>
        <v>Include</v>
      </c>
      <c r="P733" s="9">
        <f t="shared" si="136"/>
        <v>2035068.5799999984</v>
      </c>
      <c r="Q733" s="15">
        <f t="shared" si="137"/>
        <v>7469725</v>
      </c>
      <c r="R733" s="9">
        <f t="shared" si="138"/>
        <v>3372</v>
      </c>
      <c r="S733" s="9">
        <f t="shared" si="139"/>
        <v>7469725</v>
      </c>
      <c r="T733" s="15">
        <f t="shared" si="140"/>
        <v>16.686436250344954</v>
      </c>
      <c r="U733" s="15">
        <f>IF(O733="Exclude",0,G733*Fuel_Price!$B$2)</f>
        <v>1378.6825880000001</v>
      </c>
      <c r="V733" s="15">
        <f t="shared" si="141"/>
        <v>2989922.7577359979</v>
      </c>
    </row>
    <row r="734" spans="1:22">
      <c r="A734" s="1" t="s">
        <v>1868</v>
      </c>
      <c r="B734" s="1" t="s">
        <v>1869</v>
      </c>
      <c r="C734" s="1" t="s">
        <v>1867</v>
      </c>
      <c r="D734" s="1" t="s">
        <v>12</v>
      </c>
      <c r="E734" s="12">
        <v>1246</v>
      </c>
      <c r="F734" s="12" t="s">
        <v>13</v>
      </c>
      <c r="G734" s="6">
        <v>375.94</v>
      </c>
      <c r="H734" s="1">
        <v>15.07</v>
      </c>
      <c r="J734" t="str">
        <f t="shared" si="132"/>
        <v>OK</v>
      </c>
      <c r="K734" t="str">
        <f t="shared" si="133"/>
        <v>OK</v>
      </c>
      <c r="L734">
        <f t="shared" si="142"/>
        <v>12</v>
      </c>
      <c r="M734">
        <f t="shared" si="134"/>
        <v>10</v>
      </c>
      <c r="N734" s="9" t="str">
        <f t="shared" si="143"/>
        <v>Valid</v>
      </c>
      <c r="O734" t="str">
        <f t="shared" si="135"/>
        <v>Include</v>
      </c>
      <c r="P734" s="9">
        <f t="shared" si="136"/>
        <v>2035068.5799999984</v>
      </c>
      <c r="Q734" s="15">
        <f t="shared" si="137"/>
        <v>7469725</v>
      </c>
      <c r="R734" s="9">
        <f t="shared" si="138"/>
        <v>1246</v>
      </c>
      <c r="S734" s="9">
        <f t="shared" si="139"/>
        <v>7469725</v>
      </c>
      <c r="T734" s="15">
        <f t="shared" si="140"/>
        <v>16.686436250344954</v>
      </c>
      <c r="U734" s="15">
        <f>IF(O734="Exclude",0,G734*Fuel_Price!$B$2)</f>
        <v>552.33104800000001</v>
      </c>
      <c r="V734" s="15">
        <f t="shared" si="141"/>
        <v>2989922.7577359979</v>
      </c>
    </row>
    <row r="735" spans="1:22">
      <c r="A735" s="1" t="s">
        <v>1870</v>
      </c>
      <c r="B735" s="1" t="s">
        <v>1871</v>
      </c>
      <c r="C735" s="1" t="s">
        <v>1867</v>
      </c>
      <c r="D735" s="1" t="s">
        <v>12</v>
      </c>
      <c r="E735" s="12">
        <v>6848</v>
      </c>
      <c r="F735" s="12" t="s">
        <v>13</v>
      </c>
      <c r="G735" s="6">
        <v>1722.43</v>
      </c>
      <c r="H735" s="1">
        <v>18.07</v>
      </c>
      <c r="J735" t="str">
        <f t="shared" si="132"/>
        <v>OK</v>
      </c>
      <c r="K735" t="str">
        <f t="shared" si="133"/>
        <v>OK</v>
      </c>
      <c r="L735">
        <f t="shared" si="142"/>
        <v>12</v>
      </c>
      <c r="M735">
        <f t="shared" si="134"/>
        <v>10</v>
      </c>
      <c r="N735" s="9" t="str">
        <f t="shared" si="143"/>
        <v>Valid</v>
      </c>
      <c r="O735" t="str">
        <f t="shared" si="135"/>
        <v>Include</v>
      </c>
      <c r="P735" s="9">
        <f t="shared" si="136"/>
        <v>2035068.5799999984</v>
      </c>
      <c r="Q735" s="15">
        <f t="shared" si="137"/>
        <v>7469725</v>
      </c>
      <c r="R735" s="9">
        <f t="shared" si="138"/>
        <v>6848</v>
      </c>
      <c r="S735" s="9">
        <f t="shared" si="139"/>
        <v>7469725</v>
      </c>
      <c r="T735" s="15">
        <f t="shared" si="140"/>
        <v>16.686436250344954</v>
      </c>
      <c r="U735" s="15">
        <f>IF(O735="Exclude",0,G735*Fuel_Price!$B$2)</f>
        <v>2530.5941560000001</v>
      </c>
      <c r="V735" s="15">
        <f t="shared" si="141"/>
        <v>2989922.7577359979</v>
      </c>
    </row>
    <row r="736" spans="1:22">
      <c r="A736" s="1" t="s">
        <v>1872</v>
      </c>
      <c r="B736" s="1" t="s">
        <v>1873</v>
      </c>
      <c r="C736" s="1" t="s">
        <v>1874</v>
      </c>
      <c r="D736" s="1" t="s">
        <v>12</v>
      </c>
      <c r="E736" s="12">
        <v>2059</v>
      </c>
      <c r="F736" s="12" t="s">
        <v>13</v>
      </c>
      <c r="G736" s="6">
        <v>606.99</v>
      </c>
      <c r="H736" s="1">
        <v>15.42</v>
      </c>
      <c r="J736" t="str">
        <f t="shared" si="132"/>
        <v>OK</v>
      </c>
      <c r="K736" t="str">
        <f t="shared" si="133"/>
        <v>OK</v>
      </c>
      <c r="L736">
        <f t="shared" si="142"/>
        <v>12</v>
      </c>
      <c r="M736">
        <f t="shared" si="134"/>
        <v>10</v>
      </c>
      <c r="N736" s="9" t="str">
        <f t="shared" si="143"/>
        <v>Valid</v>
      </c>
      <c r="O736" t="str">
        <f t="shared" si="135"/>
        <v>Include</v>
      </c>
      <c r="P736" s="9">
        <f t="shared" si="136"/>
        <v>2035068.5799999984</v>
      </c>
      <c r="Q736" s="15">
        <f t="shared" si="137"/>
        <v>7469725</v>
      </c>
      <c r="R736" s="9">
        <f t="shared" si="138"/>
        <v>2059</v>
      </c>
      <c r="S736" s="9">
        <f t="shared" si="139"/>
        <v>7469725</v>
      </c>
      <c r="T736" s="15">
        <f t="shared" si="140"/>
        <v>16.686436250344954</v>
      </c>
      <c r="U736" s="15">
        <f>IF(O736="Exclude",0,G736*Fuel_Price!$B$2)</f>
        <v>891.78970800000002</v>
      </c>
      <c r="V736" s="15">
        <f t="shared" si="141"/>
        <v>2989922.7577359979</v>
      </c>
    </row>
    <row r="737" spans="1:22">
      <c r="A737" s="1" t="s">
        <v>1875</v>
      </c>
      <c r="B737" s="1" t="s">
        <v>1876</v>
      </c>
      <c r="C737" s="1" t="s">
        <v>1874</v>
      </c>
      <c r="D737" s="1" t="s">
        <v>12</v>
      </c>
      <c r="E737" s="12">
        <v>5104</v>
      </c>
      <c r="F737" s="12" t="s">
        <v>13</v>
      </c>
      <c r="G737" s="6">
        <v>1347.68</v>
      </c>
      <c r="H737" s="1">
        <v>17.22</v>
      </c>
      <c r="J737" t="str">
        <f t="shared" si="132"/>
        <v>OK</v>
      </c>
      <c r="K737" t="str">
        <f t="shared" si="133"/>
        <v>OK</v>
      </c>
      <c r="L737">
        <f t="shared" si="142"/>
        <v>12</v>
      </c>
      <c r="M737">
        <f t="shared" si="134"/>
        <v>10</v>
      </c>
      <c r="N737" s="9" t="str">
        <f t="shared" si="143"/>
        <v>Valid</v>
      </c>
      <c r="O737" t="str">
        <f t="shared" si="135"/>
        <v>Include</v>
      </c>
      <c r="P737" s="9">
        <f t="shared" si="136"/>
        <v>2035068.5799999984</v>
      </c>
      <c r="Q737" s="15">
        <f t="shared" si="137"/>
        <v>7469725</v>
      </c>
      <c r="R737" s="9">
        <f t="shared" si="138"/>
        <v>5104</v>
      </c>
      <c r="S737" s="9">
        <f t="shared" si="139"/>
        <v>7469725</v>
      </c>
      <c r="T737" s="15">
        <f t="shared" si="140"/>
        <v>16.686436250344954</v>
      </c>
      <c r="U737" s="15">
        <f>IF(O737="Exclude",0,G737*Fuel_Price!$B$2)</f>
        <v>1980.0114560000002</v>
      </c>
      <c r="V737" s="15">
        <f t="shared" si="141"/>
        <v>2989922.7577359979</v>
      </c>
    </row>
    <row r="738" spans="1:22">
      <c r="A738" s="1" t="s">
        <v>1877</v>
      </c>
      <c r="B738" s="1" t="s">
        <v>1878</v>
      </c>
      <c r="C738" s="1" t="s">
        <v>1874</v>
      </c>
      <c r="D738" s="1" t="s">
        <v>12</v>
      </c>
      <c r="E738" s="12">
        <v>2601</v>
      </c>
      <c r="F738" s="12" t="s">
        <v>13</v>
      </c>
      <c r="G738" s="6">
        <v>632.22</v>
      </c>
      <c r="H738" s="1">
        <v>18.7</v>
      </c>
      <c r="J738" t="str">
        <f t="shared" si="132"/>
        <v>OK</v>
      </c>
      <c r="K738" t="str">
        <f t="shared" si="133"/>
        <v>OK</v>
      </c>
      <c r="L738">
        <f t="shared" si="142"/>
        <v>12</v>
      </c>
      <c r="M738">
        <f t="shared" si="134"/>
        <v>10</v>
      </c>
      <c r="N738" s="9" t="str">
        <f t="shared" si="143"/>
        <v>Valid</v>
      </c>
      <c r="O738" t="str">
        <f t="shared" si="135"/>
        <v>Include</v>
      </c>
      <c r="P738" s="9">
        <f t="shared" si="136"/>
        <v>2035068.5799999984</v>
      </c>
      <c r="Q738" s="15">
        <f t="shared" si="137"/>
        <v>7469725</v>
      </c>
      <c r="R738" s="9">
        <f t="shared" si="138"/>
        <v>2601</v>
      </c>
      <c r="S738" s="9">
        <f t="shared" si="139"/>
        <v>7469725</v>
      </c>
      <c r="T738" s="15">
        <f t="shared" si="140"/>
        <v>16.686436250344954</v>
      </c>
      <c r="U738" s="15">
        <f>IF(O738="Exclude",0,G738*Fuel_Price!$B$2)</f>
        <v>928.8576240000001</v>
      </c>
      <c r="V738" s="15">
        <f t="shared" si="141"/>
        <v>2989922.7577359979</v>
      </c>
    </row>
    <row r="739" spans="1:22">
      <c r="A739" s="1" t="s">
        <v>1879</v>
      </c>
      <c r="B739" s="1" t="s">
        <v>1880</v>
      </c>
      <c r="C739" s="1" t="s">
        <v>1881</v>
      </c>
      <c r="D739" s="1" t="s">
        <v>12</v>
      </c>
      <c r="E739" s="12">
        <v>1559</v>
      </c>
      <c r="F739" s="12" t="s">
        <v>13</v>
      </c>
      <c r="G739" s="6">
        <v>445.42</v>
      </c>
      <c r="H739" s="1">
        <v>15.91</v>
      </c>
      <c r="J739" t="str">
        <f t="shared" si="132"/>
        <v>OK</v>
      </c>
      <c r="K739" t="str">
        <f t="shared" si="133"/>
        <v>OK</v>
      </c>
      <c r="L739">
        <f t="shared" si="142"/>
        <v>12</v>
      </c>
      <c r="M739">
        <f t="shared" si="134"/>
        <v>10</v>
      </c>
      <c r="N739" s="9" t="str">
        <f t="shared" si="143"/>
        <v>Valid</v>
      </c>
      <c r="O739" t="str">
        <f t="shared" si="135"/>
        <v>Include</v>
      </c>
      <c r="P739" s="9">
        <f t="shared" si="136"/>
        <v>2035068.5799999984</v>
      </c>
      <c r="Q739" s="15">
        <f t="shared" si="137"/>
        <v>7469725</v>
      </c>
      <c r="R739" s="9">
        <f t="shared" si="138"/>
        <v>1559</v>
      </c>
      <c r="S739" s="9">
        <f t="shared" si="139"/>
        <v>7469725</v>
      </c>
      <c r="T739" s="15">
        <f t="shared" si="140"/>
        <v>16.686436250344954</v>
      </c>
      <c r="U739" s="15">
        <f>IF(O739="Exclude",0,G739*Fuel_Price!$B$2)</f>
        <v>654.41106400000001</v>
      </c>
      <c r="V739" s="15">
        <f t="shared" si="141"/>
        <v>2989922.7577359979</v>
      </c>
    </row>
    <row r="740" spans="1:22">
      <c r="A740" s="1" t="s">
        <v>1882</v>
      </c>
      <c r="B740" s="1" t="s">
        <v>1883</v>
      </c>
      <c r="C740" s="1" t="s">
        <v>1884</v>
      </c>
      <c r="D740" s="1" t="s">
        <v>12</v>
      </c>
      <c r="E740" s="12">
        <v>3440</v>
      </c>
      <c r="F740" s="12" t="s">
        <v>13</v>
      </c>
      <c r="G740" s="6">
        <v>956.53</v>
      </c>
      <c r="H740" s="1">
        <v>16.350000000000001</v>
      </c>
      <c r="J740" t="str">
        <f t="shared" si="132"/>
        <v>OK</v>
      </c>
      <c r="K740" t="str">
        <f t="shared" si="133"/>
        <v>OK</v>
      </c>
      <c r="L740">
        <f t="shared" si="142"/>
        <v>12</v>
      </c>
      <c r="M740">
        <f t="shared" si="134"/>
        <v>10</v>
      </c>
      <c r="N740" s="9" t="str">
        <f t="shared" si="143"/>
        <v>Valid</v>
      </c>
      <c r="O740" t="str">
        <f t="shared" si="135"/>
        <v>Include</v>
      </c>
      <c r="P740" s="9">
        <f t="shared" si="136"/>
        <v>2035068.5799999984</v>
      </c>
      <c r="Q740" s="15">
        <f t="shared" si="137"/>
        <v>7469725</v>
      </c>
      <c r="R740" s="9">
        <f t="shared" si="138"/>
        <v>3440</v>
      </c>
      <c r="S740" s="9">
        <f t="shared" si="139"/>
        <v>7469725</v>
      </c>
      <c r="T740" s="15">
        <f t="shared" si="140"/>
        <v>16.686436250344954</v>
      </c>
      <c r="U740" s="15">
        <f>IF(O740="Exclude",0,G740*Fuel_Price!$B$2)</f>
        <v>1405.3338759999999</v>
      </c>
      <c r="V740" s="15">
        <f t="shared" si="141"/>
        <v>2989922.7577359979</v>
      </c>
    </row>
    <row r="741" spans="1:22">
      <c r="A741" s="1" t="s">
        <v>1885</v>
      </c>
      <c r="B741" s="1" t="s">
        <v>1886</v>
      </c>
      <c r="C741" s="1" t="s">
        <v>1887</v>
      </c>
      <c r="D741" s="1" t="s">
        <v>12</v>
      </c>
      <c r="E741" s="12">
        <v>2338</v>
      </c>
      <c r="F741" s="12" t="s">
        <v>13</v>
      </c>
      <c r="G741" s="6">
        <v>822.44</v>
      </c>
      <c r="H741" s="1">
        <v>12.92</v>
      </c>
      <c r="J741" t="str">
        <f t="shared" si="132"/>
        <v>OK</v>
      </c>
      <c r="K741" t="str">
        <f t="shared" si="133"/>
        <v>OK</v>
      </c>
      <c r="L741">
        <f t="shared" si="142"/>
        <v>12</v>
      </c>
      <c r="M741">
        <f t="shared" si="134"/>
        <v>10</v>
      </c>
      <c r="N741" s="9" t="str">
        <f t="shared" si="143"/>
        <v>Valid</v>
      </c>
      <c r="O741" t="str">
        <f t="shared" si="135"/>
        <v>Include</v>
      </c>
      <c r="P741" s="9">
        <f t="shared" si="136"/>
        <v>2035068.5799999984</v>
      </c>
      <c r="Q741" s="15">
        <f t="shared" si="137"/>
        <v>7469725</v>
      </c>
      <c r="R741" s="9">
        <f t="shared" si="138"/>
        <v>2338</v>
      </c>
      <c r="S741" s="9">
        <f t="shared" si="139"/>
        <v>7469725</v>
      </c>
      <c r="T741" s="15">
        <f t="shared" si="140"/>
        <v>16.686436250344954</v>
      </c>
      <c r="U741" s="15">
        <f>IF(O741="Exclude",0,G741*Fuel_Price!$B$2)</f>
        <v>1208.3288480000001</v>
      </c>
      <c r="V741" s="15">
        <f t="shared" si="141"/>
        <v>2989922.7577359979</v>
      </c>
    </row>
    <row r="742" spans="1:22">
      <c r="A742" s="1" t="s">
        <v>1888</v>
      </c>
      <c r="B742" s="1" t="s">
        <v>1889</v>
      </c>
      <c r="C742" s="1" t="s">
        <v>1890</v>
      </c>
      <c r="D742" s="1" t="s">
        <v>12</v>
      </c>
      <c r="E742" s="12">
        <v>2169</v>
      </c>
      <c r="F742" s="12" t="s">
        <v>13</v>
      </c>
      <c r="G742" s="6">
        <v>497.64</v>
      </c>
      <c r="H742" s="1">
        <v>19.809999999999999</v>
      </c>
      <c r="J742" t="str">
        <f t="shared" si="132"/>
        <v>OK</v>
      </c>
      <c r="K742" t="str">
        <f t="shared" si="133"/>
        <v>OK</v>
      </c>
      <c r="L742">
        <f t="shared" si="142"/>
        <v>12</v>
      </c>
      <c r="M742">
        <f t="shared" si="134"/>
        <v>10</v>
      </c>
      <c r="N742" s="9" t="str">
        <f t="shared" si="143"/>
        <v>Valid</v>
      </c>
      <c r="O742" t="str">
        <f t="shared" si="135"/>
        <v>Include</v>
      </c>
      <c r="P742" s="9">
        <f t="shared" si="136"/>
        <v>2035068.5799999984</v>
      </c>
      <c r="Q742" s="15">
        <f t="shared" si="137"/>
        <v>7469725</v>
      </c>
      <c r="R742" s="9">
        <f t="shared" si="138"/>
        <v>2169</v>
      </c>
      <c r="S742" s="9">
        <f t="shared" si="139"/>
        <v>7469725</v>
      </c>
      <c r="T742" s="15">
        <f t="shared" si="140"/>
        <v>16.686436250344954</v>
      </c>
      <c r="U742" s="15">
        <f>IF(O742="Exclude",0,G742*Fuel_Price!$B$2)</f>
        <v>731.13268800000003</v>
      </c>
      <c r="V742" s="15">
        <f t="shared" si="141"/>
        <v>2989922.7577359979</v>
      </c>
    </row>
    <row r="743" spans="1:22">
      <c r="A743" s="1" t="s">
        <v>1891</v>
      </c>
      <c r="B743" s="1" t="s">
        <v>1892</v>
      </c>
      <c r="C743" s="1" t="s">
        <v>1890</v>
      </c>
      <c r="D743" s="1" t="s">
        <v>12</v>
      </c>
      <c r="E743" s="12">
        <v>236</v>
      </c>
      <c r="F743" s="12" t="s">
        <v>13</v>
      </c>
      <c r="G743" s="6">
        <v>110.11</v>
      </c>
      <c r="H743" s="1">
        <v>9.74</v>
      </c>
      <c r="J743" t="str">
        <f t="shared" si="132"/>
        <v>OK</v>
      </c>
      <c r="K743" t="str">
        <f t="shared" si="133"/>
        <v>OK</v>
      </c>
      <c r="L743">
        <f t="shared" si="142"/>
        <v>12</v>
      </c>
      <c r="M743">
        <f t="shared" si="134"/>
        <v>10</v>
      </c>
      <c r="N743" s="9" t="str">
        <f t="shared" si="143"/>
        <v>Valid</v>
      </c>
      <c r="O743" t="str">
        <f t="shared" si="135"/>
        <v>Include</v>
      </c>
      <c r="P743" s="9">
        <f t="shared" si="136"/>
        <v>2035068.5799999984</v>
      </c>
      <c r="Q743" s="15">
        <f t="shared" si="137"/>
        <v>7469725</v>
      </c>
      <c r="R743" s="9">
        <f t="shared" si="138"/>
        <v>236</v>
      </c>
      <c r="S743" s="9">
        <f t="shared" si="139"/>
        <v>7469725</v>
      </c>
      <c r="T743" s="15">
        <f t="shared" si="140"/>
        <v>16.686436250344954</v>
      </c>
      <c r="U743" s="15">
        <f>IF(O743="Exclude",0,G743*Fuel_Price!$B$2)</f>
        <v>161.77361200000001</v>
      </c>
      <c r="V743" s="15">
        <f t="shared" si="141"/>
        <v>2989922.7577359979</v>
      </c>
    </row>
    <row r="744" spans="1:22">
      <c r="A744" s="1" t="s">
        <v>1893</v>
      </c>
      <c r="B744" s="1" t="s">
        <v>1894</v>
      </c>
      <c r="C744" s="1" t="s">
        <v>1890</v>
      </c>
      <c r="D744" s="1" t="s">
        <v>12</v>
      </c>
      <c r="E744" s="12">
        <v>6954</v>
      </c>
      <c r="F744" s="12" t="s">
        <v>137</v>
      </c>
      <c r="G744" s="6">
        <v>1540.02</v>
      </c>
      <c r="H744" s="1">
        <v>12.75</v>
      </c>
      <c r="J744" t="str">
        <f t="shared" si="132"/>
        <v>OK</v>
      </c>
      <c r="K744" t="str">
        <f t="shared" si="133"/>
        <v>OK</v>
      </c>
      <c r="L744">
        <f t="shared" si="142"/>
        <v>12</v>
      </c>
      <c r="M744">
        <f t="shared" si="134"/>
        <v>10</v>
      </c>
      <c r="N744" s="9" t="str">
        <f t="shared" si="143"/>
        <v>Valid</v>
      </c>
      <c r="O744" t="str">
        <f t="shared" si="135"/>
        <v>Include</v>
      </c>
      <c r="P744" s="9">
        <f t="shared" si="136"/>
        <v>2035068.5799999984</v>
      </c>
      <c r="Q744" s="15">
        <f t="shared" si="137"/>
        <v>7469725</v>
      </c>
      <c r="R744" s="9">
        <f t="shared" si="138"/>
        <v>6954</v>
      </c>
      <c r="S744" s="9">
        <f t="shared" si="139"/>
        <v>7469725</v>
      </c>
      <c r="T744" s="15">
        <f t="shared" si="140"/>
        <v>16.686436250344954</v>
      </c>
      <c r="U744" s="15">
        <f>IF(O744="Exclude",0,G744*Fuel_Price!$B$2)</f>
        <v>2262.5973840000001</v>
      </c>
      <c r="V744" s="15">
        <f t="shared" si="141"/>
        <v>2989922.7577359979</v>
      </c>
    </row>
    <row r="745" spans="1:22">
      <c r="A745" s="1" t="s">
        <v>1895</v>
      </c>
      <c r="B745" s="1" t="s">
        <v>1896</v>
      </c>
      <c r="C745" s="1" t="s">
        <v>1897</v>
      </c>
      <c r="D745" s="1" t="s">
        <v>12</v>
      </c>
      <c r="E745" s="12">
        <v>2063</v>
      </c>
      <c r="F745" s="12" t="s">
        <v>13</v>
      </c>
      <c r="G745" s="6">
        <v>431.63</v>
      </c>
      <c r="H745" s="1">
        <v>21.73</v>
      </c>
      <c r="J745" t="str">
        <f t="shared" si="132"/>
        <v>OK</v>
      </c>
      <c r="K745" t="str">
        <f t="shared" si="133"/>
        <v>OK</v>
      </c>
      <c r="L745">
        <f t="shared" si="142"/>
        <v>12</v>
      </c>
      <c r="M745">
        <f t="shared" si="134"/>
        <v>10</v>
      </c>
      <c r="N745" s="9" t="str">
        <f t="shared" si="143"/>
        <v>Valid</v>
      </c>
      <c r="O745" t="str">
        <f t="shared" si="135"/>
        <v>Include</v>
      </c>
      <c r="P745" s="9">
        <f t="shared" si="136"/>
        <v>2035068.5799999984</v>
      </c>
      <c r="Q745" s="15">
        <f t="shared" si="137"/>
        <v>7469725</v>
      </c>
      <c r="R745" s="9">
        <f t="shared" si="138"/>
        <v>2063</v>
      </c>
      <c r="S745" s="9">
        <f t="shared" si="139"/>
        <v>7469725</v>
      </c>
      <c r="T745" s="15">
        <f t="shared" si="140"/>
        <v>16.686436250344954</v>
      </c>
      <c r="U745" s="15">
        <f>IF(O745="Exclude",0,G745*Fuel_Price!$B$2)</f>
        <v>634.15079600000001</v>
      </c>
      <c r="V745" s="15">
        <f t="shared" si="141"/>
        <v>2989922.7577359979</v>
      </c>
    </row>
    <row r="746" spans="1:22">
      <c r="A746" s="1" t="s">
        <v>1898</v>
      </c>
      <c r="B746" s="1" t="s">
        <v>1899</v>
      </c>
      <c r="C746" s="1" t="s">
        <v>1897</v>
      </c>
      <c r="D746" s="1" t="s">
        <v>12</v>
      </c>
      <c r="E746" s="12">
        <v>3646</v>
      </c>
      <c r="F746" s="12" t="s">
        <v>13</v>
      </c>
      <c r="G746" s="6">
        <v>726.96</v>
      </c>
      <c r="H746" s="1">
        <v>22.8</v>
      </c>
      <c r="J746" t="str">
        <f t="shared" si="132"/>
        <v>OK</v>
      </c>
      <c r="K746" t="str">
        <f t="shared" si="133"/>
        <v>OK</v>
      </c>
      <c r="L746">
        <f t="shared" si="142"/>
        <v>12</v>
      </c>
      <c r="M746">
        <f t="shared" si="134"/>
        <v>10</v>
      </c>
      <c r="N746" s="9" t="str">
        <f t="shared" si="143"/>
        <v>Valid</v>
      </c>
      <c r="O746" t="str">
        <f t="shared" si="135"/>
        <v>Include</v>
      </c>
      <c r="P746" s="9">
        <f t="shared" si="136"/>
        <v>2035068.5799999984</v>
      </c>
      <c r="Q746" s="15">
        <f t="shared" si="137"/>
        <v>7469725</v>
      </c>
      <c r="R746" s="9">
        <f t="shared" si="138"/>
        <v>3646</v>
      </c>
      <c r="S746" s="9">
        <f t="shared" si="139"/>
        <v>7469725</v>
      </c>
      <c r="T746" s="15">
        <f t="shared" si="140"/>
        <v>16.686436250344954</v>
      </c>
      <c r="U746" s="15">
        <f>IF(O746="Exclude",0,G746*Fuel_Price!$B$2)</f>
        <v>1068.0496320000002</v>
      </c>
      <c r="V746" s="15">
        <f t="shared" si="141"/>
        <v>2989922.7577359979</v>
      </c>
    </row>
    <row r="747" spans="1:22">
      <c r="A747" s="1" t="s">
        <v>1900</v>
      </c>
      <c r="B747" s="1" t="s">
        <v>1901</v>
      </c>
      <c r="C747" s="1" t="s">
        <v>1887</v>
      </c>
      <c r="D747" s="1" t="s">
        <v>12</v>
      </c>
      <c r="E747" s="12">
        <v>727</v>
      </c>
      <c r="F747" s="12" t="s">
        <v>13</v>
      </c>
      <c r="G747" s="6">
        <v>252.78</v>
      </c>
      <c r="H747" s="1">
        <v>13.07</v>
      </c>
      <c r="J747" t="str">
        <f t="shared" si="132"/>
        <v>OK</v>
      </c>
      <c r="K747" t="str">
        <f t="shared" si="133"/>
        <v>OK</v>
      </c>
      <c r="L747">
        <f t="shared" si="142"/>
        <v>12</v>
      </c>
      <c r="M747">
        <f t="shared" si="134"/>
        <v>10</v>
      </c>
      <c r="N747" s="9" t="str">
        <f t="shared" si="143"/>
        <v>Valid</v>
      </c>
      <c r="O747" t="str">
        <f t="shared" si="135"/>
        <v>Include</v>
      </c>
      <c r="P747" s="9">
        <f t="shared" si="136"/>
        <v>2035068.5799999984</v>
      </c>
      <c r="Q747" s="15">
        <f t="shared" si="137"/>
        <v>7469725</v>
      </c>
      <c r="R747" s="9">
        <f t="shared" si="138"/>
        <v>727</v>
      </c>
      <c r="S747" s="9">
        <f t="shared" si="139"/>
        <v>7469725</v>
      </c>
      <c r="T747" s="15">
        <f t="shared" si="140"/>
        <v>16.686436250344954</v>
      </c>
      <c r="U747" s="15">
        <f>IF(O747="Exclude",0,G747*Fuel_Price!$B$2)</f>
        <v>371.38437600000003</v>
      </c>
      <c r="V747" s="15">
        <f t="shared" si="141"/>
        <v>2989922.7577359979</v>
      </c>
    </row>
    <row r="748" spans="1:22">
      <c r="A748" s="1" t="s">
        <v>1902</v>
      </c>
      <c r="B748" s="1" t="s">
        <v>1903</v>
      </c>
      <c r="C748" s="1" t="s">
        <v>1904</v>
      </c>
      <c r="D748" s="1" t="s">
        <v>12</v>
      </c>
      <c r="E748" s="12">
        <v>16678</v>
      </c>
      <c r="F748" s="12" t="s">
        <v>13</v>
      </c>
      <c r="G748" s="6">
        <v>5051.68</v>
      </c>
      <c r="H748" s="1">
        <v>15.01</v>
      </c>
      <c r="J748" t="str">
        <f t="shared" si="132"/>
        <v>OK</v>
      </c>
      <c r="K748" t="str">
        <f t="shared" si="133"/>
        <v>OK</v>
      </c>
      <c r="L748">
        <f t="shared" si="142"/>
        <v>12</v>
      </c>
      <c r="M748">
        <f t="shared" si="134"/>
        <v>10</v>
      </c>
      <c r="N748" s="9" t="str">
        <f t="shared" si="143"/>
        <v>Valid</v>
      </c>
      <c r="O748" t="str">
        <f t="shared" si="135"/>
        <v>Include</v>
      </c>
      <c r="P748" s="9">
        <f t="shared" si="136"/>
        <v>2035068.5799999984</v>
      </c>
      <c r="Q748" s="15">
        <f t="shared" si="137"/>
        <v>7469725</v>
      </c>
      <c r="R748" s="9">
        <f t="shared" si="138"/>
        <v>16678</v>
      </c>
      <c r="S748" s="9">
        <f t="shared" si="139"/>
        <v>7469725</v>
      </c>
      <c r="T748" s="15">
        <f t="shared" si="140"/>
        <v>16.686436250344954</v>
      </c>
      <c r="U748" s="15">
        <f>IF(O748="Exclude",0,G748*Fuel_Price!$B$2)</f>
        <v>7421.9282560000011</v>
      </c>
      <c r="V748" s="15">
        <f t="shared" si="141"/>
        <v>2989922.7577359979</v>
      </c>
    </row>
    <row r="749" spans="1:22">
      <c r="A749" s="1" t="s">
        <v>1905</v>
      </c>
      <c r="B749" s="1" t="s">
        <v>1906</v>
      </c>
      <c r="C749" s="1" t="s">
        <v>1907</v>
      </c>
      <c r="D749" s="1" t="s">
        <v>12</v>
      </c>
      <c r="E749" s="12">
        <v>3073</v>
      </c>
      <c r="F749" s="12" t="s">
        <v>13</v>
      </c>
      <c r="G749" s="6">
        <v>2634.88</v>
      </c>
      <c r="H749" s="1">
        <v>5.3</v>
      </c>
      <c r="J749" t="str">
        <f t="shared" si="132"/>
        <v>OK</v>
      </c>
      <c r="K749" t="str">
        <f t="shared" si="133"/>
        <v>OK</v>
      </c>
      <c r="L749">
        <f t="shared" si="142"/>
        <v>12</v>
      </c>
      <c r="M749">
        <f t="shared" si="134"/>
        <v>10</v>
      </c>
      <c r="N749" s="9" t="str">
        <f t="shared" si="143"/>
        <v>Valid</v>
      </c>
      <c r="O749" t="str">
        <f t="shared" si="135"/>
        <v>Include</v>
      </c>
      <c r="P749" s="9">
        <f t="shared" si="136"/>
        <v>2035068.5799999984</v>
      </c>
      <c r="Q749" s="15">
        <f t="shared" si="137"/>
        <v>7469725</v>
      </c>
      <c r="R749" s="9">
        <f t="shared" si="138"/>
        <v>3073</v>
      </c>
      <c r="S749" s="9">
        <f t="shared" si="139"/>
        <v>7469725</v>
      </c>
      <c r="T749" s="15">
        <f t="shared" si="140"/>
        <v>16.686436250344954</v>
      </c>
      <c r="U749" s="15">
        <f>IF(O749="Exclude",0,G749*Fuel_Price!$B$2)</f>
        <v>3871.1656960000005</v>
      </c>
      <c r="V749" s="15">
        <f t="shared" si="141"/>
        <v>2989922.7577359979</v>
      </c>
    </row>
    <row r="750" spans="1:22">
      <c r="A750" s="1" t="s">
        <v>1908</v>
      </c>
      <c r="B750" s="1" t="s">
        <v>1909</v>
      </c>
      <c r="C750" s="1" t="s">
        <v>1910</v>
      </c>
      <c r="D750" s="1" t="s">
        <v>12</v>
      </c>
      <c r="E750" s="12">
        <v>1901</v>
      </c>
      <c r="F750" s="12" t="s">
        <v>137</v>
      </c>
      <c r="G750" s="6">
        <v>595.70000000000005</v>
      </c>
      <c r="H750" s="1">
        <v>9.01</v>
      </c>
      <c r="J750" t="str">
        <f t="shared" si="132"/>
        <v>OK</v>
      </c>
      <c r="K750" t="str">
        <f t="shared" si="133"/>
        <v>OK</v>
      </c>
      <c r="L750">
        <f t="shared" si="142"/>
        <v>12</v>
      </c>
      <c r="M750">
        <f t="shared" si="134"/>
        <v>10</v>
      </c>
      <c r="N750" s="9" t="str">
        <f t="shared" si="143"/>
        <v>Valid</v>
      </c>
      <c r="O750" t="str">
        <f t="shared" si="135"/>
        <v>Include</v>
      </c>
      <c r="P750" s="9">
        <f t="shared" si="136"/>
        <v>2035068.5799999984</v>
      </c>
      <c r="Q750" s="15">
        <f t="shared" si="137"/>
        <v>7469725</v>
      </c>
      <c r="R750" s="9">
        <f t="shared" si="138"/>
        <v>1901</v>
      </c>
      <c r="S750" s="9">
        <f t="shared" si="139"/>
        <v>7469725</v>
      </c>
      <c r="T750" s="15">
        <f t="shared" si="140"/>
        <v>16.686436250344954</v>
      </c>
      <c r="U750" s="15">
        <f>IF(O750="Exclude",0,G750*Fuel_Price!$B$2)</f>
        <v>875.20244000000014</v>
      </c>
      <c r="V750" s="15">
        <f t="shared" si="141"/>
        <v>2989922.7577359979</v>
      </c>
    </row>
    <row r="751" spans="1:22">
      <c r="A751" s="1" t="s">
        <v>1911</v>
      </c>
      <c r="B751" s="1" t="s">
        <v>1912</v>
      </c>
      <c r="C751" s="1" t="s">
        <v>1913</v>
      </c>
      <c r="D751" s="1" t="s">
        <v>12</v>
      </c>
      <c r="E751" s="12">
        <v>5571</v>
      </c>
      <c r="F751" s="12" t="s">
        <v>13</v>
      </c>
      <c r="G751" s="6">
        <v>1672.5</v>
      </c>
      <c r="H751" s="1">
        <v>15.14</v>
      </c>
      <c r="J751" t="str">
        <f t="shared" si="132"/>
        <v>OK</v>
      </c>
      <c r="K751" t="str">
        <f t="shared" si="133"/>
        <v>OK</v>
      </c>
      <c r="L751">
        <f t="shared" si="142"/>
        <v>12</v>
      </c>
      <c r="M751">
        <f t="shared" si="134"/>
        <v>10</v>
      </c>
      <c r="N751" s="9" t="str">
        <f t="shared" si="143"/>
        <v>Valid</v>
      </c>
      <c r="O751" t="str">
        <f t="shared" si="135"/>
        <v>Include</v>
      </c>
      <c r="P751" s="9">
        <f t="shared" si="136"/>
        <v>2035068.5799999984</v>
      </c>
      <c r="Q751" s="15">
        <f t="shared" si="137"/>
        <v>7469725</v>
      </c>
      <c r="R751" s="9">
        <f t="shared" si="138"/>
        <v>5571</v>
      </c>
      <c r="S751" s="9">
        <f t="shared" si="139"/>
        <v>7469725</v>
      </c>
      <c r="T751" s="15">
        <f t="shared" si="140"/>
        <v>16.686436250344954</v>
      </c>
      <c r="U751" s="15">
        <f>IF(O751="Exclude",0,G751*Fuel_Price!$B$2)</f>
        <v>2457.2370000000001</v>
      </c>
      <c r="V751" s="15">
        <f t="shared" si="141"/>
        <v>2989922.7577359979</v>
      </c>
    </row>
    <row r="752" spans="1:22">
      <c r="A752" s="1" t="s">
        <v>1914</v>
      </c>
      <c r="B752" s="1" t="s">
        <v>1915</v>
      </c>
      <c r="C752" s="1" t="s">
        <v>1916</v>
      </c>
      <c r="D752" s="1" t="s">
        <v>12</v>
      </c>
      <c r="E752" s="12">
        <v>4883</v>
      </c>
      <c r="F752" s="12" t="s">
        <v>137</v>
      </c>
      <c r="G752" s="6">
        <v>1354.62</v>
      </c>
      <c r="H752" s="1">
        <v>10.18</v>
      </c>
      <c r="J752" t="str">
        <f t="shared" si="132"/>
        <v>OK</v>
      </c>
      <c r="K752" t="str">
        <f t="shared" si="133"/>
        <v>OK</v>
      </c>
      <c r="L752">
        <f t="shared" si="142"/>
        <v>12</v>
      </c>
      <c r="M752">
        <f t="shared" si="134"/>
        <v>10</v>
      </c>
      <c r="N752" s="9" t="str">
        <f t="shared" si="143"/>
        <v>Valid</v>
      </c>
      <c r="O752" t="str">
        <f t="shared" si="135"/>
        <v>Include</v>
      </c>
      <c r="P752" s="9">
        <f t="shared" si="136"/>
        <v>2035068.5799999984</v>
      </c>
      <c r="Q752" s="15">
        <f t="shared" si="137"/>
        <v>7469725</v>
      </c>
      <c r="R752" s="9">
        <f t="shared" si="138"/>
        <v>4883</v>
      </c>
      <c r="S752" s="9">
        <f t="shared" si="139"/>
        <v>7469725</v>
      </c>
      <c r="T752" s="15">
        <f t="shared" si="140"/>
        <v>16.686436250344954</v>
      </c>
      <c r="U752" s="15">
        <f>IF(O752="Exclude",0,G752*Fuel_Price!$B$2)</f>
        <v>1990.2077039999999</v>
      </c>
      <c r="V752" s="15">
        <f t="shared" si="141"/>
        <v>2989922.7577359979</v>
      </c>
    </row>
    <row r="753" spans="1:22">
      <c r="A753" s="1" t="s">
        <v>1917</v>
      </c>
      <c r="B753" s="1" t="s">
        <v>1918</v>
      </c>
      <c r="C753" s="1" t="s">
        <v>1916</v>
      </c>
      <c r="D753" s="1" t="s">
        <v>12</v>
      </c>
      <c r="E753" s="12">
        <v>4394</v>
      </c>
      <c r="F753" s="12" t="s">
        <v>13</v>
      </c>
      <c r="G753" s="6">
        <v>1257.8399999999999</v>
      </c>
      <c r="H753" s="1">
        <v>15.88</v>
      </c>
      <c r="J753" t="str">
        <f t="shared" si="132"/>
        <v>OK</v>
      </c>
      <c r="K753" t="str">
        <f t="shared" si="133"/>
        <v>OK</v>
      </c>
      <c r="L753">
        <f t="shared" si="142"/>
        <v>12</v>
      </c>
      <c r="M753">
        <f t="shared" si="134"/>
        <v>10</v>
      </c>
      <c r="N753" s="9" t="str">
        <f t="shared" si="143"/>
        <v>Valid</v>
      </c>
      <c r="O753" t="str">
        <f t="shared" si="135"/>
        <v>Include</v>
      </c>
      <c r="P753" s="9">
        <f t="shared" si="136"/>
        <v>2035068.5799999984</v>
      </c>
      <c r="Q753" s="15">
        <f t="shared" si="137"/>
        <v>7469725</v>
      </c>
      <c r="R753" s="9">
        <f t="shared" si="138"/>
        <v>4394</v>
      </c>
      <c r="S753" s="9">
        <f t="shared" si="139"/>
        <v>7469725</v>
      </c>
      <c r="T753" s="15">
        <f t="shared" si="140"/>
        <v>16.686436250344954</v>
      </c>
      <c r="U753" s="15">
        <f>IF(O753="Exclude",0,G753*Fuel_Price!$B$2)</f>
        <v>1848.0185280000001</v>
      </c>
      <c r="V753" s="15">
        <f t="shared" si="141"/>
        <v>2989922.7577359979</v>
      </c>
    </row>
    <row r="754" spans="1:22">
      <c r="A754" s="1" t="s">
        <v>1919</v>
      </c>
      <c r="B754" s="1" t="s">
        <v>1920</v>
      </c>
      <c r="C754" s="1" t="s">
        <v>1921</v>
      </c>
      <c r="D754" s="1" t="s">
        <v>12</v>
      </c>
      <c r="E754" s="12">
        <v>2272</v>
      </c>
      <c r="F754" s="12" t="s">
        <v>13</v>
      </c>
      <c r="G754" s="6">
        <v>667.42</v>
      </c>
      <c r="H754" s="1">
        <v>15.48</v>
      </c>
      <c r="J754" t="str">
        <f t="shared" si="132"/>
        <v>OK</v>
      </c>
      <c r="K754" t="str">
        <f t="shared" si="133"/>
        <v>OK</v>
      </c>
      <c r="L754">
        <f t="shared" si="142"/>
        <v>12</v>
      </c>
      <c r="M754">
        <f t="shared" si="134"/>
        <v>10</v>
      </c>
      <c r="N754" s="9" t="str">
        <f t="shared" si="143"/>
        <v>Valid</v>
      </c>
      <c r="O754" t="str">
        <f t="shared" si="135"/>
        <v>Include</v>
      </c>
      <c r="P754" s="9">
        <f t="shared" si="136"/>
        <v>2035068.5799999984</v>
      </c>
      <c r="Q754" s="15">
        <f t="shared" si="137"/>
        <v>7469725</v>
      </c>
      <c r="R754" s="9">
        <f t="shared" si="138"/>
        <v>2272</v>
      </c>
      <c r="S754" s="9">
        <f t="shared" si="139"/>
        <v>7469725</v>
      </c>
      <c r="T754" s="15">
        <f t="shared" si="140"/>
        <v>16.686436250344954</v>
      </c>
      <c r="U754" s="15">
        <f>IF(O754="Exclude",0,G754*Fuel_Price!$B$2)</f>
        <v>980.57346399999994</v>
      </c>
      <c r="V754" s="15">
        <f t="shared" si="141"/>
        <v>2989922.7577359979</v>
      </c>
    </row>
    <row r="755" spans="1:22">
      <c r="A755" s="1" t="s">
        <v>1922</v>
      </c>
      <c r="B755" s="1" t="s">
        <v>1923</v>
      </c>
      <c r="C755" s="1" t="s">
        <v>1924</v>
      </c>
      <c r="D755" s="1" t="s">
        <v>12</v>
      </c>
      <c r="E755" s="12">
        <v>1906</v>
      </c>
      <c r="F755" s="12" t="s">
        <v>13</v>
      </c>
      <c r="G755" s="6">
        <v>640.82000000000005</v>
      </c>
      <c r="H755" s="1">
        <v>13.52</v>
      </c>
      <c r="J755" t="str">
        <f t="shared" si="132"/>
        <v>OK</v>
      </c>
      <c r="K755" t="str">
        <f t="shared" si="133"/>
        <v>OK</v>
      </c>
      <c r="L755">
        <f t="shared" si="142"/>
        <v>12</v>
      </c>
      <c r="M755">
        <f t="shared" si="134"/>
        <v>10</v>
      </c>
      <c r="N755" s="9" t="str">
        <f t="shared" si="143"/>
        <v>Valid</v>
      </c>
      <c r="O755" t="str">
        <f t="shared" si="135"/>
        <v>Include</v>
      </c>
      <c r="P755" s="9">
        <f t="shared" si="136"/>
        <v>2035068.5799999984</v>
      </c>
      <c r="Q755" s="15">
        <f t="shared" si="137"/>
        <v>7469725</v>
      </c>
      <c r="R755" s="9">
        <f t="shared" si="138"/>
        <v>1906</v>
      </c>
      <c r="S755" s="9">
        <f t="shared" si="139"/>
        <v>7469725</v>
      </c>
      <c r="T755" s="15">
        <f t="shared" si="140"/>
        <v>16.686436250344954</v>
      </c>
      <c r="U755" s="15">
        <f>IF(O755="Exclude",0,G755*Fuel_Price!$B$2)</f>
        <v>941.49274400000013</v>
      </c>
      <c r="V755" s="15">
        <f t="shared" si="141"/>
        <v>2989922.7577359979</v>
      </c>
    </row>
    <row r="756" spans="1:22">
      <c r="A756" s="1" t="s">
        <v>1925</v>
      </c>
      <c r="B756" s="1" t="s">
        <v>1926</v>
      </c>
      <c r="C756" s="1" t="s">
        <v>1924</v>
      </c>
      <c r="D756" s="1" t="s">
        <v>12</v>
      </c>
      <c r="E756" s="12">
        <v>5292</v>
      </c>
      <c r="F756" s="12" t="s">
        <v>13</v>
      </c>
      <c r="G756" s="6">
        <v>1465.84</v>
      </c>
      <c r="H756" s="1">
        <v>16.41</v>
      </c>
      <c r="J756" t="str">
        <f t="shared" si="132"/>
        <v>OK</v>
      </c>
      <c r="K756" t="str">
        <f t="shared" si="133"/>
        <v>OK</v>
      </c>
      <c r="L756">
        <f t="shared" si="142"/>
        <v>12</v>
      </c>
      <c r="M756">
        <f t="shared" si="134"/>
        <v>10</v>
      </c>
      <c r="N756" s="9" t="str">
        <f t="shared" si="143"/>
        <v>Valid</v>
      </c>
      <c r="O756" t="str">
        <f t="shared" si="135"/>
        <v>Include</v>
      </c>
      <c r="P756" s="9">
        <f t="shared" si="136"/>
        <v>2035068.5799999984</v>
      </c>
      <c r="Q756" s="15">
        <f t="shared" si="137"/>
        <v>7469725</v>
      </c>
      <c r="R756" s="9">
        <f t="shared" si="138"/>
        <v>5292</v>
      </c>
      <c r="S756" s="9">
        <f t="shared" si="139"/>
        <v>7469725</v>
      </c>
      <c r="T756" s="15">
        <f t="shared" si="140"/>
        <v>16.686436250344954</v>
      </c>
      <c r="U756" s="15">
        <f>IF(O756="Exclude",0,G756*Fuel_Price!$B$2)</f>
        <v>2153.6121279999998</v>
      </c>
      <c r="V756" s="15">
        <f t="shared" si="141"/>
        <v>2989922.7577359979</v>
      </c>
    </row>
    <row r="757" spans="1:22">
      <c r="A757" s="1" t="s">
        <v>1927</v>
      </c>
      <c r="B757" s="1" t="s">
        <v>1928</v>
      </c>
      <c r="C757" s="1" t="s">
        <v>1924</v>
      </c>
      <c r="D757" s="1" t="s">
        <v>12</v>
      </c>
      <c r="E757" s="12">
        <v>5575</v>
      </c>
      <c r="F757" s="12" t="s">
        <v>13</v>
      </c>
      <c r="G757" s="6">
        <v>1759.43</v>
      </c>
      <c r="H757" s="1">
        <v>14.4</v>
      </c>
      <c r="J757" t="str">
        <f t="shared" si="132"/>
        <v>OK</v>
      </c>
      <c r="K757" t="str">
        <f t="shared" si="133"/>
        <v>OK</v>
      </c>
      <c r="L757">
        <f t="shared" si="142"/>
        <v>12</v>
      </c>
      <c r="M757">
        <f t="shared" si="134"/>
        <v>10</v>
      </c>
      <c r="N757" s="9" t="str">
        <f t="shared" si="143"/>
        <v>Valid</v>
      </c>
      <c r="O757" t="str">
        <f t="shared" si="135"/>
        <v>Include</v>
      </c>
      <c r="P757" s="9">
        <f t="shared" si="136"/>
        <v>2035068.5799999984</v>
      </c>
      <c r="Q757" s="15">
        <f t="shared" si="137"/>
        <v>7469725</v>
      </c>
      <c r="R757" s="9">
        <f t="shared" si="138"/>
        <v>5575</v>
      </c>
      <c r="S757" s="9">
        <f t="shared" si="139"/>
        <v>7469725</v>
      </c>
      <c r="T757" s="15">
        <f t="shared" si="140"/>
        <v>16.686436250344954</v>
      </c>
      <c r="U757" s="15">
        <f>IF(O757="Exclude",0,G757*Fuel_Price!$B$2)</f>
        <v>2584.9545560000001</v>
      </c>
      <c r="V757" s="15">
        <f t="shared" si="141"/>
        <v>2989922.7577359979</v>
      </c>
    </row>
    <row r="758" spans="1:22">
      <c r="A758" s="1" t="s">
        <v>1929</v>
      </c>
      <c r="B758" s="1" t="s">
        <v>1930</v>
      </c>
      <c r="C758" s="1" t="s">
        <v>1924</v>
      </c>
      <c r="D758" s="1" t="s">
        <v>12</v>
      </c>
      <c r="E758" s="12">
        <v>2039</v>
      </c>
      <c r="F758" s="12" t="s">
        <v>13</v>
      </c>
      <c r="G758" s="6">
        <v>582.19000000000005</v>
      </c>
      <c r="H758" s="1">
        <v>15.92</v>
      </c>
      <c r="J758" t="str">
        <f t="shared" si="132"/>
        <v>OK</v>
      </c>
      <c r="K758" t="str">
        <f t="shared" si="133"/>
        <v>OK</v>
      </c>
      <c r="L758">
        <f t="shared" si="142"/>
        <v>12</v>
      </c>
      <c r="M758">
        <f t="shared" si="134"/>
        <v>10</v>
      </c>
      <c r="N758" s="9" t="str">
        <f t="shared" si="143"/>
        <v>Valid</v>
      </c>
      <c r="O758" t="str">
        <f t="shared" si="135"/>
        <v>Include</v>
      </c>
      <c r="P758" s="9">
        <f t="shared" si="136"/>
        <v>2035068.5799999984</v>
      </c>
      <c r="Q758" s="15">
        <f t="shared" si="137"/>
        <v>7469725</v>
      </c>
      <c r="R758" s="9">
        <f t="shared" si="138"/>
        <v>2039</v>
      </c>
      <c r="S758" s="9">
        <f t="shared" si="139"/>
        <v>7469725</v>
      </c>
      <c r="T758" s="15">
        <f t="shared" si="140"/>
        <v>16.686436250344954</v>
      </c>
      <c r="U758" s="15">
        <f>IF(O758="Exclude",0,G758*Fuel_Price!$B$2)</f>
        <v>855.35354800000016</v>
      </c>
      <c r="V758" s="15">
        <f t="shared" si="141"/>
        <v>2989922.7577359979</v>
      </c>
    </row>
    <row r="759" spans="1:22">
      <c r="A759" s="1" t="s">
        <v>1931</v>
      </c>
      <c r="B759" s="1" t="s">
        <v>1932</v>
      </c>
      <c r="C759" s="1" t="s">
        <v>1924</v>
      </c>
      <c r="D759" s="1" t="s">
        <v>12</v>
      </c>
      <c r="E759" s="12">
        <v>5811</v>
      </c>
      <c r="F759" s="12" t="s">
        <v>137</v>
      </c>
      <c r="G759" s="6">
        <v>1864.26</v>
      </c>
      <c r="H759" s="1">
        <v>8.81</v>
      </c>
      <c r="J759" t="str">
        <f t="shared" si="132"/>
        <v>OK</v>
      </c>
      <c r="K759" t="str">
        <f t="shared" si="133"/>
        <v>OK</v>
      </c>
      <c r="L759">
        <f t="shared" si="142"/>
        <v>12</v>
      </c>
      <c r="M759">
        <f t="shared" si="134"/>
        <v>10</v>
      </c>
      <c r="N759" s="9" t="str">
        <f t="shared" si="143"/>
        <v>Valid</v>
      </c>
      <c r="O759" t="str">
        <f t="shared" si="135"/>
        <v>Include</v>
      </c>
      <c r="P759" s="9">
        <f t="shared" si="136"/>
        <v>2035068.5799999984</v>
      </c>
      <c r="Q759" s="15">
        <f t="shared" si="137"/>
        <v>7469725</v>
      </c>
      <c r="R759" s="9">
        <f t="shared" si="138"/>
        <v>5811</v>
      </c>
      <c r="S759" s="9">
        <f t="shared" si="139"/>
        <v>7469725</v>
      </c>
      <c r="T759" s="15">
        <f t="shared" si="140"/>
        <v>16.686436250344954</v>
      </c>
      <c r="U759" s="15">
        <f>IF(O759="Exclude",0,G759*Fuel_Price!$B$2)</f>
        <v>2738.9707920000001</v>
      </c>
      <c r="V759" s="15">
        <f t="shared" si="141"/>
        <v>2989922.7577359979</v>
      </c>
    </row>
    <row r="760" spans="1:22">
      <c r="A760" s="1" t="s">
        <v>1933</v>
      </c>
      <c r="B760" s="1" t="s">
        <v>1934</v>
      </c>
      <c r="C760" s="1" t="s">
        <v>1924</v>
      </c>
      <c r="D760" s="1" t="s">
        <v>12</v>
      </c>
      <c r="E760" s="12">
        <v>6296</v>
      </c>
      <c r="F760" s="12" t="s">
        <v>13</v>
      </c>
      <c r="G760" s="6">
        <v>1811.51</v>
      </c>
      <c r="H760" s="1">
        <v>15.8</v>
      </c>
      <c r="J760" t="str">
        <f t="shared" si="132"/>
        <v>OK</v>
      </c>
      <c r="K760" t="str">
        <f t="shared" si="133"/>
        <v>OK</v>
      </c>
      <c r="L760">
        <f t="shared" si="142"/>
        <v>12</v>
      </c>
      <c r="M760">
        <f t="shared" si="134"/>
        <v>10</v>
      </c>
      <c r="N760" s="9" t="str">
        <f t="shared" si="143"/>
        <v>Valid</v>
      </c>
      <c r="O760" t="str">
        <f t="shared" si="135"/>
        <v>Include</v>
      </c>
      <c r="P760" s="9">
        <f t="shared" si="136"/>
        <v>2035068.5799999984</v>
      </c>
      <c r="Q760" s="15">
        <f t="shared" si="137"/>
        <v>7469725</v>
      </c>
      <c r="R760" s="9">
        <f t="shared" si="138"/>
        <v>6296</v>
      </c>
      <c r="S760" s="9">
        <f t="shared" si="139"/>
        <v>7469725</v>
      </c>
      <c r="T760" s="15">
        <f t="shared" si="140"/>
        <v>16.686436250344954</v>
      </c>
      <c r="U760" s="15">
        <f>IF(O760="Exclude",0,G760*Fuel_Price!$B$2)</f>
        <v>2661.4704919999999</v>
      </c>
      <c r="V760" s="15">
        <f t="shared" si="141"/>
        <v>2989922.7577359979</v>
      </c>
    </row>
    <row r="761" spans="1:22">
      <c r="A761" s="1" t="s">
        <v>1935</v>
      </c>
      <c r="B761" s="1" t="s">
        <v>1936</v>
      </c>
      <c r="C761" s="1" t="s">
        <v>1924</v>
      </c>
      <c r="D761" s="1" t="s">
        <v>12</v>
      </c>
      <c r="E761" s="12">
        <v>4751</v>
      </c>
      <c r="F761" s="12" t="s">
        <v>13</v>
      </c>
      <c r="G761" s="6">
        <v>1412.98</v>
      </c>
      <c r="H761" s="1">
        <v>15.29</v>
      </c>
      <c r="J761" t="str">
        <f t="shared" si="132"/>
        <v>OK</v>
      </c>
      <c r="K761" t="str">
        <f t="shared" si="133"/>
        <v>OK</v>
      </c>
      <c r="L761">
        <f t="shared" si="142"/>
        <v>12</v>
      </c>
      <c r="M761">
        <f t="shared" si="134"/>
        <v>10</v>
      </c>
      <c r="N761" s="9" t="str">
        <f t="shared" si="143"/>
        <v>Valid</v>
      </c>
      <c r="O761" t="str">
        <f t="shared" si="135"/>
        <v>Include</v>
      </c>
      <c r="P761" s="9">
        <f t="shared" si="136"/>
        <v>2035068.5799999984</v>
      </c>
      <c r="Q761" s="15">
        <f t="shared" si="137"/>
        <v>7469725</v>
      </c>
      <c r="R761" s="9">
        <f t="shared" si="138"/>
        <v>4751</v>
      </c>
      <c r="S761" s="9">
        <f t="shared" si="139"/>
        <v>7469725</v>
      </c>
      <c r="T761" s="15">
        <f t="shared" si="140"/>
        <v>16.686436250344954</v>
      </c>
      <c r="U761" s="15">
        <f>IF(O761="Exclude",0,G761*Fuel_Price!$B$2)</f>
        <v>2075.9502160000002</v>
      </c>
      <c r="V761" s="15">
        <f t="shared" si="141"/>
        <v>2989922.7577359979</v>
      </c>
    </row>
    <row r="762" spans="1:22">
      <c r="A762" s="1" t="s">
        <v>1937</v>
      </c>
      <c r="B762" s="1" t="s">
        <v>1938</v>
      </c>
      <c r="C762" s="1" t="s">
        <v>1924</v>
      </c>
      <c r="D762" s="1" t="s">
        <v>12</v>
      </c>
      <c r="E762" s="12">
        <v>8364</v>
      </c>
      <c r="F762" s="12" t="s">
        <v>13</v>
      </c>
      <c r="G762" s="6">
        <v>2662.92</v>
      </c>
      <c r="H762" s="1">
        <v>14.28</v>
      </c>
      <c r="J762" t="str">
        <f t="shared" si="132"/>
        <v>OK</v>
      </c>
      <c r="K762" t="str">
        <f t="shared" si="133"/>
        <v>OK</v>
      </c>
      <c r="L762">
        <f t="shared" si="142"/>
        <v>12</v>
      </c>
      <c r="M762">
        <f t="shared" si="134"/>
        <v>10</v>
      </c>
      <c r="N762" s="9" t="str">
        <f t="shared" si="143"/>
        <v>Valid</v>
      </c>
      <c r="O762" t="str">
        <f t="shared" si="135"/>
        <v>Include</v>
      </c>
      <c r="P762" s="9">
        <f t="shared" si="136"/>
        <v>2035068.5799999984</v>
      </c>
      <c r="Q762" s="15">
        <f t="shared" si="137"/>
        <v>7469725</v>
      </c>
      <c r="R762" s="9">
        <f t="shared" si="138"/>
        <v>8364</v>
      </c>
      <c r="S762" s="9">
        <f t="shared" si="139"/>
        <v>7469725</v>
      </c>
      <c r="T762" s="15">
        <f t="shared" si="140"/>
        <v>16.686436250344954</v>
      </c>
      <c r="U762" s="15">
        <f>IF(O762="Exclude",0,G762*Fuel_Price!$B$2)</f>
        <v>3912.3620640000004</v>
      </c>
      <c r="V762" s="15">
        <f t="shared" si="141"/>
        <v>2989922.7577359979</v>
      </c>
    </row>
    <row r="763" spans="1:22">
      <c r="A763" s="1" t="s">
        <v>1939</v>
      </c>
      <c r="B763" s="1" t="s">
        <v>1940</v>
      </c>
      <c r="C763" s="1" t="s">
        <v>1924</v>
      </c>
      <c r="D763" s="1" t="s">
        <v>12</v>
      </c>
      <c r="E763" s="12">
        <v>11528</v>
      </c>
      <c r="F763" s="12" t="s">
        <v>13</v>
      </c>
      <c r="G763" s="6">
        <v>3204.46</v>
      </c>
      <c r="H763" s="1">
        <v>16.350000000000001</v>
      </c>
      <c r="J763" t="str">
        <f t="shared" si="132"/>
        <v>OK</v>
      </c>
      <c r="K763" t="str">
        <f t="shared" si="133"/>
        <v>OK</v>
      </c>
      <c r="L763">
        <f t="shared" si="142"/>
        <v>12</v>
      </c>
      <c r="M763">
        <f t="shared" si="134"/>
        <v>10</v>
      </c>
      <c r="N763" s="9" t="str">
        <f t="shared" si="143"/>
        <v>Valid</v>
      </c>
      <c r="O763" t="str">
        <f t="shared" si="135"/>
        <v>Include</v>
      </c>
      <c r="P763" s="9">
        <f t="shared" si="136"/>
        <v>2035068.5799999984</v>
      </c>
      <c r="Q763" s="15">
        <f t="shared" si="137"/>
        <v>7469725</v>
      </c>
      <c r="R763" s="9">
        <f t="shared" si="138"/>
        <v>11528</v>
      </c>
      <c r="S763" s="9">
        <f t="shared" si="139"/>
        <v>7469725</v>
      </c>
      <c r="T763" s="15">
        <f t="shared" si="140"/>
        <v>16.686436250344954</v>
      </c>
      <c r="U763" s="15">
        <f>IF(O763="Exclude",0,G763*Fuel_Price!$B$2)</f>
        <v>4707.9926320000004</v>
      </c>
      <c r="V763" s="15">
        <f t="shared" si="141"/>
        <v>2989922.7577359979</v>
      </c>
    </row>
    <row r="764" spans="1:22">
      <c r="A764" s="1" t="s">
        <v>1941</v>
      </c>
      <c r="B764" s="1" t="s">
        <v>1942</v>
      </c>
      <c r="C764" s="1" t="s">
        <v>1924</v>
      </c>
      <c r="D764" s="1" t="s">
        <v>12</v>
      </c>
      <c r="E764" s="12">
        <v>11465</v>
      </c>
      <c r="F764" s="12" t="s">
        <v>13</v>
      </c>
      <c r="G764" s="6">
        <v>3176.6</v>
      </c>
      <c r="H764" s="1">
        <v>16.41</v>
      </c>
      <c r="J764" t="str">
        <f t="shared" si="132"/>
        <v>OK</v>
      </c>
      <c r="K764" t="str">
        <f t="shared" si="133"/>
        <v>OK</v>
      </c>
      <c r="L764">
        <f t="shared" si="142"/>
        <v>12</v>
      </c>
      <c r="M764">
        <f t="shared" si="134"/>
        <v>10</v>
      </c>
      <c r="N764" s="9" t="str">
        <f t="shared" si="143"/>
        <v>Valid</v>
      </c>
      <c r="O764" t="str">
        <f t="shared" si="135"/>
        <v>Include</v>
      </c>
      <c r="P764" s="9">
        <f t="shared" si="136"/>
        <v>2035068.5799999984</v>
      </c>
      <c r="Q764" s="15">
        <f t="shared" si="137"/>
        <v>7469725</v>
      </c>
      <c r="R764" s="9">
        <f t="shared" si="138"/>
        <v>11465</v>
      </c>
      <c r="S764" s="9">
        <f t="shared" si="139"/>
        <v>7469725</v>
      </c>
      <c r="T764" s="15">
        <f t="shared" si="140"/>
        <v>16.686436250344954</v>
      </c>
      <c r="U764" s="15">
        <f>IF(O764="Exclude",0,G764*Fuel_Price!$B$2)</f>
        <v>4667.0607200000004</v>
      </c>
      <c r="V764" s="15">
        <f t="shared" si="141"/>
        <v>2989922.7577359979</v>
      </c>
    </row>
    <row r="765" spans="1:22">
      <c r="A765" s="1" t="s">
        <v>1943</v>
      </c>
      <c r="B765" s="1" t="s">
        <v>1944</v>
      </c>
      <c r="C765" s="1" t="s">
        <v>1924</v>
      </c>
      <c r="D765" s="1" t="s">
        <v>12</v>
      </c>
      <c r="E765" s="12">
        <v>3745</v>
      </c>
      <c r="F765" s="12" t="s">
        <v>13</v>
      </c>
      <c r="G765" s="6">
        <v>1076.92</v>
      </c>
      <c r="H765" s="1">
        <v>15.81</v>
      </c>
      <c r="J765" t="str">
        <f t="shared" si="132"/>
        <v>OK</v>
      </c>
      <c r="K765" t="str">
        <f t="shared" si="133"/>
        <v>OK</v>
      </c>
      <c r="L765">
        <f t="shared" si="142"/>
        <v>12</v>
      </c>
      <c r="M765">
        <f t="shared" si="134"/>
        <v>10</v>
      </c>
      <c r="N765" s="9" t="str">
        <f t="shared" si="143"/>
        <v>Valid</v>
      </c>
      <c r="O765" t="str">
        <f t="shared" si="135"/>
        <v>Include</v>
      </c>
      <c r="P765" s="9">
        <f t="shared" si="136"/>
        <v>2035068.5799999984</v>
      </c>
      <c r="Q765" s="15">
        <f t="shared" si="137"/>
        <v>7469725</v>
      </c>
      <c r="R765" s="9">
        <f t="shared" si="138"/>
        <v>3745</v>
      </c>
      <c r="S765" s="9">
        <f t="shared" si="139"/>
        <v>7469725</v>
      </c>
      <c r="T765" s="15">
        <f t="shared" si="140"/>
        <v>16.686436250344954</v>
      </c>
      <c r="U765" s="15">
        <f>IF(O765="Exclude",0,G765*Fuel_Price!$B$2)</f>
        <v>1582.2108640000001</v>
      </c>
      <c r="V765" s="15">
        <f t="shared" si="141"/>
        <v>2989922.7577359979</v>
      </c>
    </row>
    <row r="766" spans="1:22">
      <c r="A766" s="1" t="s">
        <v>1945</v>
      </c>
      <c r="B766" s="1" t="s">
        <v>1946</v>
      </c>
      <c r="C766" s="1" t="s">
        <v>1924</v>
      </c>
      <c r="D766" s="1" t="s">
        <v>12</v>
      </c>
      <c r="E766" s="12">
        <v>8336</v>
      </c>
      <c r="F766" s="12" t="s">
        <v>137</v>
      </c>
      <c r="G766" s="6">
        <v>1632.89</v>
      </c>
      <c r="H766" s="1">
        <v>14.42</v>
      </c>
      <c r="J766" t="str">
        <f t="shared" si="132"/>
        <v>OK</v>
      </c>
      <c r="K766" t="str">
        <f t="shared" si="133"/>
        <v>OK</v>
      </c>
      <c r="L766">
        <f t="shared" si="142"/>
        <v>12</v>
      </c>
      <c r="M766">
        <f t="shared" si="134"/>
        <v>10</v>
      </c>
      <c r="N766" s="9" t="str">
        <f t="shared" si="143"/>
        <v>Valid</v>
      </c>
      <c r="O766" t="str">
        <f t="shared" si="135"/>
        <v>Include</v>
      </c>
      <c r="P766" s="9">
        <f t="shared" si="136"/>
        <v>2035068.5799999984</v>
      </c>
      <c r="Q766" s="15">
        <f t="shared" si="137"/>
        <v>7469725</v>
      </c>
      <c r="R766" s="9">
        <f t="shared" si="138"/>
        <v>8336</v>
      </c>
      <c r="S766" s="9">
        <f t="shared" si="139"/>
        <v>7469725</v>
      </c>
      <c r="T766" s="15">
        <f t="shared" si="140"/>
        <v>16.686436250344954</v>
      </c>
      <c r="U766" s="15">
        <f>IF(O766="Exclude",0,G766*Fuel_Price!$B$2)</f>
        <v>2399.0419880000004</v>
      </c>
      <c r="V766" s="15">
        <f t="shared" si="141"/>
        <v>2989922.7577359979</v>
      </c>
    </row>
    <row r="767" spans="1:22">
      <c r="A767" s="1" t="s">
        <v>1947</v>
      </c>
      <c r="B767" s="1" t="s">
        <v>1948</v>
      </c>
      <c r="C767" s="1" t="s">
        <v>1949</v>
      </c>
      <c r="D767" s="1" t="s">
        <v>12</v>
      </c>
      <c r="E767" s="12">
        <v>1502</v>
      </c>
      <c r="F767" s="12" t="s">
        <v>13</v>
      </c>
      <c r="G767" s="6">
        <v>1080.42</v>
      </c>
      <c r="H767" s="1">
        <v>6.32</v>
      </c>
      <c r="J767" t="str">
        <f t="shared" si="132"/>
        <v>OK</v>
      </c>
      <c r="K767" t="str">
        <f t="shared" si="133"/>
        <v>OK</v>
      </c>
      <c r="L767">
        <f t="shared" si="142"/>
        <v>12</v>
      </c>
      <c r="M767">
        <f t="shared" si="134"/>
        <v>10</v>
      </c>
      <c r="N767" s="9" t="str">
        <f t="shared" si="143"/>
        <v>Valid</v>
      </c>
      <c r="O767" t="str">
        <f t="shared" si="135"/>
        <v>Include</v>
      </c>
      <c r="P767" s="9">
        <f t="shared" si="136"/>
        <v>2035068.5799999984</v>
      </c>
      <c r="Q767" s="15">
        <f t="shared" si="137"/>
        <v>7469725</v>
      </c>
      <c r="R767" s="9">
        <f t="shared" si="138"/>
        <v>1502</v>
      </c>
      <c r="S767" s="9">
        <f t="shared" si="139"/>
        <v>7469725</v>
      </c>
      <c r="T767" s="15">
        <f t="shared" si="140"/>
        <v>16.686436250344954</v>
      </c>
      <c r="U767" s="15">
        <f>IF(O767="Exclude",0,G767*Fuel_Price!$B$2)</f>
        <v>1587.3530640000001</v>
      </c>
      <c r="V767" s="15">
        <f t="shared" si="141"/>
        <v>2989922.7577359979</v>
      </c>
    </row>
    <row r="768" spans="1:22">
      <c r="A768" s="1" t="s">
        <v>1950</v>
      </c>
      <c r="B768" s="1" t="s">
        <v>1951</v>
      </c>
      <c r="C768" s="1" t="s">
        <v>1949</v>
      </c>
      <c r="D768" s="1" t="s">
        <v>12</v>
      </c>
      <c r="E768" s="12">
        <v>2352</v>
      </c>
      <c r="F768" s="12" t="s">
        <v>137</v>
      </c>
      <c r="G768" s="6">
        <v>866.48</v>
      </c>
      <c r="H768" s="1">
        <v>7.67</v>
      </c>
      <c r="J768" t="str">
        <f t="shared" si="132"/>
        <v>OK</v>
      </c>
      <c r="K768" t="str">
        <f t="shared" si="133"/>
        <v>OK</v>
      </c>
      <c r="L768">
        <f t="shared" si="142"/>
        <v>12</v>
      </c>
      <c r="M768">
        <f t="shared" si="134"/>
        <v>10</v>
      </c>
      <c r="N768" s="9" t="str">
        <f t="shared" si="143"/>
        <v>Valid</v>
      </c>
      <c r="O768" t="str">
        <f t="shared" si="135"/>
        <v>Include</v>
      </c>
      <c r="P768" s="9">
        <f t="shared" si="136"/>
        <v>2035068.5799999984</v>
      </c>
      <c r="Q768" s="15">
        <f t="shared" si="137"/>
        <v>7469725</v>
      </c>
      <c r="R768" s="9">
        <f t="shared" si="138"/>
        <v>2352</v>
      </c>
      <c r="S768" s="9">
        <f t="shared" si="139"/>
        <v>7469725</v>
      </c>
      <c r="T768" s="15">
        <f t="shared" si="140"/>
        <v>16.686436250344954</v>
      </c>
      <c r="U768" s="15">
        <f>IF(O768="Exclude",0,G768*Fuel_Price!$B$2)</f>
        <v>1273.032416</v>
      </c>
      <c r="V768" s="15">
        <f t="shared" si="141"/>
        <v>2989922.7577359979</v>
      </c>
    </row>
    <row r="769" spans="1:22">
      <c r="A769" s="1" t="s">
        <v>1952</v>
      </c>
      <c r="B769" s="1" t="s">
        <v>1953</v>
      </c>
      <c r="C769" s="1" t="s">
        <v>1954</v>
      </c>
      <c r="D769" s="1" t="s">
        <v>12</v>
      </c>
      <c r="E769" s="12">
        <v>1725</v>
      </c>
      <c r="F769" s="12" t="s">
        <v>13</v>
      </c>
      <c r="G769" s="6">
        <v>1539.95</v>
      </c>
      <c r="H769" s="1">
        <v>5.09</v>
      </c>
      <c r="J769" t="str">
        <f t="shared" si="132"/>
        <v>OK</v>
      </c>
      <c r="K769" t="str">
        <f t="shared" si="133"/>
        <v>OK</v>
      </c>
      <c r="L769">
        <f t="shared" si="142"/>
        <v>12</v>
      </c>
      <c r="M769">
        <f t="shared" si="134"/>
        <v>10</v>
      </c>
      <c r="N769" s="9" t="str">
        <f t="shared" si="143"/>
        <v>Valid</v>
      </c>
      <c r="O769" t="str">
        <f t="shared" si="135"/>
        <v>Include</v>
      </c>
      <c r="P769" s="9">
        <f t="shared" si="136"/>
        <v>2035068.5799999984</v>
      </c>
      <c r="Q769" s="15">
        <f t="shared" si="137"/>
        <v>7469725</v>
      </c>
      <c r="R769" s="9">
        <f t="shared" si="138"/>
        <v>1725</v>
      </c>
      <c r="S769" s="9">
        <f t="shared" si="139"/>
        <v>7469725</v>
      </c>
      <c r="T769" s="15">
        <f t="shared" si="140"/>
        <v>16.686436250344954</v>
      </c>
      <c r="U769" s="15">
        <f>IF(O769="Exclude",0,G769*Fuel_Price!$B$2)</f>
        <v>2262.4945400000001</v>
      </c>
      <c r="V769" s="15">
        <f t="shared" si="141"/>
        <v>2989922.7577359979</v>
      </c>
    </row>
    <row r="770" spans="1:22">
      <c r="A770" s="1" t="s">
        <v>1955</v>
      </c>
      <c r="B770" s="1" t="s">
        <v>1956</v>
      </c>
      <c r="C770" s="1" t="s">
        <v>1957</v>
      </c>
      <c r="D770" s="1" t="s">
        <v>12</v>
      </c>
      <c r="E770" s="12">
        <v>4453</v>
      </c>
      <c r="F770" s="12" t="s">
        <v>137</v>
      </c>
      <c r="G770" s="6">
        <v>2243.4</v>
      </c>
      <c r="H770" s="1">
        <v>5.61</v>
      </c>
      <c r="J770" t="str">
        <f t="shared" ref="J770:J833" si="144">IF(OR(H770&lt;=0,H770&gt;100),"Check","OK")</f>
        <v>OK</v>
      </c>
      <c r="K770" t="str">
        <f t="shared" ref="K770:K833" si="145">IF(E770&lt;0,"Check","OK")</f>
        <v>OK</v>
      </c>
      <c r="L770">
        <f t="shared" si="142"/>
        <v>12</v>
      </c>
      <c r="M770">
        <f t="shared" ref="M770:M833" si="146">COUNTIF(K:K,"Check")</f>
        <v>10</v>
      </c>
      <c r="N770" s="9" t="str">
        <f t="shared" si="143"/>
        <v>Valid</v>
      </c>
      <c r="O770" t="str">
        <f t="shared" ref="O770:O833" si="147">IF(N770="Review","Exclude","Include")</f>
        <v>Include</v>
      </c>
      <c r="P770" s="9">
        <f t="shared" ref="P770:P833" si="148">SUMIF(O:O,"Include",G:G)</f>
        <v>2035068.5799999984</v>
      </c>
      <c r="Q770" s="15">
        <f t="shared" ref="Q770:Q833" si="149">SUMIF(O:O,"Include",E:E)</f>
        <v>7469725</v>
      </c>
      <c r="R770" s="9">
        <f t="shared" ref="R770:R833" si="150">IF(O770="Exclude",0,E770)</f>
        <v>4453</v>
      </c>
      <c r="S770" s="9">
        <f t="shared" ref="S770:S833" si="151">SUM(R:R)</f>
        <v>7469725</v>
      </c>
      <c r="T770" s="15">
        <f t="shared" ref="T770:T833" si="152">S770/(P770/4.54609)</f>
        <v>16.686436250344954</v>
      </c>
      <c r="U770" s="15">
        <f>IF(O770="Exclude",0,G770*Fuel_Price!$B$2)</f>
        <v>3296.0032800000004</v>
      </c>
      <c r="V770" s="15">
        <f t="shared" ref="V770:V833" si="153">SUM(U:U)</f>
        <v>2989922.7577359979</v>
      </c>
    </row>
    <row r="771" spans="1:22">
      <c r="A771" s="1" t="s">
        <v>1959</v>
      </c>
      <c r="B771" s="1" t="s">
        <v>1960</v>
      </c>
      <c r="C771" s="1" t="s">
        <v>1958</v>
      </c>
      <c r="D771" s="1" t="s">
        <v>12</v>
      </c>
      <c r="E771" s="12">
        <v>3583</v>
      </c>
      <c r="F771" s="12" t="s">
        <v>137</v>
      </c>
      <c r="G771" s="6">
        <v>1362.64</v>
      </c>
      <c r="H771" s="1">
        <v>7.43</v>
      </c>
      <c r="J771" t="str">
        <f t="shared" si="144"/>
        <v>OK</v>
      </c>
      <c r="K771" t="str">
        <f t="shared" si="145"/>
        <v>OK</v>
      </c>
      <c r="L771">
        <f t="shared" ref="L771:L834" si="154">COUNTIF(J:J,"Check")</f>
        <v>12</v>
      </c>
      <c r="M771">
        <f t="shared" si="146"/>
        <v>10</v>
      </c>
      <c r="N771" s="9" t="str">
        <f t="shared" si="143"/>
        <v>Valid</v>
      </c>
      <c r="O771" t="str">
        <f t="shared" si="147"/>
        <v>Include</v>
      </c>
      <c r="P771" s="9">
        <f t="shared" si="148"/>
        <v>2035068.5799999984</v>
      </c>
      <c r="Q771" s="15">
        <f t="shared" si="149"/>
        <v>7469725</v>
      </c>
      <c r="R771" s="9">
        <f t="shared" si="150"/>
        <v>3583</v>
      </c>
      <c r="S771" s="9">
        <f t="shared" si="151"/>
        <v>7469725</v>
      </c>
      <c r="T771" s="15">
        <f t="shared" si="152"/>
        <v>16.686436250344954</v>
      </c>
      <c r="U771" s="15">
        <f>IF(O771="Exclude",0,G771*Fuel_Price!$B$2)</f>
        <v>2001.9906880000003</v>
      </c>
      <c r="V771" s="15">
        <f t="shared" si="153"/>
        <v>2989922.7577359979</v>
      </c>
    </row>
    <row r="772" spans="1:22">
      <c r="A772" s="1" t="s">
        <v>1961</v>
      </c>
      <c r="B772" s="1" t="s">
        <v>1962</v>
      </c>
      <c r="C772" s="1" t="s">
        <v>1963</v>
      </c>
      <c r="D772" s="1" t="s">
        <v>12</v>
      </c>
      <c r="E772" s="12">
        <v>11406</v>
      </c>
      <c r="F772" s="12" t="s">
        <v>137</v>
      </c>
      <c r="G772" s="6">
        <v>12511.32</v>
      </c>
      <c r="H772" s="1">
        <v>2.58</v>
      </c>
      <c r="J772" t="str">
        <f t="shared" si="144"/>
        <v>OK</v>
      </c>
      <c r="K772" t="str">
        <f t="shared" si="145"/>
        <v>OK</v>
      </c>
      <c r="L772">
        <f t="shared" si="154"/>
        <v>12</v>
      </c>
      <c r="M772">
        <f t="shared" si="146"/>
        <v>10</v>
      </c>
      <c r="N772" s="9" t="str">
        <f t="shared" si="143"/>
        <v>Valid</v>
      </c>
      <c r="O772" t="str">
        <f t="shared" si="147"/>
        <v>Include</v>
      </c>
      <c r="P772" s="9">
        <f t="shared" si="148"/>
        <v>2035068.5799999984</v>
      </c>
      <c r="Q772" s="15">
        <f t="shared" si="149"/>
        <v>7469725</v>
      </c>
      <c r="R772" s="9">
        <f t="shared" si="150"/>
        <v>11406</v>
      </c>
      <c r="S772" s="9">
        <f t="shared" si="151"/>
        <v>7469725</v>
      </c>
      <c r="T772" s="15">
        <f t="shared" si="152"/>
        <v>16.686436250344954</v>
      </c>
      <c r="U772" s="15">
        <f>IF(O772="Exclude",0,G772*Fuel_Price!$B$2)</f>
        <v>18381.631344000001</v>
      </c>
      <c r="V772" s="15">
        <f t="shared" si="153"/>
        <v>2989922.7577359979</v>
      </c>
    </row>
    <row r="773" spans="1:22">
      <c r="A773" s="1" t="s">
        <v>1964</v>
      </c>
      <c r="B773" s="1" t="s">
        <v>1965</v>
      </c>
      <c r="C773" s="1" t="s">
        <v>1963</v>
      </c>
      <c r="D773" s="1" t="s">
        <v>12</v>
      </c>
      <c r="E773" s="12">
        <v>28971</v>
      </c>
      <c r="F773" s="12" t="s">
        <v>137</v>
      </c>
      <c r="G773" s="6">
        <v>8837.8799999999992</v>
      </c>
      <c r="H773" s="1">
        <v>9.26</v>
      </c>
      <c r="J773" t="str">
        <f t="shared" si="144"/>
        <v>OK</v>
      </c>
      <c r="K773" t="str">
        <f t="shared" si="145"/>
        <v>OK</v>
      </c>
      <c r="L773">
        <f t="shared" si="154"/>
        <v>12</v>
      </c>
      <c r="M773">
        <f t="shared" si="146"/>
        <v>10</v>
      </c>
      <c r="N773" s="9" t="str">
        <f t="shared" si="143"/>
        <v>Valid</v>
      </c>
      <c r="O773" t="str">
        <f t="shared" si="147"/>
        <v>Include</v>
      </c>
      <c r="P773" s="9">
        <f t="shared" si="148"/>
        <v>2035068.5799999984</v>
      </c>
      <c r="Q773" s="15">
        <f t="shared" si="149"/>
        <v>7469725</v>
      </c>
      <c r="R773" s="9">
        <f t="shared" si="150"/>
        <v>28971</v>
      </c>
      <c r="S773" s="9">
        <f t="shared" si="151"/>
        <v>7469725</v>
      </c>
      <c r="T773" s="15">
        <f t="shared" si="152"/>
        <v>16.686436250344954</v>
      </c>
      <c r="U773" s="15">
        <f>IF(O773="Exclude",0,G773*Fuel_Price!$B$2)</f>
        <v>12984.613296</v>
      </c>
      <c r="V773" s="15">
        <f t="shared" si="153"/>
        <v>2989922.7577359979</v>
      </c>
    </row>
    <row r="774" spans="1:22">
      <c r="A774" s="1" t="s">
        <v>1966</v>
      </c>
      <c r="B774" s="1" t="s">
        <v>1967</v>
      </c>
      <c r="C774" s="1" t="s">
        <v>1963</v>
      </c>
      <c r="D774" s="1" t="s">
        <v>12</v>
      </c>
      <c r="E774" s="12">
        <v>14200</v>
      </c>
      <c r="F774" s="12" t="s">
        <v>137</v>
      </c>
      <c r="G774" s="6">
        <v>11687.67</v>
      </c>
      <c r="H774" s="1">
        <v>3.43</v>
      </c>
      <c r="J774" t="str">
        <f t="shared" si="144"/>
        <v>OK</v>
      </c>
      <c r="K774" t="str">
        <f t="shared" si="145"/>
        <v>OK</v>
      </c>
      <c r="L774">
        <f t="shared" si="154"/>
        <v>12</v>
      </c>
      <c r="M774">
        <f t="shared" si="146"/>
        <v>10</v>
      </c>
      <c r="N774" s="9" t="str">
        <f t="shared" si="143"/>
        <v>Valid</v>
      </c>
      <c r="O774" t="str">
        <f t="shared" si="147"/>
        <v>Include</v>
      </c>
      <c r="P774" s="9">
        <f t="shared" si="148"/>
        <v>2035068.5799999984</v>
      </c>
      <c r="Q774" s="15">
        <f t="shared" si="149"/>
        <v>7469725</v>
      </c>
      <c r="R774" s="9">
        <f t="shared" si="150"/>
        <v>14200</v>
      </c>
      <c r="S774" s="9">
        <f t="shared" si="151"/>
        <v>7469725</v>
      </c>
      <c r="T774" s="15">
        <f t="shared" si="152"/>
        <v>16.686436250344954</v>
      </c>
      <c r="U774" s="15">
        <f>IF(O774="Exclude",0,G774*Fuel_Price!$B$2)</f>
        <v>17171.524764000002</v>
      </c>
      <c r="V774" s="15">
        <f t="shared" si="153"/>
        <v>2989922.7577359979</v>
      </c>
    </row>
    <row r="775" spans="1:22">
      <c r="A775" s="1" t="s">
        <v>1968</v>
      </c>
      <c r="B775" s="1" t="s">
        <v>1969</v>
      </c>
      <c r="C775" s="1" t="s">
        <v>1963</v>
      </c>
      <c r="D775" s="1" t="s">
        <v>12</v>
      </c>
      <c r="E775" s="12">
        <v>14799</v>
      </c>
      <c r="F775" s="12" t="s">
        <v>137</v>
      </c>
      <c r="G775" s="6">
        <v>11593.17</v>
      </c>
      <c r="H775" s="1">
        <v>3.61</v>
      </c>
      <c r="J775" t="str">
        <f t="shared" si="144"/>
        <v>OK</v>
      </c>
      <c r="K775" t="str">
        <f t="shared" si="145"/>
        <v>OK</v>
      </c>
      <c r="L775">
        <f t="shared" si="154"/>
        <v>12</v>
      </c>
      <c r="M775">
        <f t="shared" si="146"/>
        <v>10</v>
      </c>
      <c r="N775" s="9" t="str">
        <f t="shared" ref="N775:N838" si="155">IF(OR(H775&lt;=0,H775&gt;100,E775&lt;0),"Review","Valid")</f>
        <v>Valid</v>
      </c>
      <c r="O775" t="str">
        <f t="shared" si="147"/>
        <v>Include</v>
      </c>
      <c r="P775" s="9">
        <f t="shared" si="148"/>
        <v>2035068.5799999984</v>
      </c>
      <c r="Q775" s="15">
        <f t="shared" si="149"/>
        <v>7469725</v>
      </c>
      <c r="R775" s="9">
        <f t="shared" si="150"/>
        <v>14799</v>
      </c>
      <c r="S775" s="9">
        <f t="shared" si="151"/>
        <v>7469725</v>
      </c>
      <c r="T775" s="15">
        <f t="shared" si="152"/>
        <v>16.686436250344954</v>
      </c>
      <c r="U775" s="15">
        <f>IF(O775="Exclude",0,G775*Fuel_Price!$B$2)</f>
        <v>17032.685364000001</v>
      </c>
      <c r="V775" s="15">
        <f t="shared" si="153"/>
        <v>2989922.7577359979</v>
      </c>
    </row>
    <row r="776" spans="1:22">
      <c r="A776" s="1" t="s">
        <v>1970</v>
      </c>
      <c r="B776" s="1" t="s">
        <v>1971</v>
      </c>
      <c r="C776" s="1" t="s">
        <v>1963</v>
      </c>
      <c r="D776" s="1" t="s">
        <v>12</v>
      </c>
      <c r="E776" s="12">
        <v>8034</v>
      </c>
      <c r="F776" s="12" t="s">
        <v>137</v>
      </c>
      <c r="G776" s="6">
        <v>10998.54</v>
      </c>
      <c r="H776" s="1">
        <v>2.06</v>
      </c>
      <c r="J776" t="str">
        <f t="shared" si="144"/>
        <v>OK</v>
      </c>
      <c r="K776" t="str">
        <f t="shared" si="145"/>
        <v>OK</v>
      </c>
      <c r="L776">
        <f t="shared" si="154"/>
        <v>12</v>
      </c>
      <c r="M776">
        <f t="shared" si="146"/>
        <v>10</v>
      </c>
      <c r="N776" s="9" t="str">
        <f t="shared" si="155"/>
        <v>Valid</v>
      </c>
      <c r="O776" t="str">
        <f t="shared" si="147"/>
        <v>Include</v>
      </c>
      <c r="P776" s="9">
        <f t="shared" si="148"/>
        <v>2035068.5799999984</v>
      </c>
      <c r="Q776" s="15">
        <f t="shared" si="149"/>
        <v>7469725</v>
      </c>
      <c r="R776" s="9">
        <f t="shared" si="150"/>
        <v>8034</v>
      </c>
      <c r="S776" s="9">
        <f t="shared" si="151"/>
        <v>7469725</v>
      </c>
      <c r="T776" s="15">
        <f t="shared" si="152"/>
        <v>16.686436250344954</v>
      </c>
      <c r="U776" s="15">
        <f>IF(O776="Exclude",0,G776*Fuel_Price!$B$2)</f>
        <v>16159.054968000002</v>
      </c>
      <c r="V776" s="15">
        <f t="shared" si="153"/>
        <v>2989922.7577359979</v>
      </c>
    </row>
    <row r="777" spans="1:22">
      <c r="A777" s="1" t="s">
        <v>1972</v>
      </c>
      <c r="B777" s="1" t="s">
        <v>1973</v>
      </c>
      <c r="C777" s="1" t="s">
        <v>1963</v>
      </c>
      <c r="D777" s="1" t="s">
        <v>12</v>
      </c>
      <c r="E777" s="12">
        <v>15161</v>
      </c>
      <c r="F777" s="12" t="s">
        <v>137</v>
      </c>
      <c r="G777" s="6">
        <v>11333.85</v>
      </c>
      <c r="H777" s="1">
        <v>3.78</v>
      </c>
      <c r="J777" t="str">
        <f t="shared" si="144"/>
        <v>OK</v>
      </c>
      <c r="K777" t="str">
        <f t="shared" si="145"/>
        <v>OK</v>
      </c>
      <c r="L777">
        <f t="shared" si="154"/>
        <v>12</v>
      </c>
      <c r="M777">
        <f t="shared" si="146"/>
        <v>10</v>
      </c>
      <c r="N777" s="9" t="str">
        <f t="shared" si="155"/>
        <v>Valid</v>
      </c>
      <c r="O777" t="str">
        <f t="shared" si="147"/>
        <v>Include</v>
      </c>
      <c r="P777" s="9">
        <f t="shared" si="148"/>
        <v>2035068.5799999984</v>
      </c>
      <c r="Q777" s="15">
        <f t="shared" si="149"/>
        <v>7469725</v>
      </c>
      <c r="R777" s="9">
        <f t="shared" si="150"/>
        <v>15161</v>
      </c>
      <c r="S777" s="9">
        <f t="shared" si="151"/>
        <v>7469725</v>
      </c>
      <c r="T777" s="15">
        <f t="shared" si="152"/>
        <v>16.686436250344954</v>
      </c>
      <c r="U777" s="15">
        <f>IF(O777="Exclude",0,G777*Fuel_Price!$B$2)</f>
        <v>16651.692420000003</v>
      </c>
      <c r="V777" s="15">
        <f t="shared" si="153"/>
        <v>2989922.7577359979</v>
      </c>
    </row>
    <row r="778" spans="1:22">
      <c r="A778" s="1" t="s">
        <v>1974</v>
      </c>
      <c r="B778" s="1" t="s">
        <v>1975</v>
      </c>
      <c r="C778" s="1" t="s">
        <v>1963</v>
      </c>
      <c r="D778" s="1" t="s">
        <v>12</v>
      </c>
      <c r="E778" s="12">
        <v>5561</v>
      </c>
      <c r="F778" s="12" t="s">
        <v>137</v>
      </c>
      <c r="G778" s="6">
        <v>8117.19</v>
      </c>
      <c r="H778" s="1">
        <v>1.94</v>
      </c>
      <c r="J778" t="str">
        <f t="shared" si="144"/>
        <v>OK</v>
      </c>
      <c r="K778" t="str">
        <f t="shared" si="145"/>
        <v>OK</v>
      </c>
      <c r="L778">
        <f t="shared" si="154"/>
        <v>12</v>
      </c>
      <c r="M778">
        <f t="shared" si="146"/>
        <v>10</v>
      </c>
      <c r="N778" s="9" t="str">
        <f t="shared" si="155"/>
        <v>Valid</v>
      </c>
      <c r="O778" t="str">
        <f t="shared" si="147"/>
        <v>Include</v>
      </c>
      <c r="P778" s="9">
        <f t="shared" si="148"/>
        <v>2035068.5799999984</v>
      </c>
      <c r="Q778" s="15">
        <f t="shared" si="149"/>
        <v>7469725</v>
      </c>
      <c r="R778" s="9">
        <f t="shared" si="150"/>
        <v>5561</v>
      </c>
      <c r="S778" s="9">
        <f t="shared" si="151"/>
        <v>7469725</v>
      </c>
      <c r="T778" s="15">
        <f t="shared" si="152"/>
        <v>16.686436250344954</v>
      </c>
      <c r="U778" s="15">
        <f>IF(O778="Exclude",0,G778*Fuel_Price!$B$2)</f>
        <v>11925.775548</v>
      </c>
      <c r="V778" s="15">
        <f t="shared" si="153"/>
        <v>2989922.7577359979</v>
      </c>
    </row>
    <row r="779" spans="1:22">
      <c r="A779" s="1" t="s">
        <v>1976</v>
      </c>
      <c r="B779" s="1" t="s">
        <v>1977</v>
      </c>
      <c r="C779" s="1" t="s">
        <v>518</v>
      </c>
      <c r="D779" s="1" t="s">
        <v>12</v>
      </c>
      <c r="E779" s="12">
        <v>7896</v>
      </c>
      <c r="F779" s="12" t="s">
        <v>137</v>
      </c>
      <c r="G779" s="6">
        <v>11802.77</v>
      </c>
      <c r="H779" s="1">
        <v>1.89</v>
      </c>
      <c r="J779" t="str">
        <f t="shared" si="144"/>
        <v>OK</v>
      </c>
      <c r="K779" t="str">
        <f t="shared" si="145"/>
        <v>OK</v>
      </c>
      <c r="L779">
        <f t="shared" si="154"/>
        <v>12</v>
      </c>
      <c r="M779">
        <f t="shared" si="146"/>
        <v>10</v>
      </c>
      <c r="N779" s="9" t="str">
        <f t="shared" si="155"/>
        <v>Valid</v>
      </c>
      <c r="O779" t="str">
        <f t="shared" si="147"/>
        <v>Include</v>
      </c>
      <c r="P779" s="9">
        <f t="shared" si="148"/>
        <v>2035068.5799999984</v>
      </c>
      <c r="Q779" s="15">
        <f t="shared" si="149"/>
        <v>7469725</v>
      </c>
      <c r="R779" s="9">
        <f t="shared" si="150"/>
        <v>7896</v>
      </c>
      <c r="S779" s="9">
        <f t="shared" si="151"/>
        <v>7469725</v>
      </c>
      <c r="T779" s="15">
        <f t="shared" si="152"/>
        <v>16.686436250344954</v>
      </c>
      <c r="U779" s="15">
        <f>IF(O779="Exclude",0,G779*Fuel_Price!$B$2)</f>
        <v>17340.629684000003</v>
      </c>
      <c r="V779" s="15">
        <f t="shared" si="153"/>
        <v>2989922.7577359979</v>
      </c>
    </row>
    <row r="780" spans="1:22">
      <c r="A780" s="1" t="s">
        <v>1978</v>
      </c>
      <c r="B780" s="1" t="s">
        <v>1979</v>
      </c>
      <c r="C780" s="1" t="s">
        <v>1963</v>
      </c>
      <c r="D780" s="1" t="s">
        <v>12</v>
      </c>
      <c r="E780" s="12">
        <v>10474</v>
      </c>
      <c r="F780" s="12" t="s">
        <v>137</v>
      </c>
      <c r="G780" s="6">
        <v>12867.81</v>
      </c>
      <c r="H780" s="1">
        <v>2.2999999999999998</v>
      </c>
      <c r="J780" t="str">
        <f t="shared" si="144"/>
        <v>OK</v>
      </c>
      <c r="K780" t="str">
        <f t="shared" si="145"/>
        <v>OK</v>
      </c>
      <c r="L780">
        <f t="shared" si="154"/>
        <v>12</v>
      </c>
      <c r="M780">
        <f t="shared" si="146"/>
        <v>10</v>
      </c>
      <c r="N780" s="9" t="str">
        <f t="shared" si="155"/>
        <v>Valid</v>
      </c>
      <c r="O780" t="str">
        <f t="shared" si="147"/>
        <v>Include</v>
      </c>
      <c r="P780" s="9">
        <f t="shared" si="148"/>
        <v>2035068.5799999984</v>
      </c>
      <c r="Q780" s="15">
        <f t="shared" si="149"/>
        <v>7469725</v>
      </c>
      <c r="R780" s="9">
        <f t="shared" si="150"/>
        <v>10474</v>
      </c>
      <c r="S780" s="9">
        <f t="shared" si="151"/>
        <v>7469725</v>
      </c>
      <c r="T780" s="15">
        <f t="shared" si="152"/>
        <v>16.686436250344954</v>
      </c>
      <c r="U780" s="15">
        <f>IF(O780="Exclude",0,G780*Fuel_Price!$B$2)</f>
        <v>18905.386451999999</v>
      </c>
      <c r="V780" s="15">
        <f t="shared" si="153"/>
        <v>2989922.7577359979</v>
      </c>
    </row>
    <row r="781" spans="1:22">
      <c r="A781" s="1" t="s">
        <v>1980</v>
      </c>
      <c r="B781" s="1" t="s">
        <v>1981</v>
      </c>
      <c r="C781" s="1" t="s">
        <v>1963</v>
      </c>
      <c r="D781" s="1" t="s">
        <v>12</v>
      </c>
      <c r="E781" s="12">
        <v>5907</v>
      </c>
      <c r="F781" s="12" t="s">
        <v>137</v>
      </c>
      <c r="G781" s="6">
        <v>9771.94</v>
      </c>
      <c r="H781" s="1">
        <v>1.71</v>
      </c>
      <c r="J781" t="str">
        <f t="shared" si="144"/>
        <v>OK</v>
      </c>
      <c r="K781" t="str">
        <f t="shared" si="145"/>
        <v>OK</v>
      </c>
      <c r="L781">
        <f t="shared" si="154"/>
        <v>12</v>
      </c>
      <c r="M781">
        <f t="shared" si="146"/>
        <v>10</v>
      </c>
      <c r="N781" s="9" t="str">
        <f t="shared" si="155"/>
        <v>Valid</v>
      </c>
      <c r="O781" t="str">
        <f t="shared" si="147"/>
        <v>Include</v>
      </c>
      <c r="P781" s="9">
        <f t="shared" si="148"/>
        <v>2035068.5799999984</v>
      </c>
      <c r="Q781" s="15">
        <f t="shared" si="149"/>
        <v>7469725</v>
      </c>
      <c r="R781" s="9">
        <f t="shared" si="150"/>
        <v>5907</v>
      </c>
      <c r="S781" s="9">
        <f t="shared" si="151"/>
        <v>7469725</v>
      </c>
      <c r="T781" s="15">
        <f t="shared" si="152"/>
        <v>16.686436250344954</v>
      </c>
      <c r="U781" s="15">
        <f>IF(O781="Exclude",0,G781*Fuel_Price!$B$2)</f>
        <v>14356.934248000001</v>
      </c>
      <c r="V781" s="15">
        <f t="shared" si="153"/>
        <v>2989922.7577359979</v>
      </c>
    </row>
    <row r="782" spans="1:22">
      <c r="A782" s="1" t="s">
        <v>1982</v>
      </c>
      <c r="B782" s="1" t="s">
        <v>1983</v>
      </c>
      <c r="C782" s="1" t="s">
        <v>1984</v>
      </c>
      <c r="D782" s="1" t="s">
        <v>12</v>
      </c>
      <c r="E782" s="12">
        <v>7311</v>
      </c>
      <c r="F782" s="12" t="s">
        <v>137</v>
      </c>
      <c r="G782" s="6">
        <v>11034.28</v>
      </c>
      <c r="H782" s="1">
        <v>1.87</v>
      </c>
      <c r="J782" t="str">
        <f t="shared" si="144"/>
        <v>OK</v>
      </c>
      <c r="K782" t="str">
        <f t="shared" si="145"/>
        <v>OK</v>
      </c>
      <c r="L782">
        <f t="shared" si="154"/>
        <v>12</v>
      </c>
      <c r="M782">
        <f t="shared" si="146"/>
        <v>10</v>
      </c>
      <c r="N782" s="9" t="str">
        <f t="shared" si="155"/>
        <v>Valid</v>
      </c>
      <c r="O782" t="str">
        <f t="shared" si="147"/>
        <v>Include</v>
      </c>
      <c r="P782" s="9">
        <f t="shared" si="148"/>
        <v>2035068.5799999984</v>
      </c>
      <c r="Q782" s="15">
        <f t="shared" si="149"/>
        <v>7469725</v>
      </c>
      <c r="R782" s="9">
        <f t="shared" si="150"/>
        <v>7311</v>
      </c>
      <c r="S782" s="9">
        <f t="shared" si="151"/>
        <v>7469725</v>
      </c>
      <c r="T782" s="15">
        <f t="shared" si="152"/>
        <v>16.686436250344954</v>
      </c>
      <c r="U782" s="15">
        <f>IF(O782="Exclude",0,G782*Fuel_Price!$B$2)</f>
        <v>16211.564176000002</v>
      </c>
      <c r="V782" s="15">
        <f t="shared" si="153"/>
        <v>2989922.7577359979</v>
      </c>
    </row>
    <row r="783" spans="1:22">
      <c r="A783" s="1" t="s">
        <v>1985</v>
      </c>
      <c r="B783" s="1" t="s">
        <v>1986</v>
      </c>
      <c r="C783" s="1" t="s">
        <v>1987</v>
      </c>
      <c r="D783" s="1" t="s">
        <v>12</v>
      </c>
      <c r="E783" s="12">
        <v>13292</v>
      </c>
      <c r="F783" s="12" t="s">
        <v>137</v>
      </c>
      <c r="G783" s="6">
        <v>10501.78</v>
      </c>
      <c r="H783" s="1">
        <v>3.58</v>
      </c>
      <c r="J783" t="str">
        <f t="shared" si="144"/>
        <v>OK</v>
      </c>
      <c r="K783" t="str">
        <f t="shared" si="145"/>
        <v>OK</v>
      </c>
      <c r="L783">
        <f t="shared" si="154"/>
        <v>12</v>
      </c>
      <c r="M783">
        <f t="shared" si="146"/>
        <v>10</v>
      </c>
      <c r="N783" s="9" t="str">
        <f t="shared" si="155"/>
        <v>Valid</v>
      </c>
      <c r="O783" t="str">
        <f t="shared" si="147"/>
        <v>Include</v>
      </c>
      <c r="P783" s="9">
        <f t="shared" si="148"/>
        <v>2035068.5799999984</v>
      </c>
      <c r="Q783" s="15">
        <f t="shared" si="149"/>
        <v>7469725</v>
      </c>
      <c r="R783" s="9">
        <f t="shared" si="150"/>
        <v>13292</v>
      </c>
      <c r="S783" s="9">
        <f t="shared" si="151"/>
        <v>7469725</v>
      </c>
      <c r="T783" s="15">
        <f t="shared" si="152"/>
        <v>16.686436250344954</v>
      </c>
      <c r="U783" s="15">
        <f>IF(O783="Exclude",0,G783*Fuel_Price!$B$2)</f>
        <v>15429.215176000002</v>
      </c>
      <c r="V783" s="15">
        <f t="shared" si="153"/>
        <v>2989922.7577359979</v>
      </c>
    </row>
    <row r="784" spans="1:22">
      <c r="A784" s="1" t="s">
        <v>1988</v>
      </c>
      <c r="B784" s="1" t="s">
        <v>1989</v>
      </c>
      <c r="C784" s="1" t="s">
        <v>1990</v>
      </c>
      <c r="D784" s="1" t="s">
        <v>12</v>
      </c>
      <c r="E784" s="12">
        <v>349</v>
      </c>
      <c r="F784" s="12" t="s">
        <v>137</v>
      </c>
      <c r="G784" s="6">
        <v>435.15</v>
      </c>
      <c r="H784" s="1">
        <v>2.27</v>
      </c>
      <c r="J784" t="str">
        <f t="shared" si="144"/>
        <v>OK</v>
      </c>
      <c r="K784" t="str">
        <f t="shared" si="145"/>
        <v>OK</v>
      </c>
      <c r="L784">
        <f t="shared" si="154"/>
        <v>12</v>
      </c>
      <c r="M784">
        <f t="shared" si="146"/>
        <v>10</v>
      </c>
      <c r="N784" s="9" t="str">
        <f t="shared" si="155"/>
        <v>Valid</v>
      </c>
      <c r="O784" t="str">
        <f t="shared" si="147"/>
        <v>Include</v>
      </c>
      <c r="P784" s="9">
        <f t="shared" si="148"/>
        <v>2035068.5799999984</v>
      </c>
      <c r="Q784" s="15">
        <f t="shared" si="149"/>
        <v>7469725</v>
      </c>
      <c r="R784" s="9">
        <f t="shared" si="150"/>
        <v>349</v>
      </c>
      <c r="S784" s="9">
        <f t="shared" si="151"/>
        <v>7469725</v>
      </c>
      <c r="T784" s="15">
        <f t="shared" si="152"/>
        <v>16.686436250344954</v>
      </c>
      <c r="U784" s="15">
        <f>IF(O784="Exclude",0,G784*Fuel_Price!$B$2)</f>
        <v>639.32237999999995</v>
      </c>
      <c r="V784" s="15">
        <f t="shared" si="153"/>
        <v>2989922.7577359979</v>
      </c>
    </row>
    <row r="785" spans="1:22">
      <c r="A785" s="1" t="s">
        <v>1991</v>
      </c>
      <c r="B785" s="1" t="s">
        <v>1992</v>
      </c>
      <c r="C785" s="1" t="s">
        <v>1990</v>
      </c>
      <c r="D785" s="1" t="s">
        <v>12</v>
      </c>
      <c r="E785" s="12">
        <v>990</v>
      </c>
      <c r="F785" s="12" t="s">
        <v>137</v>
      </c>
      <c r="G785" s="6">
        <v>862.71</v>
      </c>
      <c r="H785" s="1">
        <v>3.24</v>
      </c>
      <c r="J785" t="str">
        <f t="shared" si="144"/>
        <v>OK</v>
      </c>
      <c r="K785" t="str">
        <f t="shared" si="145"/>
        <v>OK</v>
      </c>
      <c r="L785">
        <f t="shared" si="154"/>
        <v>12</v>
      </c>
      <c r="M785">
        <f t="shared" si="146"/>
        <v>10</v>
      </c>
      <c r="N785" s="9" t="str">
        <f t="shared" si="155"/>
        <v>Valid</v>
      </c>
      <c r="O785" t="str">
        <f t="shared" si="147"/>
        <v>Include</v>
      </c>
      <c r="P785" s="9">
        <f t="shared" si="148"/>
        <v>2035068.5799999984</v>
      </c>
      <c r="Q785" s="15">
        <f t="shared" si="149"/>
        <v>7469725</v>
      </c>
      <c r="R785" s="9">
        <f t="shared" si="150"/>
        <v>990</v>
      </c>
      <c r="S785" s="9">
        <f t="shared" si="151"/>
        <v>7469725</v>
      </c>
      <c r="T785" s="15">
        <f t="shared" si="152"/>
        <v>16.686436250344954</v>
      </c>
      <c r="U785" s="15">
        <f>IF(O785="Exclude",0,G785*Fuel_Price!$B$2)</f>
        <v>1267.4935320000002</v>
      </c>
      <c r="V785" s="15">
        <f t="shared" si="153"/>
        <v>2989922.7577359979</v>
      </c>
    </row>
    <row r="786" spans="1:22">
      <c r="A786" s="1" t="s">
        <v>1993</v>
      </c>
      <c r="B786" s="1" t="s">
        <v>1994</v>
      </c>
      <c r="C786" s="1" t="s">
        <v>518</v>
      </c>
      <c r="D786" s="1" t="s">
        <v>12</v>
      </c>
      <c r="E786" s="12">
        <v>6915</v>
      </c>
      <c r="F786" s="12" t="s">
        <v>137</v>
      </c>
      <c r="G786" s="6">
        <v>9342.11</v>
      </c>
      <c r="H786" s="1">
        <v>2.09</v>
      </c>
      <c r="J786" t="str">
        <f t="shared" si="144"/>
        <v>OK</v>
      </c>
      <c r="K786" t="str">
        <f t="shared" si="145"/>
        <v>OK</v>
      </c>
      <c r="L786">
        <f t="shared" si="154"/>
        <v>12</v>
      </c>
      <c r="M786">
        <f t="shared" si="146"/>
        <v>10</v>
      </c>
      <c r="N786" s="9" t="str">
        <f t="shared" si="155"/>
        <v>Valid</v>
      </c>
      <c r="O786" t="str">
        <f t="shared" si="147"/>
        <v>Include</v>
      </c>
      <c r="P786" s="9">
        <f t="shared" si="148"/>
        <v>2035068.5799999984</v>
      </c>
      <c r="Q786" s="15">
        <f t="shared" si="149"/>
        <v>7469725</v>
      </c>
      <c r="R786" s="9">
        <f t="shared" si="150"/>
        <v>6915</v>
      </c>
      <c r="S786" s="9">
        <f t="shared" si="151"/>
        <v>7469725</v>
      </c>
      <c r="T786" s="15">
        <f t="shared" si="152"/>
        <v>16.686436250344954</v>
      </c>
      <c r="U786" s="15">
        <f>IF(O786="Exclude",0,G786*Fuel_Price!$B$2)</f>
        <v>13725.428012000002</v>
      </c>
      <c r="V786" s="15">
        <f t="shared" si="153"/>
        <v>2989922.7577359979</v>
      </c>
    </row>
    <row r="787" spans="1:22">
      <c r="A787" s="1" t="s">
        <v>1995</v>
      </c>
      <c r="B787" s="1" t="s">
        <v>1996</v>
      </c>
      <c r="C787" s="1" t="s">
        <v>1963</v>
      </c>
      <c r="D787" s="1" t="s">
        <v>12</v>
      </c>
      <c r="E787" s="12">
        <v>9418</v>
      </c>
      <c r="F787" s="12" t="s">
        <v>137</v>
      </c>
      <c r="G787" s="6">
        <v>11620.77</v>
      </c>
      <c r="H787" s="1">
        <v>2.29</v>
      </c>
      <c r="J787" t="str">
        <f t="shared" si="144"/>
        <v>OK</v>
      </c>
      <c r="K787" t="str">
        <f t="shared" si="145"/>
        <v>OK</v>
      </c>
      <c r="L787">
        <f t="shared" si="154"/>
        <v>12</v>
      </c>
      <c r="M787">
        <f t="shared" si="146"/>
        <v>10</v>
      </c>
      <c r="N787" s="9" t="str">
        <f t="shared" si="155"/>
        <v>Valid</v>
      </c>
      <c r="O787" t="str">
        <f t="shared" si="147"/>
        <v>Include</v>
      </c>
      <c r="P787" s="9">
        <f t="shared" si="148"/>
        <v>2035068.5799999984</v>
      </c>
      <c r="Q787" s="15">
        <f t="shared" si="149"/>
        <v>7469725</v>
      </c>
      <c r="R787" s="9">
        <f t="shared" si="150"/>
        <v>9418</v>
      </c>
      <c r="S787" s="9">
        <f t="shared" si="151"/>
        <v>7469725</v>
      </c>
      <c r="T787" s="15">
        <f t="shared" si="152"/>
        <v>16.686436250344954</v>
      </c>
      <c r="U787" s="15">
        <f>IF(O787="Exclude",0,G787*Fuel_Price!$B$2)</f>
        <v>17073.235284000002</v>
      </c>
      <c r="V787" s="15">
        <f t="shared" si="153"/>
        <v>2989922.7577359979</v>
      </c>
    </row>
    <row r="788" spans="1:22">
      <c r="A788" s="1" t="s">
        <v>1997</v>
      </c>
      <c r="B788" s="1" t="s">
        <v>1998</v>
      </c>
      <c r="C788" s="1" t="s">
        <v>1999</v>
      </c>
      <c r="D788" s="1" t="s">
        <v>12</v>
      </c>
      <c r="E788" s="12">
        <v>-105161</v>
      </c>
      <c r="F788" s="12" t="s">
        <v>137</v>
      </c>
      <c r="G788" s="6">
        <v>1591.6</v>
      </c>
      <c r="H788" s="1">
        <v>-187.07</v>
      </c>
      <c r="J788" t="str">
        <f t="shared" si="144"/>
        <v>Check</v>
      </c>
      <c r="K788" t="str">
        <f t="shared" si="145"/>
        <v>Check</v>
      </c>
      <c r="L788">
        <f t="shared" si="154"/>
        <v>12</v>
      </c>
      <c r="M788">
        <f t="shared" si="146"/>
        <v>10</v>
      </c>
      <c r="N788" s="9" t="str">
        <f t="shared" si="155"/>
        <v>Review</v>
      </c>
      <c r="O788" t="str">
        <f t="shared" si="147"/>
        <v>Exclude</v>
      </c>
      <c r="P788" s="9">
        <f t="shared" si="148"/>
        <v>2035068.5799999984</v>
      </c>
      <c r="Q788" s="15">
        <f t="shared" si="149"/>
        <v>7469725</v>
      </c>
      <c r="R788" s="9">
        <f t="shared" si="150"/>
        <v>0</v>
      </c>
      <c r="S788" s="9">
        <f t="shared" si="151"/>
        <v>7469725</v>
      </c>
      <c r="T788" s="15">
        <f t="shared" si="152"/>
        <v>16.686436250344954</v>
      </c>
      <c r="U788" s="15">
        <f>IF(O788="Exclude",0,G788*Fuel_Price!$B$2)</f>
        <v>0</v>
      </c>
      <c r="V788" s="15">
        <f t="shared" si="153"/>
        <v>2989922.7577359979</v>
      </c>
    </row>
    <row r="789" spans="1:22">
      <c r="A789" s="1" t="s">
        <v>2000</v>
      </c>
      <c r="B789" s="1" t="s">
        <v>2001</v>
      </c>
      <c r="C789" s="1" t="s">
        <v>1990</v>
      </c>
      <c r="D789" s="1" t="s">
        <v>12</v>
      </c>
      <c r="E789" s="12">
        <v>-126099</v>
      </c>
      <c r="F789" s="12" t="s">
        <v>13</v>
      </c>
      <c r="G789" s="6">
        <v>2647.5</v>
      </c>
      <c r="H789" s="1">
        <v>-216.53</v>
      </c>
      <c r="J789" t="str">
        <f t="shared" si="144"/>
        <v>Check</v>
      </c>
      <c r="K789" t="str">
        <f t="shared" si="145"/>
        <v>Check</v>
      </c>
      <c r="L789">
        <f t="shared" si="154"/>
        <v>12</v>
      </c>
      <c r="M789">
        <f t="shared" si="146"/>
        <v>10</v>
      </c>
      <c r="N789" s="9" t="str">
        <f t="shared" si="155"/>
        <v>Review</v>
      </c>
      <c r="O789" t="str">
        <f t="shared" si="147"/>
        <v>Exclude</v>
      </c>
      <c r="P789" s="9">
        <f t="shared" si="148"/>
        <v>2035068.5799999984</v>
      </c>
      <c r="Q789" s="15">
        <f t="shared" si="149"/>
        <v>7469725</v>
      </c>
      <c r="R789" s="9">
        <f t="shared" si="150"/>
        <v>0</v>
      </c>
      <c r="S789" s="9">
        <f t="shared" si="151"/>
        <v>7469725</v>
      </c>
      <c r="T789" s="15">
        <f t="shared" si="152"/>
        <v>16.686436250344954</v>
      </c>
      <c r="U789" s="15">
        <f>IF(O789="Exclude",0,G789*Fuel_Price!$B$2)</f>
        <v>0</v>
      </c>
      <c r="V789" s="15">
        <f t="shared" si="153"/>
        <v>2989922.7577359979</v>
      </c>
    </row>
    <row r="790" spans="1:22">
      <c r="A790" s="1" t="s">
        <v>2002</v>
      </c>
      <c r="B790" s="1" t="s">
        <v>2003</v>
      </c>
      <c r="C790" s="1" t="s">
        <v>1990</v>
      </c>
      <c r="D790" s="1" t="s">
        <v>12</v>
      </c>
      <c r="E790" s="12">
        <v>647</v>
      </c>
      <c r="F790" s="12" t="s">
        <v>13</v>
      </c>
      <c r="G790" s="6">
        <v>654.66</v>
      </c>
      <c r="H790" s="1">
        <v>4.49</v>
      </c>
      <c r="J790" t="str">
        <f t="shared" si="144"/>
        <v>OK</v>
      </c>
      <c r="K790" t="str">
        <f t="shared" si="145"/>
        <v>OK</v>
      </c>
      <c r="L790">
        <f t="shared" si="154"/>
        <v>12</v>
      </c>
      <c r="M790">
        <f t="shared" si="146"/>
        <v>10</v>
      </c>
      <c r="N790" s="9" t="str">
        <f t="shared" si="155"/>
        <v>Valid</v>
      </c>
      <c r="O790" t="str">
        <f t="shared" si="147"/>
        <v>Include</v>
      </c>
      <c r="P790" s="9">
        <f t="shared" si="148"/>
        <v>2035068.5799999984</v>
      </c>
      <c r="Q790" s="15">
        <f t="shared" si="149"/>
        <v>7469725</v>
      </c>
      <c r="R790" s="9">
        <f t="shared" si="150"/>
        <v>647</v>
      </c>
      <c r="S790" s="9">
        <f t="shared" si="151"/>
        <v>7469725</v>
      </c>
      <c r="T790" s="15">
        <f t="shared" si="152"/>
        <v>16.686436250344954</v>
      </c>
      <c r="U790" s="15">
        <f>IF(O790="Exclude",0,G790*Fuel_Price!$B$2)</f>
        <v>961.82647199999997</v>
      </c>
      <c r="V790" s="15">
        <f t="shared" si="153"/>
        <v>2989922.7577359979</v>
      </c>
    </row>
    <row r="791" spans="1:22">
      <c r="A791" s="1" t="s">
        <v>2004</v>
      </c>
      <c r="B791" s="1" t="s">
        <v>2005</v>
      </c>
      <c r="C791" s="1" t="s">
        <v>2006</v>
      </c>
      <c r="D791" s="1" t="s">
        <v>12</v>
      </c>
      <c r="E791" s="12">
        <v>6591</v>
      </c>
      <c r="F791" s="12" t="s">
        <v>137</v>
      </c>
      <c r="G791" s="6">
        <v>9250.4</v>
      </c>
      <c r="H791" s="1">
        <v>2.0099999999999998</v>
      </c>
      <c r="J791" t="str">
        <f t="shared" si="144"/>
        <v>OK</v>
      </c>
      <c r="K791" t="str">
        <f t="shared" si="145"/>
        <v>OK</v>
      </c>
      <c r="L791">
        <f t="shared" si="154"/>
        <v>12</v>
      </c>
      <c r="M791">
        <f t="shared" si="146"/>
        <v>10</v>
      </c>
      <c r="N791" s="9" t="str">
        <f t="shared" si="155"/>
        <v>Valid</v>
      </c>
      <c r="O791" t="str">
        <f t="shared" si="147"/>
        <v>Include</v>
      </c>
      <c r="P791" s="9">
        <f t="shared" si="148"/>
        <v>2035068.5799999984</v>
      </c>
      <c r="Q791" s="15">
        <f t="shared" si="149"/>
        <v>7469725</v>
      </c>
      <c r="R791" s="9">
        <f t="shared" si="150"/>
        <v>6591</v>
      </c>
      <c r="S791" s="9">
        <f t="shared" si="151"/>
        <v>7469725</v>
      </c>
      <c r="T791" s="15">
        <f t="shared" si="152"/>
        <v>16.686436250344954</v>
      </c>
      <c r="U791" s="15">
        <f>IF(O791="Exclude",0,G791*Fuel_Price!$B$2)</f>
        <v>13590.687680000001</v>
      </c>
      <c r="V791" s="15">
        <f t="shared" si="153"/>
        <v>2989922.7577359979</v>
      </c>
    </row>
    <row r="792" spans="1:22">
      <c r="A792" s="1" t="s">
        <v>2007</v>
      </c>
      <c r="B792" s="1" t="s">
        <v>2008</v>
      </c>
      <c r="C792" s="1" t="s">
        <v>1990</v>
      </c>
      <c r="D792" s="1" t="s">
        <v>12</v>
      </c>
      <c r="E792" s="12">
        <v>164</v>
      </c>
      <c r="F792" s="12" t="s">
        <v>137</v>
      </c>
      <c r="G792" s="6">
        <v>286.2</v>
      </c>
      <c r="H792" s="1">
        <v>1.62</v>
      </c>
      <c r="J792" t="str">
        <f t="shared" si="144"/>
        <v>OK</v>
      </c>
      <c r="K792" t="str">
        <f t="shared" si="145"/>
        <v>OK</v>
      </c>
      <c r="L792">
        <f t="shared" si="154"/>
        <v>12</v>
      </c>
      <c r="M792">
        <f t="shared" si="146"/>
        <v>10</v>
      </c>
      <c r="N792" s="9" t="str">
        <f t="shared" si="155"/>
        <v>Valid</v>
      </c>
      <c r="O792" t="str">
        <f t="shared" si="147"/>
        <v>Include</v>
      </c>
      <c r="P792" s="9">
        <f t="shared" si="148"/>
        <v>2035068.5799999984</v>
      </c>
      <c r="Q792" s="15">
        <f t="shared" si="149"/>
        <v>7469725</v>
      </c>
      <c r="R792" s="9">
        <f t="shared" si="150"/>
        <v>164</v>
      </c>
      <c r="S792" s="9">
        <f t="shared" si="151"/>
        <v>7469725</v>
      </c>
      <c r="T792" s="15">
        <f t="shared" si="152"/>
        <v>16.686436250344954</v>
      </c>
      <c r="U792" s="15">
        <f>IF(O792="Exclude",0,G792*Fuel_Price!$B$2)</f>
        <v>420.48504000000003</v>
      </c>
      <c r="V792" s="15">
        <f t="shared" si="153"/>
        <v>2989922.7577359979</v>
      </c>
    </row>
    <row r="793" spans="1:22">
      <c r="A793" s="1" t="s">
        <v>2009</v>
      </c>
      <c r="B793" s="1" t="s">
        <v>2010</v>
      </c>
      <c r="C793" s="1" t="s">
        <v>1990</v>
      </c>
      <c r="D793" s="1" t="s">
        <v>12</v>
      </c>
      <c r="E793" s="12">
        <v>768</v>
      </c>
      <c r="F793" s="12" t="s">
        <v>137</v>
      </c>
      <c r="G793" s="6">
        <v>598.28</v>
      </c>
      <c r="H793" s="1">
        <v>3.63</v>
      </c>
      <c r="J793" t="str">
        <f t="shared" si="144"/>
        <v>OK</v>
      </c>
      <c r="K793" t="str">
        <f t="shared" si="145"/>
        <v>OK</v>
      </c>
      <c r="L793">
        <f t="shared" si="154"/>
        <v>12</v>
      </c>
      <c r="M793">
        <f t="shared" si="146"/>
        <v>10</v>
      </c>
      <c r="N793" s="9" t="str">
        <f t="shared" si="155"/>
        <v>Valid</v>
      </c>
      <c r="O793" t="str">
        <f t="shared" si="147"/>
        <v>Include</v>
      </c>
      <c r="P793" s="9">
        <f t="shared" si="148"/>
        <v>2035068.5799999984</v>
      </c>
      <c r="Q793" s="15">
        <f t="shared" si="149"/>
        <v>7469725</v>
      </c>
      <c r="R793" s="9">
        <f t="shared" si="150"/>
        <v>768</v>
      </c>
      <c r="S793" s="9">
        <f t="shared" si="151"/>
        <v>7469725</v>
      </c>
      <c r="T793" s="15">
        <f t="shared" si="152"/>
        <v>16.686436250344954</v>
      </c>
      <c r="U793" s="15">
        <f>IF(O793="Exclude",0,G793*Fuel_Price!$B$2)</f>
        <v>878.992976</v>
      </c>
      <c r="V793" s="15">
        <f t="shared" si="153"/>
        <v>2989922.7577359979</v>
      </c>
    </row>
    <row r="794" spans="1:22">
      <c r="A794" s="1" t="s">
        <v>2011</v>
      </c>
      <c r="B794" s="1" t="s">
        <v>2012</v>
      </c>
      <c r="C794" s="1" t="s">
        <v>2006</v>
      </c>
      <c r="D794" s="1" t="s">
        <v>12</v>
      </c>
      <c r="E794" s="12">
        <v>4683</v>
      </c>
      <c r="F794" s="12" t="s">
        <v>137</v>
      </c>
      <c r="G794" s="6">
        <v>7003.71</v>
      </c>
      <c r="H794" s="1">
        <v>1.89</v>
      </c>
      <c r="J794" t="str">
        <f t="shared" si="144"/>
        <v>OK</v>
      </c>
      <c r="K794" t="str">
        <f t="shared" si="145"/>
        <v>OK</v>
      </c>
      <c r="L794">
        <f t="shared" si="154"/>
        <v>12</v>
      </c>
      <c r="M794">
        <f t="shared" si="146"/>
        <v>10</v>
      </c>
      <c r="N794" s="9" t="str">
        <f t="shared" si="155"/>
        <v>Valid</v>
      </c>
      <c r="O794" t="str">
        <f t="shared" si="147"/>
        <v>Include</v>
      </c>
      <c r="P794" s="9">
        <f t="shared" si="148"/>
        <v>2035068.5799999984</v>
      </c>
      <c r="Q794" s="15">
        <f t="shared" si="149"/>
        <v>7469725</v>
      </c>
      <c r="R794" s="9">
        <f t="shared" si="150"/>
        <v>4683</v>
      </c>
      <c r="S794" s="9">
        <f t="shared" si="151"/>
        <v>7469725</v>
      </c>
      <c r="T794" s="15">
        <f t="shared" si="152"/>
        <v>16.686436250344954</v>
      </c>
      <c r="U794" s="15">
        <f>IF(O794="Exclude",0,G794*Fuel_Price!$B$2)</f>
        <v>10289.850732000001</v>
      </c>
      <c r="V794" s="15">
        <f t="shared" si="153"/>
        <v>2989922.7577359979</v>
      </c>
    </row>
    <row r="795" spans="1:22">
      <c r="A795" s="1" t="s">
        <v>2013</v>
      </c>
      <c r="B795" s="1" t="s">
        <v>2014</v>
      </c>
      <c r="C795" s="1" t="s">
        <v>2006</v>
      </c>
      <c r="D795" s="1" t="s">
        <v>12</v>
      </c>
      <c r="E795" s="12">
        <v>7191</v>
      </c>
      <c r="F795" s="12" t="s">
        <v>137</v>
      </c>
      <c r="G795" s="6">
        <v>10562.36</v>
      </c>
      <c r="H795" s="1">
        <v>1.92</v>
      </c>
      <c r="J795" t="str">
        <f t="shared" si="144"/>
        <v>OK</v>
      </c>
      <c r="K795" t="str">
        <f t="shared" si="145"/>
        <v>OK</v>
      </c>
      <c r="L795">
        <f t="shared" si="154"/>
        <v>12</v>
      </c>
      <c r="M795">
        <f t="shared" si="146"/>
        <v>10</v>
      </c>
      <c r="N795" s="9" t="str">
        <f t="shared" si="155"/>
        <v>Valid</v>
      </c>
      <c r="O795" t="str">
        <f t="shared" si="147"/>
        <v>Include</v>
      </c>
      <c r="P795" s="9">
        <f t="shared" si="148"/>
        <v>2035068.5799999984</v>
      </c>
      <c r="Q795" s="15">
        <f t="shared" si="149"/>
        <v>7469725</v>
      </c>
      <c r="R795" s="9">
        <f t="shared" si="150"/>
        <v>7191</v>
      </c>
      <c r="S795" s="9">
        <f t="shared" si="151"/>
        <v>7469725</v>
      </c>
      <c r="T795" s="15">
        <f t="shared" si="152"/>
        <v>16.686436250344954</v>
      </c>
      <c r="U795" s="15">
        <f>IF(O795="Exclude",0,G795*Fuel_Price!$B$2)</f>
        <v>15518.219312000001</v>
      </c>
      <c r="V795" s="15">
        <f t="shared" si="153"/>
        <v>2989922.7577359979</v>
      </c>
    </row>
    <row r="796" spans="1:22">
      <c r="A796" s="1" t="s">
        <v>2015</v>
      </c>
      <c r="B796" s="1" t="s">
        <v>2016</v>
      </c>
      <c r="C796" s="1" t="s">
        <v>2006</v>
      </c>
      <c r="D796" s="1" t="s">
        <v>12</v>
      </c>
      <c r="E796" s="12">
        <v>7420</v>
      </c>
      <c r="F796" s="12" t="s">
        <v>137</v>
      </c>
      <c r="G796" s="6">
        <v>11204.87</v>
      </c>
      <c r="H796" s="1">
        <v>1.87</v>
      </c>
      <c r="J796" t="str">
        <f t="shared" si="144"/>
        <v>OK</v>
      </c>
      <c r="K796" t="str">
        <f t="shared" si="145"/>
        <v>OK</v>
      </c>
      <c r="L796">
        <f t="shared" si="154"/>
        <v>12</v>
      </c>
      <c r="M796">
        <f t="shared" si="146"/>
        <v>10</v>
      </c>
      <c r="N796" s="9" t="str">
        <f t="shared" si="155"/>
        <v>Valid</v>
      </c>
      <c r="O796" t="str">
        <f t="shared" si="147"/>
        <v>Include</v>
      </c>
      <c r="P796" s="9">
        <f t="shared" si="148"/>
        <v>2035068.5799999984</v>
      </c>
      <c r="Q796" s="15">
        <f t="shared" si="149"/>
        <v>7469725</v>
      </c>
      <c r="R796" s="9">
        <f t="shared" si="150"/>
        <v>7420</v>
      </c>
      <c r="S796" s="9">
        <f t="shared" si="151"/>
        <v>7469725</v>
      </c>
      <c r="T796" s="15">
        <f t="shared" si="152"/>
        <v>16.686436250344954</v>
      </c>
      <c r="U796" s="15">
        <f>IF(O796="Exclude",0,G796*Fuel_Price!$B$2)</f>
        <v>16462.195004000001</v>
      </c>
      <c r="V796" s="15">
        <f t="shared" si="153"/>
        <v>2989922.7577359979</v>
      </c>
    </row>
    <row r="797" spans="1:22">
      <c r="A797" s="1" t="s">
        <v>2017</v>
      </c>
      <c r="B797" s="1" t="s">
        <v>2018</v>
      </c>
      <c r="C797" s="1" t="s">
        <v>1990</v>
      </c>
      <c r="D797" s="1" t="s">
        <v>12</v>
      </c>
      <c r="E797" s="12">
        <v>489</v>
      </c>
      <c r="F797" s="12" t="s">
        <v>137</v>
      </c>
      <c r="G797" s="6">
        <v>566.42999999999995</v>
      </c>
      <c r="H797" s="1">
        <v>2.44</v>
      </c>
      <c r="J797" t="str">
        <f t="shared" si="144"/>
        <v>OK</v>
      </c>
      <c r="K797" t="str">
        <f t="shared" si="145"/>
        <v>OK</v>
      </c>
      <c r="L797">
        <f t="shared" si="154"/>
        <v>12</v>
      </c>
      <c r="M797">
        <f t="shared" si="146"/>
        <v>10</v>
      </c>
      <c r="N797" s="9" t="str">
        <f t="shared" si="155"/>
        <v>Valid</v>
      </c>
      <c r="O797" t="str">
        <f t="shared" si="147"/>
        <v>Include</v>
      </c>
      <c r="P797" s="9">
        <f t="shared" si="148"/>
        <v>2035068.5799999984</v>
      </c>
      <c r="Q797" s="15">
        <f t="shared" si="149"/>
        <v>7469725</v>
      </c>
      <c r="R797" s="9">
        <f t="shared" si="150"/>
        <v>489</v>
      </c>
      <c r="S797" s="9">
        <f t="shared" si="151"/>
        <v>7469725</v>
      </c>
      <c r="T797" s="15">
        <f t="shared" si="152"/>
        <v>16.686436250344954</v>
      </c>
      <c r="U797" s="15">
        <f>IF(O797="Exclude",0,G797*Fuel_Price!$B$2)</f>
        <v>832.19895599999995</v>
      </c>
      <c r="V797" s="15">
        <f t="shared" si="153"/>
        <v>2989922.7577359979</v>
      </c>
    </row>
    <row r="798" spans="1:22">
      <c r="A798" s="1" t="s">
        <v>2019</v>
      </c>
      <c r="B798" s="1" t="s">
        <v>2020</v>
      </c>
      <c r="C798" s="1" t="s">
        <v>2006</v>
      </c>
      <c r="D798" s="1" t="s">
        <v>12</v>
      </c>
      <c r="E798" s="12">
        <v>8947</v>
      </c>
      <c r="F798" s="12" t="s">
        <v>137</v>
      </c>
      <c r="G798" s="6">
        <v>10897.2</v>
      </c>
      <c r="H798" s="1">
        <v>2.3199999999999998</v>
      </c>
      <c r="J798" t="str">
        <f t="shared" si="144"/>
        <v>OK</v>
      </c>
      <c r="K798" t="str">
        <f t="shared" si="145"/>
        <v>OK</v>
      </c>
      <c r="L798">
        <f t="shared" si="154"/>
        <v>12</v>
      </c>
      <c r="M798">
        <f t="shared" si="146"/>
        <v>10</v>
      </c>
      <c r="N798" s="9" t="str">
        <f t="shared" si="155"/>
        <v>Valid</v>
      </c>
      <c r="O798" t="str">
        <f t="shared" si="147"/>
        <v>Include</v>
      </c>
      <c r="P798" s="9">
        <f t="shared" si="148"/>
        <v>2035068.5799999984</v>
      </c>
      <c r="Q798" s="15">
        <f t="shared" si="149"/>
        <v>7469725</v>
      </c>
      <c r="R798" s="9">
        <f t="shared" si="150"/>
        <v>8947</v>
      </c>
      <c r="S798" s="9">
        <f t="shared" si="151"/>
        <v>7469725</v>
      </c>
      <c r="T798" s="15">
        <f t="shared" si="152"/>
        <v>16.686436250344954</v>
      </c>
      <c r="U798" s="15">
        <f>IF(O798="Exclude",0,G798*Fuel_Price!$B$2)</f>
        <v>16010.166240000002</v>
      </c>
      <c r="V798" s="15">
        <f t="shared" si="153"/>
        <v>2989922.7577359979</v>
      </c>
    </row>
    <row r="799" spans="1:22">
      <c r="A799" s="1" t="s">
        <v>2021</v>
      </c>
      <c r="B799" s="1" t="s">
        <v>2022</v>
      </c>
      <c r="C799" s="1" t="s">
        <v>2006</v>
      </c>
      <c r="D799" s="1" t="s">
        <v>12</v>
      </c>
      <c r="E799" s="12">
        <v>8416</v>
      </c>
      <c r="F799" s="12" t="s">
        <v>137</v>
      </c>
      <c r="G799" s="6">
        <v>11968.99</v>
      </c>
      <c r="H799" s="1">
        <v>1.99</v>
      </c>
      <c r="J799" t="str">
        <f t="shared" si="144"/>
        <v>OK</v>
      </c>
      <c r="K799" t="str">
        <f t="shared" si="145"/>
        <v>OK</v>
      </c>
      <c r="L799">
        <f t="shared" si="154"/>
        <v>12</v>
      </c>
      <c r="M799">
        <f t="shared" si="146"/>
        <v>10</v>
      </c>
      <c r="N799" s="9" t="str">
        <f t="shared" si="155"/>
        <v>Valid</v>
      </c>
      <c r="O799" t="str">
        <f t="shared" si="147"/>
        <v>Include</v>
      </c>
      <c r="P799" s="9">
        <f t="shared" si="148"/>
        <v>2035068.5799999984</v>
      </c>
      <c r="Q799" s="15">
        <f t="shared" si="149"/>
        <v>7469725</v>
      </c>
      <c r="R799" s="9">
        <f t="shared" si="150"/>
        <v>8416</v>
      </c>
      <c r="S799" s="9">
        <f t="shared" si="151"/>
        <v>7469725</v>
      </c>
      <c r="T799" s="15">
        <f t="shared" si="152"/>
        <v>16.686436250344954</v>
      </c>
      <c r="U799" s="15">
        <f>IF(O799="Exclude",0,G799*Fuel_Price!$B$2)</f>
        <v>17584.840108</v>
      </c>
      <c r="V799" s="15">
        <f t="shared" si="153"/>
        <v>2989922.7577359979</v>
      </c>
    </row>
    <row r="800" spans="1:22">
      <c r="A800" s="1" t="s">
        <v>2023</v>
      </c>
      <c r="B800" s="1" t="s">
        <v>2024</v>
      </c>
      <c r="C800" s="1" t="s">
        <v>2025</v>
      </c>
      <c r="D800" s="1" t="s">
        <v>12</v>
      </c>
      <c r="E800" s="12">
        <v>6430</v>
      </c>
      <c r="F800" s="12" t="s">
        <v>137</v>
      </c>
      <c r="G800" s="6">
        <v>5282.76</v>
      </c>
      <c r="H800" s="1">
        <v>3.44</v>
      </c>
      <c r="J800" t="str">
        <f t="shared" si="144"/>
        <v>OK</v>
      </c>
      <c r="K800" t="str">
        <f t="shared" si="145"/>
        <v>OK</v>
      </c>
      <c r="L800">
        <f t="shared" si="154"/>
        <v>12</v>
      </c>
      <c r="M800">
        <f t="shared" si="146"/>
        <v>10</v>
      </c>
      <c r="N800" s="9" t="str">
        <f t="shared" si="155"/>
        <v>Valid</v>
      </c>
      <c r="O800" t="str">
        <f t="shared" si="147"/>
        <v>Include</v>
      </c>
      <c r="P800" s="9">
        <f t="shared" si="148"/>
        <v>2035068.5799999984</v>
      </c>
      <c r="Q800" s="15">
        <f t="shared" si="149"/>
        <v>7469725</v>
      </c>
      <c r="R800" s="9">
        <f t="shared" si="150"/>
        <v>6430</v>
      </c>
      <c r="S800" s="9">
        <f t="shared" si="151"/>
        <v>7469725</v>
      </c>
      <c r="T800" s="15">
        <f t="shared" si="152"/>
        <v>16.686436250344954</v>
      </c>
      <c r="U800" s="15">
        <f>IF(O800="Exclude",0,G800*Fuel_Price!$B$2)</f>
        <v>7761.4309920000005</v>
      </c>
      <c r="V800" s="15">
        <f t="shared" si="153"/>
        <v>2989922.7577359979</v>
      </c>
    </row>
    <row r="801" spans="1:22">
      <c r="A801" s="1" t="s">
        <v>2026</v>
      </c>
      <c r="B801" s="1" t="s">
        <v>2027</v>
      </c>
      <c r="C801" s="1" t="s">
        <v>1990</v>
      </c>
      <c r="D801" s="1" t="s">
        <v>12</v>
      </c>
      <c r="E801" s="12">
        <v>258</v>
      </c>
      <c r="F801" s="12" t="s">
        <v>137</v>
      </c>
      <c r="G801" s="6">
        <v>541.15</v>
      </c>
      <c r="H801" s="1">
        <v>1.35</v>
      </c>
      <c r="J801" t="str">
        <f t="shared" si="144"/>
        <v>OK</v>
      </c>
      <c r="K801" t="str">
        <f t="shared" si="145"/>
        <v>OK</v>
      </c>
      <c r="L801">
        <f t="shared" si="154"/>
        <v>12</v>
      </c>
      <c r="M801">
        <f t="shared" si="146"/>
        <v>10</v>
      </c>
      <c r="N801" s="9" t="str">
        <f t="shared" si="155"/>
        <v>Valid</v>
      </c>
      <c r="O801" t="str">
        <f t="shared" si="147"/>
        <v>Include</v>
      </c>
      <c r="P801" s="9">
        <f t="shared" si="148"/>
        <v>2035068.5799999984</v>
      </c>
      <c r="Q801" s="15">
        <f t="shared" si="149"/>
        <v>7469725</v>
      </c>
      <c r="R801" s="9">
        <f t="shared" si="150"/>
        <v>258</v>
      </c>
      <c r="S801" s="9">
        <f t="shared" si="151"/>
        <v>7469725</v>
      </c>
      <c r="T801" s="15">
        <f t="shared" si="152"/>
        <v>16.686436250344954</v>
      </c>
      <c r="U801" s="15">
        <f>IF(O801="Exclude",0,G801*Fuel_Price!$B$2)</f>
        <v>795.05758000000003</v>
      </c>
      <c r="V801" s="15">
        <f t="shared" si="153"/>
        <v>2989922.7577359979</v>
      </c>
    </row>
    <row r="802" spans="1:22">
      <c r="A802" s="1" t="s">
        <v>2028</v>
      </c>
      <c r="B802" s="1" t="s">
        <v>2029</v>
      </c>
      <c r="C802" s="1" t="s">
        <v>2030</v>
      </c>
      <c r="D802" s="1" t="s">
        <v>12</v>
      </c>
      <c r="E802" s="12">
        <v>11731</v>
      </c>
      <c r="F802" s="12" t="s">
        <v>137</v>
      </c>
      <c r="G802" s="6">
        <v>5407.88</v>
      </c>
      <c r="H802" s="1">
        <v>6.13</v>
      </c>
      <c r="J802" t="str">
        <f t="shared" si="144"/>
        <v>OK</v>
      </c>
      <c r="K802" t="str">
        <f t="shared" si="145"/>
        <v>OK</v>
      </c>
      <c r="L802">
        <f t="shared" si="154"/>
        <v>12</v>
      </c>
      <c r="M802">
        <f t="shared" si="146"/>
        <v>10</v>
      </c>
      <c r="N802" s="9" t="str">
        <f t="shared" si="155"/>
        <v>Valid</v>
      </c>
      <c r="O802" t="str">
        <f t="shared" si="147"/>
        <v>Include</v>
      </c>
      <c r="P802" s="9">
        <f t="shared" si="148"/>
        <v>2035068.5799999984</v>
      </c>
      <c r="Q802" s="15">
        <f t="shared" si="149"/>
        <v>7469725</v>
      </c>
      <c r="R802" s="9">
        <f t="shared" si="150"/>
        <v>11731</v>
      </c>
      <c r="S802" s="9">
        <f t="shared" si="151"/>
        <v>7469725</v>
      </c>
      <c r="T802" s="15">
        <f t="shared" si="152"/>
        <v>16.686436250344954</v>
      </c>
      <c r="U802" s="15">
        <f>IF(O802="Exclude",0,G802*Fuel_Price!$B$2)</f>
        <v>7945.2572960000007</v>
      </c>
      <c r="V802" s="15">
        <f t="shared" si="153"/>
        <v>2989922.7577359979</v>
      </c>
    </row>
    <row r="803" spans="1:22">
      <c r="A803" s="1" t="s">
        <v>2031</v>
      </c>
      <c r="B803" s="1" t="s">
        <v>2032</v>
      </c>
      <c r="C803" s="1" t="s">
        <v>2030</v>
      </c>
      <c r="D803" s="1" t="s">
        <v>12</v>
      </c>
      <c r="E803" s="12">
        <v>10041</v>
      </c>
      <c r="F803" s="12" t="s">
        <v>137</v>
      </c>
      <c r="G803" s="6">
        <v>5218.6400000000003</v>
      </c>
      <c r="H803" s="1">
        <v>5.44</v>
      </c>
      <c r="J803" t="str">
        <f t="shared" si="144"/>
        <v>OK</v>
      </c>
      <c r="K803" t="str">
        <f t="shared" si="145"/>
        <v>OK</v>
      </c>
      <c r="L803">
        <f t="shared" si="154"/>
        <v>12</v>
      </c>
      <c r="M803">
        <f t="shared" si="146"/>
        <v>10</v>
      </c>
      <c r="N803" s="9" t="str">
        <f t="shared" si="155"/>
        <v>Valid</v>
      </c>
      <c r="O803" t="str">
        <f t="shared" si="147"/>
        <v>Include</v>
      </c>
      <c r="P803" s="9">
        <f t="shared" si="148"/>
        <v>2035068.5799999984</v>
      </c>
      <c r="Q803" s="15">
        <f t="shared" si="149"/>
        <v>7469725</v>
      </c>
      <c r="R803" s="9">
        <f t="shared" si="150"/>
        <v>10041</v>
      </c>
      <c r="S803" s="9">
        <f t="shared" si="151"/>
        <v>7469725</v>
      </c>
      <c r="T803" s="15">
        <f t="shared" si="152"/>
        <v>16.686436250344954</v>
      </c>
      <c r="U803" s="15">
        <f>IF(O803="Exclude",0,G803*Fuel_Price!$B$2)</f>
        <v>7667.2258880000009</v>
      </c>
      <c r="V803" s="15">
        <f t="shared" si="153"/>
        <v>2989922.7577359979</v>
      </c>
    </row>
    <row r="804" spans="1:22">
      <c r="A804" s="1" t="s">
        <v>2033</v>
      </c>
      <c r="B804" s="1" t="s">
        <v>2034</v>
      </c>
      <c r="C804" s="1" t="s">
        <v>2035</v>
      </c>
      <c r="D804" s="1" t="s">
        <v>12</v>
      </c>
      <c r="E804" s="12">
        <v>1728</v>
      </c>
      <c r="F804" s="12" t="s">
        <v>137</v>
      </c>
      <c r="G804" s="6">
        <v>3425.53</v>
      </c>
      <c r="H804" s="1">
        <v>1.42</v>
      </c>
      <c r="J804" t="str">
        <f t="shared" si="144"/>
        <v>OK</v>
      </c>
      <c r="K804" t="str">
        <f t="shared" si="145"/>
        <v>OK</v>
      </c>
      <c r="L804">
        <f t="shared" si="154"/>
        <v>12</v>
      </c>
      <c r="M804">
        <f t="shared" si="146"/>
        <v>10</v>
      </c>
      <c r="N804" s="9" t="str">
        <f t="shared" si="155"/>
        <v>Valid</v>
      </c>
      <c r="O804" t="str">
        <f t="shared" si="147"/>
        <v>Include</v>
      </c>
      <c r="P804" s="9">
        <f t="shared" si="148"/>
        <v>2035068.5799999984</v>
      </c>
      <c r="Q804" s="15">
        <f t="shared" si="149"/>
        <v>7469725</v>
      </c>
      <c r="R804" s="9">
        <f t="shared" si="150"/>
        <v>1728</v>
      </c>
      <c r="S804" s="9">
        <f t="shared" si="151"/>
        <v>7469725</v>
      </c>
      <c r="T804" s="15">
        <f t="shared" si="152"/>
        <v>16.686436250344954</v>
      </c>
      <c r="U804" s="15">
        <f>IF(O804="Exclude",0,G804*Fuel_Price!$B$2)</f>
        <v>5032.7886760000001</v>
      </c>
      <c r="V804" s="15">
        <f t="shared" si="153"/>
        <v>2989922.7577359979</v>
      </c>
    </row>
    <row r="805" spans="1:22">
      <c r="A805" s="1" t="s">
        <v>2036</v>
      </c>
      <c r="B805" s="1" t="s">
        <v>2037</v>
      </c>
      <c r="C805" s="1" t="s">
        <v>1990</v>
      </c>
      <c r="D805" s="1" t="s">
        <v>12</v>
      </c>
      <c r="E805" s="12">
        <v>419</v>
      </c>
      <c r="F805" s="12" t="s">
        <v>137</v>
      </c>
      <c r="G805" s="6">
        <v>437.69</v>
      </c>
      <c r="H805" s="1">
        <v>2.7</v>
      </c>
      <c r="J805" t="str">
        <f t="shared" si="144"/>
        <v>OK</v>
      </c>
      <c r="K805" t="str">
        <f t="shared" si="145"/>
        <v>OK</v>
      </c>
      <c r="L805">
        <f t="shared" si="154"/>
        <v>12</v>
      </c>
      <c r="M805">
        <f t="shared" si="146"/>
        <v>10</v>
      </c>
      <c r="N805" s="9" t="str">
        <f t="shared" si="155"/>
        <v>Valid</v>
      </c>
      <c r="O805" t="str">
        <f t="shared" si="147"/>
        <v>Include</v>
      </c>
      <c r="P805" s="9">
        <f t="shared" si="148"/>
        <v>2035068.5799999984</v>
      </c>
      <c r="Q805" s="15">
        <f t="shared" si="149"/>
        <v>7469725</v>
      </c>
      <c r="R805" s="9">
        <f t="shared" si="150"/>
        <v>419</v>
      </c>
      <c r="S805" s="9">
        <f t="shared" si="151"/>
        <v>7469725</v>
      </c>
      <c r="T805" s="15">
        <f t="shared" si="152"/>
        <v>16.686436250344954</v>
      </c>
      <c r="U805" s="15">
        <f>IF(O805="Exclude",0,G805*Fuel_Price!$B$2)</f>
        <v>643.05414800000005</v>
      </c>
      <c r="V805" s="15">
        <f t="shared" si="153"/>
        <v>2989922.7577359979</v>
      </c>
    </row>
    <row r="806" spans="1:22">
      <c r="A806" s="1" t="s">
        <v>2038</v>
      </c>
      <c r="B806" s="1" t="s">
        <v>2039</v>
      </c>
      <c r="C806" s="1" t="s">
        <v>2035</v>
      </c>
      <c r="D806" s="1" t="s">
        <v>12</v>
      </c>
      <c r="E806" s="12">
        <v>3689</v>
      </c>
      <c r="F806" s="12" t="s">
        <v>137</v>
      </c>
      <c r="G806" s="6">
        <v>6618.96</v>
      </c>
      <c r="H806" s="1">
        <v>1.57</v>
      </c>
      <c r="J806" t="str">
        <f t="shared" si="144"/>
        <v>OK</v>
      </c>
      <c r="K806" t="str">
        <f t="shared" si="145"/>
        <v>OK</v>
      </c>
      <c r="L806">
        <f t="shared" si="154"/>
        <v>12</v>
      </c>
      <c r="M806">
        <f t="shared" si="146"/>
        <v>10</v>
      </c>
      <c r="N806" s="9" t="str">
        <f t="shared" si="155"/>
        <v>Valid</v>
      </c>
      <c r="O806" t="str">
        <f t="shared" si="147"/>
        <v>Include</v>
      </c>
      <c r="P806" s="9">
        <f t="shared" si="148"/>
        <v>2035068.5799999984</v>
      </c>
      <c r="Q806" s="15">
        <f t="shared" si="149"/>
        <v>7469725</v>
      </c>
      <c r="R806" s="9">
        <f t="shared" si="150"/>
        <v>3689</v>
      </c>
      <c r="S806" s="9">
        <f t="shared" si="151"/>
        <v>7469725</v>
      </c>
      <c r="T806" s="15">
        <f t="shared" si="152"/>
        <v>16.686436250344954</v>
      </c>
      <c r="U806" s="15">
        <f>IF(O806="Exclude",0,G806*Fuel_Price!$B$2)</f>
        <v>9724.5760320000009</v>
      </c>
      <c r="V806" s="15">
        <f t="shared" si="153"/>
        <v>2989922.7577359979</v>
      </c>
    </row>
    <row r="807" spans="1:22">
      <c r="A807" s="1" t="s">
        <v>2040</v>
      </c>
      <c r="B807" s="1" t="s">
        <v>2041</v>
      </c>
      <c r="C807" s="1" t="s">
        <v>1999</v>
      </c>
      <c r="D807" s="1" t="s">
        <v>12</v>
      </c>
      <c r="E807" s="12">
        <v>-70413</v>
      </c>
      <c r="F807" s="12" t="s">
        <v>137</v>
      </c>
      <c r="G807" s="6">
        <v>1568.93</v>
      </c>
      <c r="H807" s="1">
        <v>-126.67</v>
      </c>
      <c r="J807" t="str">
        <f t="shared" si="144"/>
        <v>Check</v>
      </c>
      <c r="K807" t="str">
        <f t="shared" si="145"/>
        <v>Check</v>
      </c>
      <c r="L807">
        <f t="shared" si="154"/>
        <v>12</v>
      </c>
      <c r="M807">
        <f t="shared" si="146"/>
        <v>10</v>
      </c>
      <c r="N807" s="9" t="str">
        <f t="shared" si="155"/>
        <v>Review</v>
      </c>
      <c r="O807" t="str">
        <f t="shared" si="147"/>
        <v>Exclude</v>
      </c>
      <c r="P807" s="9">
        <f t="shared" si="148"/>
        <v>2035068.5799999984</v>
      </c>
      <c r="Q807" s="15">
        <f t="shared" si="149"/>
        <v>7469725</v>
      </c>
      <c r="R807" s="9">
        <f t="shared" si="150"/>
        <v>0</v>
      </c>
      <c r="S807" s="9">
        <f t="shared" si="151"/>
        <v>7469725</v>
      </c>
      <c r="T807" s="15">
        <f t="shared" si="152"/>
        <v>16.686436250344954</v>
      </c>
      <c r="U807" s="15">
        <f>IF(O807="Exclude",0,G807*Fuel_Price!$B$2)</f>
        <v>0</v>
      </c>
      <c r="V807" s="15">
        <f t="shared" si="153"/>
        <v>2989922.7577359979</v>
      </c>
    </row>
    <row r="808" spans="1:22">
      <c r="A808" s="1" t="s">
        <v>2042</v>
      </c>
      <c r="B808" s="1" t="s">
        <v>2043</v>
      </c>
      <c r="C808" s="1" t="s">
        <v>2006</v>
      </c>
      <c r="D808" s="1" t="s">
        <v>12</v>
      </c>
      <c r="E808" s="12">
        <v>4803</v>
      </c>
      <c r="F808" s="12" t="s">
        <v>137</v>
      </c>
      <c r="G808" s="6">
        <v>6674.43</v>
      </c>
      <c r="H808" s="1">
        <v>2.0299999999999998</v>
      </c>
      <c r="J808" t="str">
        <f t="shared" si="144"/>
        <v>OK</v>
      </c>
      <c r="K808" t="str">
        <f t="shared" si="145"/>
        <v>OK</v>
      </c>
      <c r="L808">
        <f t="shared" si="154"/>
        <v>12</v>
      </c>
      <c r="M808">
        <f t="shared" si="146"/>
        <v>10</v>
      </c>
      <c r="N808" s="9" t="str">
        <f t="shared" si="155"/>
        <v>Valid</v>
      </c>
      <c r="O808" t="str">
        <f t="shared" si="147"/>
        <v>Include</v>
      </c>
      <c r="P808" s="9">
        <f t="shared" si="148"/>
        <v>2035068.5799999984</v>
      </c>
      <c r="Q808" s="15">
        <f t="shared" si="149"/>
        <v>7469725</v>
      </c>
      <c r="R808" s="9">
        <f t="shared" si="150"/>
        <v>4803</v>
      </c>
      <c r="S808" s="9">
        <f t="shared" si="151"/>
        <v>7469725</v>
      </c>
      <c r="T808" s="15">
        <f t="shared" si="152"/>
        <v>16.686436250344954</v>
      </c>
      <c r="U808" s="15">
        <f>IF(O808="Exclude",0,G808*Fuel_Price!$B$2)</f>
        <v>9806.072556000001</v>
      </c>
      <c r="V808" s="15">
        <f t="shared" si="153"/>
        <v>2989922.7577359979</v>
      </c>
    </row>
    <row r="809" spans="1:22">
      <c r="A809" s="1" t="s">
        <v>2044</v>
      </c>
      <c r="B809" s="1" t="s">
        <v>2045</v>
      </c>
      <c r="C809" s="1" t="s">
        <v>2006</v>
      </c>
      <c r="D809" s="1" t="s">
        <v>12</v>
      </c>
      <c r="E809" s="12">
        <v>8237</v>
      </c>
      <c r="F809" s="12" t="s">
        <v>137</v>
      </c>
      <c r="G809" s="6">
        <v>10361.51</v>
      </c>
      <c r="H809" s="1">
        <v>2.25</v>
      </c>
      <c r="J809" t="str">
        <f t="shared" si="144"/>
        <v>OK</v>
      </c>
      <c r="K809" t="str">
        <f t="shared" si="145"/>
        <v>OK</v>
      </c>
      <c r="L809">
        <f t="shared" si="154"/>
        <v>12</v>
      </c>
      <c r="M809">
        <f t="shared" si="146"/>
        <v>10</v>
      </c>
      <c r="N809" s="9" t="str">
        <f t="shared" si="155"/>
        <v>Valid</v>
      </c>
      <c r="O809" t="str">
        <f t="shared" si="147"/>
        <v>Include</v>
      </c>
      <c r="P809" s="9">
        <f t="shared" si="148"/>
        <v>2035068.5799999984</v>
      </c>
      <c r="Q809" s="15">
        <f t="shared" si="149"/>
        <v>7469725</v>
      </c>
      <c r="R809" s="9">
        <f t="shared" si="150"/>
        <v>8237</v>
      </c>
      <c r="S809" s="9">
        <f t="shared" si="151"/>
        <v>7469725</v>
      </c>
      <c r="T809" s="15">
        <f t="shared" si="152"/>
        <v>16.686436250344954</v>
      </c>
      <c r="U809" s="15">
        <f>IF(O809="Exclude",0,G809*Fuel_Price!$B$2)</f>
        <v>15223.130492</v>
      </c>
      <c r="V809" s="15">
        <f t="shared" si="153"/>
        <v>2989922.7577359979</v>
      </c>
    </row>
    <row r="810" spans="1:22">
      <c r="A810" s="1" t="s">
        <v>2046</v>
      </c>
      <c r="B810" s="1" t="s">
        <v>2047</v>
      </c>
      <c r="C810" s="1" t="s">
        <v>2006</v>
      </c>
      <c r="D810" s="1" t="s">
        <v>12</v>
      </c>
      <c r="E810" s="12">
        <v>11446</v>
      </c>
      <c r="F810" s="12" t="s">
        <v>137</v>
      </c>
      <c r="G810" s="6">
        <v>11134.25</v>
      </c>
      <c r="H810" s="1">
        <v>2.9</v>
      </c>
      <c r="J810" t="str">
        <f t="shared" si="144"/>
        <v>OK</v>
      </c>
      <c r="K810" t="str">
        <f t="shared" si="145"/>
        <v>OK</v>
      </c>
      <c r="L810">
        <f t="shared" si="154"/>
        <v>12</v>
      </c>
      <c r="M810">
        <f t="shared" si="146"/>
        <v>10</v>
      </c>
      <c r="N810" s="9" t="str">
        <f t="shared" si="155"/>
        <v>Valid</v>
      </c>
      <c r="O810" t="str">
        <f t="shared" si="147"/>
        <v>Include</v>
      </c>
      <c r="P810" s="9">
        <f t="shared" si="148"/>
        <v>2035068.5799999984</v>
      </c>
      <c r="Q810" s="15">
        <f t="shared" si="149"/>
        <v>7469725</v>
      </c>
      <c r="R810" s="9">
        <f t="shared" si="150"/>
        <v>11446</v>
      </c>
      <c r="S810" s="9">
        <f t="shared" si="151"/>
        <v>7469725</v>
      </c>
      <c r="T810" s="15">
        <f t="shared" si="152"/>
        <v>16.686436250344954</v>
      </c>
      <c r="U810" s="15">
        <f>IF(O810="Exclude",0,G810*Fuel_Price!$B$2)</f>
        <v>16358.4401</v>
      </c>
      <c r="V810" s="15">
        <f t="shared" si="153"/>
        <v>2989922.7577359979</v>
      </c>
    </row>
    <row r="811" spans="1:22">
      <c r="A811" s="1" t="s">
        <v>2048</v>
      </c>
      <c r="B811" s="1" t="s">
        <v>2049</v>
      </c>
      <c r="C811" s="1" t="s">
        <v>2050</v>
      </c>
      <c r="D811" s="1" t="s">
        <v>12</v>
      </c>
      <c r="E811" s="12">
        <v>9341</v>
      </c>
      <c r="F811" s="12" t="s">
        <v>137</v>
      </c>
      <c r="G811" s="6">
        <v>11694.24</v>
      </c>
      <c r="H811" s="1">
        <v>2.2599999999999998</v>
      </c>
      <c r="J811" t="str">
        <f t="shared" si="144"/>
        <v>OK</v>
      </c>
      <c r="K811" t="str">
        <f t="shared" si="145"/>
        <v>OK</v>
      </c>
      <c r="L811">
        <f t="shared" si="154"/>
        <v>12</v>
      </c>
      <c r="M811">
        <f t="shared" si="146"/>
        <v>10</v>
      </c>
      <c r="N811" s="9" t="str">
        <f t="shared" si="155"/>
        <v>Valid</v>
      </c>
      <c r="O811" t="str">
        <f t="shared" si="147"/>
        <v>Include</v>
      </c>
      <c r="P811" s="9">
        <f t="shared" si="148"/>
        <v>2035068.5799999984</v>
      </c>
      <c r="Q811" s="15">
        <f t="shared" si="149"/>
        <v>7469725</v>
      </c>
      <c r="R811" s="9">
        <f t="shared" si="150"/>
        <v>9341</v>
      </c>
      <c r="S811" s="9">
        <f t="shared" si="151"/>
        <v>7469725</v>
      </c>
      <c r="T811" s="15">
        <f t="shared" si="152"/>
        <v>16.686436250344954</v>
      </c>
      <c r="U811" s="15">
        <f>IF(O811="Exclude",0,G811*Fuel_Price!$B$2)</f>
        <v>17181.177408</v>
      </c>
      <c r="V811" s="15">
        <f t="shared" si="153"/>
        <v>2989922.7577359979</v>
      </c>
    </row>
    <row r="812" spans="1:22">
      <c r="A812" s="1" t="s">
        <v>2051</v>
      </c>
      <c r="B812" s="1" t="s">
        <v>2052</v>
      </c>
      <c r="C812" s="1" t="s">
        <v>2006</v>
      </c>
      <c r="D812" s="1" t="s">
        <v>12</v>
      </c>
      <c r="E812" s="12">
        <v>6834</v>
      </c>
      <c r="F812" s="12" t="s">
        <v>137</v>
      </c>
      <c r="G812" s="6">
        <v>9755.16</v>
      </c>
      <c r="H812" s="1">
        <v>1.98</v>
      </c>
      <c r="J812" t="str">
        <f t="shared" si="144"/>
        <v>OK</v>
      </c>
      <c r="K812" t="str">
        <f t="shared" si="145"/>
        <v>OK</v>
      </c>
      <c r="L812">
        <f t="shared" si="154"/>
        <v>12</v>
      </c>
      <c r="M812">
        <f t="shared" si="146"/>
        <v>10</v>
      </c>
      <c r="N812" s="9" t="str">
        <f t="shared" si="155"/>
        <v>Valid</v>
      </c>
      <c r="O812" t="str">
        <f t="shared" si="147"/>
        <v>Include</v>
      </c>
      <c r="P812" s="9">
        <f t="shared" si="148"/>
        <v>2035068.5799999984</v>
      </c>
      <c r="Q812" s="15">
        <f t="shared" si="149"/>
        <v>7469725</v>
      </c>
      <c r="R812" s="9">
        <f t="shared" si="150"/>
        <v>6834</v>
      </c>
      <c r="S812" s="9">
        <f t="shared" si="151"/>
        <v>7469725</v>
      </c>
      <c r="T812" s="15">
        <f t="shared" si="152"/>
        <v>16.686436250344954</v>
      </c>
      <c r="U812" s="15">
        <f>IF(O812="Exclude",0,G812*Fuel_Price!$B$2)</f>
        <v>14332.281072</v>
      </c>
      <c r="V812" s="15">
        <f t="shared" si="153"/>
        <v>2989922.7577359979</v>
      </c>
    </row>
    <row r="813" spans="1:22">
      <c r="A813" s="1" t="s">
        <v>2053</v>
      </c>
      <c r="B813" s="1" t="s">
        <v>2054</v>
      </c>
      <c r="C813" s="1" t="s">
        <v>2006</v>
      </c>
      <c r="D813" s="1" t="s">
        <v>12</v>
      </c>
      <c r="E813" s="12">
        <v>7305</v>
      </c>
      <c r="F813" s="12" t="s">
        <v>137</v>
      </c>
      <c r="G813" s="6">
        <v>8677.93</v>
      </c>
      <c r="H813" s="1">
        <v>2.38</v>
      </c>
      <c r="J813" t="str">
        <f t="shared" si="144"/>
        <v>OK</v>
      </c>
      <c r="K813" t="str">
        <f t="shared" si="145"/>
        <v>OK</v>
      </c>
      <c r="L813">
        <f t="shared" si="154"/>
        <v>12</v>
      </c>
      <c r="M813">
        <f t="shared" si="146"/>
        <v>10</v>
      </c>
      <c r="N813" s="9" t="str">
        <f t="shared" si="155"/>
        <v>Valid</v>
      </c>
      <c r="O813" t="str">
        <f t="shared" si="147"/>
        <v>Include</v>
      </c>
      <c r="P813" s="9">
        <f t="shared" si="148"/>
        <v>2035068.5799999984</v>
      </c>
      <c r="Q813" s="15">
        <f t="shared" si="149"/>
        <v>7469725</v>
      </c>
      <c r="R813" s="9">
        <f t="shared" si="150"/>
        <v>7305</v>
      </c>
      <c r="S813" s="9">
        <f t="shared" si="151"/>
        <v>7469725</v>
      </c>
      <c r="T813" s="15">
        <f t="shared" si="152"/>
        <v>16.686436250344954</v>
      </c>
      <c r="U813" s="15">
        <f>IF(O813="Exclude",0,G813*Fuel_Price!$B$2)</f>
        <v>12749.614756000001</v>
      </c>
      <c r="V813" s="15">
        <f t="shared" si="153"/>
        <v>2989922.7577359979</v>
      </c>
    </row>
    <row r="814" spans="1:22">
      <c r="A814" s="1" t="s">
        <v>2055</v>
      </c>
      <c r="B814" s="1" t="s">
        <v>2056</v>
      </c>
      <c r="C814" s="1" t="s">
        <v>2006</v>
      </c>
      <c r="D814" s="1" t="s">
        <v>12</v>
      </c>
      <c r="E814" s="12">
        <v>7711</v>
      </c>
      <c r="F814" s="12" t="s">
        <v>137</v>
      </c>
      <c r="G814" s="6">
        <v>10321.17</v>
      </c>
      <c r="H814" s="1">
        <v>2.11</v>
      </c>
      <c r="J814" t="str">
        <f t="shared" si="144"/>
        <v>OK</v>
      </c>
      <c r="K814" t="str">
        <f t="shared" si="145"/>
        <v>OK</v>
      </c>
      <c r="L814">
        <f t="shared" si="154"/>
        <v>12</v>
      </c>
      <c r="M814">
        <f t="shared" si="146"/>
        <v>10</v>
      </c>
      <c r="N814" s="9" t="str">
        <f t="shared" si="155"/>
        <v>Valid</v>
      </c>
      <c r="O814" t="str">
        <f t="shared" si="147"/>
        <v>Include</v>
      </c>
      <c r="P814" s="9">
        <f t="shared" si="148"/>
        <v>2035068.5799999984</v>
      </c>
      <c r="Q814" s="15">
        <f t="shared" si="149"/>
        <v>7469725</v>
      </c>
      <c r="R814" s="9">
        <f t="shared" si="150"/>
        <v>7711</v>
      </c>
      <c r="S814" s="9">
        <f t="shared" si="151"/>
        <v>7469725</v>
      </c>
      <c r="T814" s="15">
        <f t="shared" si="152"/>
        <v>16.686436250344954</v>
      </c>
      <c r="U814" s="15">
        <f>IF(O814="Exclude",0,G814*Fuel_Price!$B$2)</f>
        <v>15163.862964</v>
      </c>
      <c r="V814" s="15">
        <f t="shared" si="153"/>
        <v>2989922.7577359979</v>
      </c>
    </row>
    <row r="815" spans="1:22">
      <c r="A815" s="1" t="s">
        <v>2057</v>
      </c>
      <c r="B815" s="1" t="s">
        <v>2058</v>
      </c>
      <c r="C815" s="1" t="s">
        <v>1990</v>
      </c>
      <c r="D815" s="1" t="s">
        <v>12</v>
      </c>
      <c r="E815" s="12">
        <v>-117153</v>
      </c>
      <c r="F815" s="12" t="s">
        <v>137</v>
      </c>
      <c r="G815" s="6">
        <v>14992.61</v>
      </c>
      <c r="H815" s="1">
        <v>-22.07</v>
      </c>
      <c r="J815" t="str">
        <f t="shared" si="144"/>
        <v>Check</v>
      </c>
      <c r="K815" t="str">
        <f t="shared" si="145"/>
        <v>Check</v>
      </c>
      <c r="L815">
        <f t="shared" si="154"/>
        <v>12</v>
      </c>
      <c r="M815">
        <f t="shared" si="146"/>
        <v>10</v>
      </c>
      <c r="N815" s="9" t="str">
        <f t="shared" si="155"/>
        <v>Review</v>
      </c>
      <c r="O815" t="str">
        <f t="shared" si="147"/>
        <v>Exclude</v>
      </c>
      <c r="P815" s="9">
        <f t="shared" si="148"/>
        <v>2035068.5799999984</v>
      </c>
      <c r="Q815" s="15">
        <f t="shared" si="149"/>
        <v>7469725</v>
      </c>
      <c r="R815" s="9">
        <f t="shared" si="150"/>
        <v>0</v>
      </c>
      <c r="S815" s="9">
        <f t="shared" si="151"/>
        <v>7469725</v>
      </c>
      <c r="T815" s="15">
        <f t="shared" si="152"/>
        <v>16.686436250344954</v>
      </c>
      <c r="U815" s="15">
        <f>IF(O815="Exclude",0,G815*Fuel_Price!$B$2)</f>
        <v>0</v>
      </c>
      <c r="V815" s="15">
        <f t="shared" si="153"/>
        <v>2989922.7577359979</v>
      </c>
    </row>
    <row r="816" spans="1:22">
      <c r="A816" s="1" t="s">
        <v>2059</v>
      </c>
      <c r="B816" s="1" t="s">
        <v>2060</v>
      </c>
      <c r="C816" s="1" t="s">
        <v>2006</v>
      </c>
      <c r="D816" s="1" t="s">
        <v>12</v>
      </c>
      <c r="E816" s="12">
        <v>6159</v>
      </c>
      <c r="F816" s="12" t="s">
        <v>137</v>
      </c>
      <c r="G816" s="6">
        <v>8809.24</v>
      </c>
      <c r="H816" s="1">
        <v>1.97</v>
      </c>
      <c r="J816" t="str">
        <f t="shared" si="144"/>
        <v>OK</v>
      </c>
      <c r="K816" t="str">
        <f t="shared" si="145"/>
        <v>OK</v>
      </c>
      <c r="L816">
        <f t="shared" si="154"/>
        <v>12</v>
      </c>
      <c r="M816">
        <f t="shared" si="146"/>
        <v>10</v>
      </c>
      <c r="N816" s="9" t="str">
        <f t="shared" si="155"/>
        <v>Valid</v>
      </c>
      <c r="O816" t="str">
        <f t="shared" si="147"/>
        <v>Include</v>
      </c>
      <c r="P816" s="9">
        <f t="shared" si="148"/>
        <v>2035068.5799999984</v>
      </c>
      <c r="Q816" s="15">
        <f t="shared" si="149"/>
        <v>7469725</v>
      </c>
      <c r="R816" s="9">
        <f t="shared" si="150"/>
        <v>6159</v>
      </c>
      <c r="S816" s="9">
        <f t="shared" si="151"/>
        <v>7469725</v>
      </c>
      <c r="T816" s="15">
        <f t="shared" si="152"/>
        <v>16.686436250344954</v>
      </c>
      <c r="U816" s="15">
        <f>IF(O816="Exclude",0,G816*Fuel_Price!$B$2)</f>
        <v>12942.535408</v>
      </c>
      <c r="V816" s="15">
        <f t="shared" si="153"/>
        <v>2989922.7577359979</v>
      </c>
    </row>
    <row r="817" spans="1:22">
      <c r="A817" s="1" t="s">
        <v>2061</v>
      </c>
      <c r="B817" s="1" t="s">
        <v>2062</v>
      </c>
      <c r="C817" s="1" t="s">
        <v>2006</v>
      </c>
      <c r="D817" s="1" t="s">
        <v>12</v>
      </c>
      <c r="E817" s="12">
        <v>3354</v>
      </c>
      <c r="F817" s="12" t="s">
        <v>137</v>
      </c>
      <c r="G817" s="6">
        <v>4555.1000000000004</v>
      </c>
      <c r="H817" s="1">
        <v>2.08</v>
      </c>
      <c r="J817" t="str">
        <f t="shared" si="144"/>
        <v>OK</v>
      </c>
      <c r="K817" t="str">
        <f t="shared" si="145"/>
        <v>OK</v>
      </c>
      <c r="L817">
        <f t="shared" si="154"/>
        <v>12</v>
      </c>
      <c r="M817">
        <f t="shared" si="146"/>
        <v>10</v>
      </c>
      <c r="N817" s="9" t="str">
        <f t="shared" si="155"/>
        <v>Valid</v>
      </c>
      <c r="O817" t="str">
        <f t="shared" si="147"/>
        <v>Include</v>
      </c>
      <c r="P817" s="9">
        <f t="shared" si="148"/>
        <v>2035068.5799999984</v>
      </c>
      <c r="Q817" s="15">
        <f t="shared" si="149"/>
        <v>7469725</v>
      </c>
      <c r="R817" s="9">
        <f t="shared" si="150"/>
        <v>3354</v>
      </c>
      <c r="S817" s="9">
        <f t="shared" si="151"/>
        <v>7469725</v>
      </c>
      <c r="T817" s="15">
        <f t="shared" si="152"/>
        <v>16.686436250344954</v>
      </c>
      <c r="U817" s="15">
        <f>IF(O817="Exclude",0,G817*Fuel_Price!$B$2)</f>
        <v>6692.3529200000012</v>
      </c>
      <c r="V817" s="15">
        <f t="shared" si="153"/>
        <v>2989922.7577359979</v>
      </c>
    </row>
    <row r="818" spans="1:22">
      <c r="A818" s="1" t="s">
        <v>2063</v>
      </c>
      <c r="B818" s="1" t="s">
        <v>2064</v>
      </c>
      <c r="C818" s="1" t="s">
        <v>1999</v>
      </c>
      <c r="D818" s="1" t="s">
        <v>12</v>
      </c>
      <c r="E818" s="12">
        <v>107</v>
      </c>
      <c r="F818" s="12" t="s">
        <v>137</v>
      </c>
      <c r="G818" s="6">
        <v>227.87</v>
      </c>
      <c r="H818" s="1">
        <v>1.33</v>
      </c>
      <c r="J818" t="str">
        <f t="shared" si="144"/>
        <v>OK</v>
      </c>
      <c r="K818" t="str">
        <f t="shared" si="145"/>
        <v>OK</v>
      </c>
      <c r="L818">
        <f t="shared" si="154"/>
        <v>12</v>
      </c>
      <c r="M818">
        <f t="shared" si="146"/>
        <v>10</v>
      </c>
      <c r="N818" s="9" t="str">
        <f t="shared" si="155"/>
        <v>Valid</v>
      </c>
      <c r="O818" t="str">
        <f t="shared" si="147"/>
        <v>Include</v>
      </c>
      <c r="P818" s="9">
        <f t="shared" si="148"/>
        <v>2035068.5799999984</v>
      </c>
      <c r="Q818" s="15">
        <f t="shared" si="149"/>
        <v>7469725</v>
      </c>
      <c r="R818" s="9">
        <f t="shared" si="150"/>
        <v>107</v>
      </c>
      <c r="S818" s="9">
        <f t="shared" si="151"/>
        <v>7469725</v>
      </c>
      <c r="T818" s="15">
        <f t="shared" si="152"/>
        <v>16.686436250344954</v>
      </c>
      <c r="U818" s="15">
        <f>IF(O818="Exclude",0,G818*Fuel_Price!$B$2)</f>
        <v>334.78660400000001</v>
      </c>
      <c r="V818" s="15">
        <f t="shared" si="153"/>
        <v>2989922.7577359979</v>
      </c>
    </row>
    <row r="819" spans="1:22">
      <c r="A819" s="1" t="s">
        <v>2065</v>
      </c>
      <c r="B819" s="1" t="s">
        <v>2066</v>
      </c>
      <c r="C819" s="1" t="s">
        <v>1990</v>
      </c>
      <c r="D819" s="1" t="s">
        <v>12</v>
      </c>
      <c r="E819" s="12">
        <v>-111537</v>
      </c>
      <c r="F819" s="12" t="s">
        <v>137</v>
      </c>
      <c r="G819" s="6">
        <v>942.5</v>
      </c>
      <c r="H819" s="1">
        <v>-332.33</v>
      </c>
      <c r="J819" t="str">
        <f t="shared" si="144"/>
        <v>Check</v>
      </c>
      <c r="K819" t="str">
        <f t="shared" si="145"/>
        <v>Check</v>
      </c>
      <c r="L819">
        <f t="shared" si="154"/>
        <v>12</v>
      </c>
      <c r="M819">
        <f t="shared" si="146"/>
        <v>10</v>
      </c>
      <c r="N819" s="9" t="str">
        <f t="shared" si="155"/>
        <v>Review</v>
      </c>
      <c r="O819" t="str">
        <f t="shared" si="147"/>
        <v>Exclude</v>
      </c>
      <c r="P819" s="9">
        <f t="shared" si="148"/>
        <v>2035068.5799999984</v>
      </c>
      <c r="Q819" s="15">
        <f t="shared" si="149"/>
        <v>7469725</v>
      </c>
      <c r="R819" s="9">
        <f t="shared" si="150"/>
        <v>0</v>
      </c>
      <c r="S819" s="9">
        <f t="shared" si="151"/>
        <v>7469725</v>
      </c>
      <c r="T819" s="15">
        <f t="shared" si="152"/>
        <v>16.686436250344954</v>
      </c>
      <c r="U819" s="15">
        <f>IF(O819="Exclude",0,G819*Fuel_Price!$B$2)</f>
        <v>0</v>
      </c>
      <c r="V819" s="15">
        <f t="shared" si="153"/>
        <v>2989922.7577359979</v>
      </c>
    </row>
    <row r="820" spans="1:22">
      <c r="A820" s="1" t="s">
        <v>2067</v>
      </c>
      <c r="B820" s="1" t="s">
        <v>2068</v>
      </c>
      <c r="C820" s="1" t="s">
        <v>2069</v>
      </c>
      <c r="D820" s="1" t="s">
        <v>12</v>
      </c>
      <c r="E820" s="12">
        <v>9982</v>
      </c>
      <c r="F820" s="12" t="s">
        <v>137</v>
      </c>
      <c r="G820" s="6">
        <v>7260.81</v>
      </c>
      <c r="H820" s="1">
        <v>3.88</v>
      </c>
      <c r="J820" t="str">
        <f t="shared" si="144"/>
        <v>OK</v>
      </c>
      <c r="K820" t="str">
        <f t="shared" si="145"/>
        <v>OK</v>
      </c>
      <c r="L820">
        <f t="shared" si="154"/>
        <v>12</v>
      </c>
      <c r="M820">
        <f t="shared" si="146"/>
        <v>10</v>
      </c>
      <c r="N820" s="9" t="str">
        <f t="shared" si="155"/>
        <v>Valid</v>
      </c>
      <c r="O820" t="str">
        <f t="shared" si="147"/>
        <v>Include</v>
      </c>
      <c r="P820" s="9">
        <f t="shared" si="148"/>
        <v>2035068.5799999984</v>
      </c>
      <c r="Q820" s="15">
        <f t="shared" si="149"/>
        <v>7469725</v>
      </c>
      <c r="R820" s="9">
        <f t="shared" si="150"/>
        <v>9982</v>
      </c>
      <c r="S820" s="9">
        <f t="shared" si="151"/>
        <v>7469725</v>
      </c>
      <c r="T820" s="15">
        <f t="shared" si="152"/>
        <v>16.686436250344954</v>
      </c>
      <c r="U820" s="15">
        <f>IF(O820="Exclude",0,G820*Fuel_Price!$B$2)</f>
        <v>10667.582052000002</v>
      </c>
      <c r="V820" s="15">
        <f t="shared" si="153"/>
        <v>2989922.7577359979</v>
      </c>
    </row>
    <row r="821" spans="1:22">
      <c r="A821" s="1" t="s">
        <v>2070</v>
      </c>
      <c r="B821" s="1" t="s">
        <v>2071</v>
      </c>
      <c r="C821" s="1" t="s">
        <v>2069</v>
      </c>
      <c r="D821" s="1" t="s">
        <v>12</v>
      </c>
      <c r="E821" s="12">
        <v>6615</v>
      </c>
      <c r="F821" s="12" t="s">
        <v>137</v>
      </c>
      <c r="G821" s="6">
        <v>4938.53</v>
      </c>
      <c r="H821" s="1">
        <v>3.78</v>
      </c>
      <c r="J821" t="str">
        <f t="shared" si="144"/>
        <v>OK</v>
      </c>
      <c r="K821" t="str">
        <f t="shared" si="145"/>
        <v>OK</v>
      </c>
      <c r="L821">
        <f t="shared" si="154"/>
        <v>12</v>
      </c>
      <c r="M821">
        <f t="shared" si="146"/>
        <v>10</v>
      </c>
      <c r="N821" s="9" t="str">
        <f t="shared" si="155"/>
        <v>Valid</v>
      </c>
      <c r="O821" t="str">
        <f t="shared" si="147"/>
        <v>Include</v>
      </c>
      <c r="P821" s="9">
        <f t="shared" si="148"/>
        <v>2035068.5799999984</v>
      </c>
      <c r="Q821" s="15">
        <f t="shared" si="149"/>
        <v>7469725</v>
      </c>
      <c r="R821" s="9">
        <f t="shared" si="150"/>
        <v>6615</v>
      </c>
      <c r="S821" s="9">
        <f t="shared" si="151"/>
        <v>7469725</v>
      </c>
      <c r="T821" s="15">
        <f t="shared" si="152"/>
        <v>16.686436250344954</v>
      </c>
      <c r="U821" s="15">
        <f>IF(O821="Exclude",0,G821*Fuel_Price!$B$2)</f>
        <v>7255.6882759999999</v>
      </c>
      <c r="V821" s="15">
        <f t="shared" si="153"/>
        <v>2989922.7577359979</v>
      </c>
    </row>
    <row r="822" spans="1:22">
      <c r="A822" s="1" t="s">
        <v>2072</v>
      </c>
      <c r="B822" s="1" t="s">
        <v>2073</v>
      </c>
      <c r="C822" s="1" t="s">
        <v>2069</v>
      </c>
      <c r="D822" s="1" t="s">
        <v>12</v>
      </c>
      <c r="E822" s="12">
        <v>6564</v>
      </c>
      <c r="F822" s="12" t="s">
        <v>137</v>
      </c>
      <c r="G822" s="6">
        <v>4890.97</v>
      </c>
      <c r="H822" s="1">
        <v>3.79</v>
      </c>
      <c r="J822" t="str">
        <f t="shared" si="144"/>
        <v>OK</v>
      </c>
      <c r="K822" t="str">
        <f t="shared" si="145"/>
        <v>OK</v>
      </c>
      <c r="L822">
        <f t="shared" si="154"/>
        <v>12</v>
      </c>
      <c r="M822">
        <f t="shared" si="146"/>
        <v>10</v>
      </c>
      <c r="N822" s="9" t="str">
        <f t="shared" si="155"/>
        <v>Valid</v>
      </c>
      <c r="O822" t="str">
        <f t="shared" si="147"/>
        <v>Include</v>
      </c>
      <c r="P822" s="9">
        <f t="shared" si="148"/>
        <v>2035068.5799999984</v>
      </c>
      <c r="Q822" s="15">
        <f t="shared" si="149"/>
        <v>7469725</v>
      </c>
      <c r="R822" s="9">
        <f t="shared" si="150"/>
        <v>6564</v>
      </c>
      <c r="S822" s="9">
        <f t="shared" si="151"/>
        <v>7469725</v>
      </c>
      <c r="T822" s="15">
        <f t="shared" si="152"/>
        <v>16.686436250344954</v>
      </c>
      <c r="U822" s="15">
        <f>IF(O822="Exclude",0,G822*Fuel_Price!$B$2)</f>
        <v>7185.8131240000002</v>
      </c>
      <c r="V822" s="15">
        <f t="shared" si="153"/>
        <v>2989922.7577359979</v>
      </c>
    </row>
    <row r="823" spans="1:22">
      <c r="A823" s="1" t="s">
        <v>2074</v>
      </c>
      <c r="B823" s="1" t="s">
        <v>2075</v>
      </c>
      <c r="C823" s="1" t="s">
        <v>2076</v>
      </c>
      <c r="D823" s="1" t="s">
        <v>12</v>
      </c>
      <c r="E823" s="12">
        <v>17868</v>
      </c>
      <c r="F823" s="12" t="s">
        <v>13</v>
      </c>
      <c r="G823" s="6">
        <v>11616.27</v>
      </c>
      <c r="H823" s="1">
        <v>6.99</v>
      </c>
      <c r="J823" t="str">
        <f t="shared" si="144"/>
        <v>OK</v>
      </c>
      <c r="K823" t="str">
        <f t="shared" si="145"/>
        <v>OK</v>
      </c>
      <c r="L823">
        <f t="shared" si="154"/>
        <v>12</v>
      </c>
      <c r="M823">
        <f t="shared" si="146"/>
        <v>10</v>
      </c>
      <c r="N823" s="9" t="str">
        <f t="shared" si="155"/>
        <v>Valid</v>
      </c>
      <c r="O823" t="str">
        <f t="shared" si="147"/>
        <v>Include</v>
      </c>
      <c r="P823" s="9">
        <f t="shared" si="148"/>
        <v>2035068.5799999984</v>
      </c>
      <c r="Q823" s="15">
        <f t="shared" si="149"/>
        <v>7469725</v>
      </c>
      <c r="R823" s="9">
        <f t="shared" si="150"/>
        <v>17868</v>
      </c>
      <c r="S823" s="9">
        <f t="shared" si="151"/>
        <v>7469725</v>
      </c>
      <c r="T823" s="15">
        <f t="shared" si="152"/>
        <v>16.686436250344954</v>
      </c>
      <c r="U823" s="15">
        <f>IF(O823="Exclude",0,G823*Fuel_Price!$B$2)</f>
        <v>17066.623884000001</v>
      </c>
      <c r="V823" s="15">
        <f t="shared" si="153"/>
        <v>2989922.7577359979</v>
      </c>
    </row>
    <row r="824" spans="1:22">
      <c r="A824" s="1" t="s">
        <v>2077</v>
      </c>
      <c r="B824" s="1" t="s">
        <v>2078</v>
      </c>
      <c r="C824" s="1" t="s">
        <v>2076</v>
      </c>
      <c r="D824" s="1" t="s">
        <v>12</v>
      </c>
      <c r="E824" s="12">
        <v>10462</v>
      </c>
      <c r="F824" s="12" t="s">
        <v>13</v>
      </c>
      <c r="G824" s="6">
        <v>8725.5300000000007</v>
      </c>
      <c r="H824" s="1">
        <v>5.45</v>
      </c>
      <c r="J824" t="str">
        <f t="shared" si="144"/>
        <v>OK</v>
      </c>
      <c r="K824" t="str">
        <f t="shared" si="145"/>
        <v>OK</v>
      </c>
      <c r="L824">
        <f t="shared" si="154"/>
        <v>12</v>
      </c>
      <c r="M824">
        <f t="shared" si="146"/>
        <v>10</v>
      </c>
      <c r="N824" s="9" t="str">
        <f t="shared" si="155"/>
        <v>Valid</v>
      </c>
      <c r="O824" t="str">
        <f t="shared" si="147"/>
        <v>Include</v>
      </c>
      <c r="P824" s="9">
        <f t="shared" si="148"/>
        <v>2035068.5799999984</v>
      </c>
      <c r="Q824" s="15">
        <f t="shared" si="149"/>
        <v>7469725</v>
      </c>
      <c r="R824" s="9">
        <f t="shared" si="150"/>
        <v>10462</v>
      </c>
      <c r="S824" s="9">
        <f t="shared" si="151"/>
        <v>7469725</v>
      </c>
      <c r="T824" s="15">
        <f t="shared" si="152"/>
        <v>16.686436250344954</v>
      </c>
      <c r="U824" s="15">
        <f>IF(O824="Exclude",0,G824*Fuel_Price!$B$2)</f>
        <v>12819.548676000002</v>
      </c>
      <c r="V824" s="15">
        <f t="shared" si="153"/>
        <v>2989922.7577359979</v>
      </c>
    </row>
    <row r="825" spans="1:22">
      <c r="A825" s="1" t="s">
        <v>2079</v>
      </c>
      <c r="B825" s="1" t="s">
        <v>2080</v>
      </c>
      <c r="C825" s="1" t="s">
        <v>2076</v>
      </c>
      <c r="D825" s="1" t="s">
        <v>12</v>
      </c>
      <c r="E825" s="12">
        <v>6191</v>
      </c>
      <c r="F825" s="12" t="s">
        <v>13</v>
      </c>
      <c r="G825" s="6">
        <v>4733.54</v>
      </c>
      <c r="H825" s="1">
        <v>5.95</v>
      </c>
      <c r="J825" t="str">
        <f t="shared" si="144"/>
        <v>OK</v>
      </c>
      <c r="K825" t="str">
        <f t="shared" si="145"/>
        <v>OK</v>
      </c>
      <c r="L825">
        <f t="shared" si="154"/>
        <v>12</v>
      </c>
      <c r="M825">
        <f t="shared" si="146"/>
        <v>10</v>
      </c>
      <c r="N825" s="9" t="str">
        <f t="shared" si="155"/>
        <v>Valid</v>
      </c>
      <c r="O825" t="str">
        <f t="shared" si="147"/>
        <v>Include</v>
      </c>
      <c r="P825" s="9">
        <f t="shared" si="148"/>
        <v>2035068.5799999984</v>
      </c>
      <c r="Q825" s="15">
        <f t="shared" si="149"/>
        <v>7469725</v>
      </c>
      <c r="R825" s="9">
        <f t="shared" si="150"/>
        <v>6191</v>
      </c>
      <c r="S825" s="9">
        <f t="shared" si="151"/>
        <v>7469725</v>
      </c>
      <c r="T825" s="15">
        <f t="shared" si="152"/>
        <v>16.686436250344954</v>
      </c>
      <c r="U825" s="15">
        <f>IF(O825="Exclude",0,G825*Fuel_Price!$B$2)</f>
        <v>6954.5169679999999</v>
      </c>
      <c r="V825" s="15">
        <f t="shared" si="153"/>
        <v>2989922.7577359979</v>
      </c>
    </row>
    <row r="826" spans="1:22">
      <c r="A826" s="1" t="s">
        <v>2081</v>
      </c>
      <c r="B826" s="1" t="s">
        <v>2082</v>
      </c>
      <c r="C826" s="1" t="s">
        <v>2083</v>
      </c>
      <c r="D826" s="1" t="s">
        <v>12</v>
      </c>
      <c r="E826" s="12">
        <v>12849</v>
      </c>
      <c r="F826" s="12" t="s">
        <v>137</v>
      </c>
      <c r="G826" s="6">
        <v>7152.24</v>
      </c>
      <c r="H826" s="1">
        <v>5.08</v>
      </c>
      <c r="J826" t="str">
        <f t="shared" si="144"/>
        <v>OK</v>
      </c>
      <c r="K826" t="str">
        <f t="shared" si="145"/>
        <v>OK</v>
      </c>
      <c r="L826">
        <f t="shared" si="154"/>
        <v>12</v>
      </c>
      <c r="M826">
        <f t="shared" si="146"/>
        <v>10</v>
      </c>
      <c r="N826" s="9" t="str">
        <f t="shared" si="155"/>
        <v>Valid</v>
      </c>
      <c r="O826" t="str">
        <f t="shared" si="147"/>
        <v>Include</v>
      </c>
      <c r="P826" s="9">
        <f t="shared" si="148"/>
        <v>2035068.5799999984</v>
      </c>
      <c r="Q826" s="15">
        <f t="shared" si="149"/>
        <v>7469725</v>
      </c>
      <c r="R826" s="9">
        <f t="shared" si="150"/>
        <v>12849</v>
      </c>
      <c r="S826" s="9">
        <f t="shared" si="151"/>
        <v>7469725</v>
      </c>
      <c r="T826" s="15">
        <f t="shared" si="152"/>
        <v>16.686436250344954</v>
      </c>
      <c r="U826" s="15">
        <f>IF(O826="Exclude",0,G826*Fuel_Price!$B$2)</f>
        <v>10508.071008000001</v>
      </c>
      <c r="V826" s="15">
        <f t="shared" si="153"/>
        <v>2989922.7577359979</v>
      </c>
    </row>
    <row r="827" spans="1:22">
      <c r="A827" s="1" t="s">
        <v>2084</v>
      </c>
      <c r="B827" s="1" t="s">
        <v>2085</v>
      </c>
      <c r="C827" s="1" t="s">
        <v>2083</v>
      </c>
      <c r="D827" s="1" t="s">
        <v>12</v>
      </c>
      <c r="E827" s="12">
        <v>15140</v>
      </c>
      <c r="F827" s="12" t="s">
        <v>137</v>
      </c>
      <c r="G827" s="6">
        <v>8349.01</v>
      </c>
      <c r="H827" s="1">
        <v>5.12</v>
      </c>
      <c r="J827" t="str">
        <f t="shared" si="144"/>
        <v>OK</v>
      </c>
      <c r="K827" t="str">
        <f t="shared" si="145"/>
        <v>OK</v>
      </c>
      <c r="L827">
        <f t="shared" si="154"/>
        <v>12</v>
      </c>
      <c r="M827">
        <f t="shared" si="146"/>
        <v>10</v>
      </c>
      <c r="N827" s="9" t="str">
        <f t="shared" si="155"/>
        <v>Valid</v>
      </c>
      <c r="O827" t="str">
        <f t="shared" si="147"/>
        <v>Include</v>
      </c>
      <c r="P827" s="9">
        <f t="shared" si="148"/>
        <v>2035068.5799999984</v>
      </c>
      <c r="Q827" s="15">
        <f t="shared" si="149"/>
        <v>7469725</v>
      </c>
      <c r="R827" s="9">
        <f t="shared" si="150"/>
        <v>15140</v>
      </c>
      <c r="S827" s="9">
        <f t="shared" si="151"/>
        <v>7469725</v>
      </c>
      <c r="T827" s="15">
        <f t="shared" si="152"/>
        <v>16.686436250344954</v>
      </c>
      <c r="U827" s="15">
        <f>IF(O827="Exclude",0,G827*Fuel_Price!$B$2)</f>
        <v>12266.365492000001</v>
      </c>
      <c r="V827" s="15">
        <f t="shared" si="153"/>
        <v>2989922.7577359979</v>
      </c>
    </row>
    <row r="828" spans="1:22">
      <c r="A828" s="1" t="s">
        <v>2086</v>
      </c>
      <c r="B828" s="1" t="s">
        <v>2087</v>
      </c>
      <c r="C828" s="1" t="s">
        <v>2088</v>
      </c>
      <c r="D828" s="1" t="s">
        <v>12</v>
      </c>
      <c r="E828" s="12">
        <v>8085</v>
      </c>
      <c r="F828" s="12" t="s">
        <v>137</v>
      </c>
      <c r="G828" s="6">
        <v>9228.11</v>
      </c>
      <c r="H828" s="1">
        <v>2.4700000000000002</v>
      </c>
      <c r="J828" t="str">
        <f t="shared" si="144"/>
        <v>OK</v>
      </c>
      <c r="K828" t="str">
        <f t="shared" si="145"/>
        <v>OK</v>
      </c>
      <c r="L828">
        <f t="shared" si="154"/>
        <v>12</v>
      </c>
      <c r="M828">
        <f t="shared" si="146"/>
        <v>10</v>
      </c>
      <c r="N828" s="9" t="str">
        <f t="shared" si="155"/>
        <v>Valid</v>
      </c>
      <c r="O828" t="str">
        <f t="shared" si="147"/>
        <v>Include</v>
      </c>
      <c r="P828" s="9">
        <f t="shared" si="148"/>
        <v>2035068.5799999984</v>
      </c>
      <c r="Q828" s="15">
        <f t="shared" si="149"/>
        <v>7469725</v>
      </c>
      <c r="R828" s="9">
        <f t="shared" si="150"/>
        <v>8085</v>
      </c>
      <c r="S828" s="9">
        <f t="shared" si="151"/>
        <v>7469725</v>
      </c>
      <c r="T828" s="15">
        <f t="shared" si="152"/>
        <v>16.686436250344954</v>
      </c>
      <c r="U828" s="15">
        <f>IF(O828="Exclude",0,G828*Fuel_Price!$B$2)</f>
        <v>13557.939212000001</v>
      </c>
      <c r="V828" s="15">
        <f t="shared" si="153"/>
        <v>2989922.7577359979</v>
      </c>
    </row>
    <row r="829" spans="1:22">
      <c r="A829" s="1" t="s">
        <v>2089</v>
      </c>
      <c r="B829" s="1" t="s">
        <v>2090</v>
      </c>
      <c r="C829" s="1" t="s">
        <v>2088</v>
      </c>
      <c r="D829" s="1" t="s">
        <v>12</v>
      </c>
      <c r="E829" s="12">
        <v>9090</v>
      </c>
      <c r="F829" s="12" t="s">
        <v>137</v>
      </c>
      <c r="G829" s="6">
        <v>8635.8799999999992</v>
      </c>
      <c r="H829" s="1">
        <v>2.97</v>
      </c>
      <c r="J829" t="str">
        <f t="shared" si="144"/>
        <v>OK</v>
      </c>
      <c r="K829" t="str">
        <f t="shared" si="145"/>
        <v>OK</v>
      </c>
      <c r="L829">
        <f t="shared" si="154"/>
        <v>12</v>
      </c>
      <c r="M829">
        <f t="shared" si="146"/>
        <v>10</v>
      </c>
      <c r="N829" s="9" t="str">
        <f t="shared" si="155"/>
        <v>Valid</v>
      </c>
      <c r="O829" t="str">
        <f t="shared" si="147"/>
        <v>Include</v>
      </c>
      <c r="P829" s="9">
        <f t="shared" si="148"/>
        <v>2035068.5799999984</v>
      </c>
      <c r="Q829" s="15">
        <f t="shared" si="149"/>
        <v>7469725</v>
      </c>
      <c r="R829" s="9">
        <f t="shared" si="150"/>
        <v>9090</v>
      </c>
      <c r="S829" s="9">
        <f t="shared" si="151"/>
        <v>7469725</v>
      </c>
      <c r="T829" s="15">
        <f t="shared" si="152"/>
        <v>16.686436250344954</v>
      </c>
      <c r="U829" s="15">
        <f>IF(O829="Exclude",0,G829*Fuel_Price!$B$2)</f>
        <v>12687.834895999998</v>
      </c>
      <c r="V829" s="15">
        <f t="shared" si="153"/>
        <v>2989922.7577359979</v>
      </c>
    </row>
    <row r="830" spans="1:22">
      <c r="A830" s="1" t="s">
        <v>2091</v>
      </c>
      <c r="B830" s="1" t="s">
        <v>2092</v>
      </c>
      <c r="C830" s="1" t="s">
        <v>2088</v>
      </c>
      <c r="D830" s="1" t="s">
        <v>12</v>
      </c>
      <c r="E830" s="12">
        <v>19608</v>
      </c>
      <c r="F830" s="12" t="s">
        <v>137</v>
      </c>
      <c r="G830" s="6">
        <v>14056.12</v>
      </c>
      <c r="H830" s="1">
        <v>3.94</v>
      </c>
      <c r="J830" t="str">
        <f t="shared" si="144"/>
        <v>OK</v>
      </c>
      <c r="K830" t="str">
        <f t="shared" si="145"/>
        <v>OK</v>
      </c>
      <c r="L830">
        <f t="shared" si="154"/>
        <v>12</v>
      </c>
      <c r="M830">
        <f t="shared" si="146"/>
        <v>10</v>
      </c>
      <c r="N830" s="9" t="str">
        <f t="shared" si="155"/>
        <v>Valid</v>
      </c>
      <c r="O830" t="str">
        <f t="shared" si="147"/>
        <v>Include</v>
      </c>
      <c r="P830" s="9">
        <f t="shared" si="148"/>
        <v>2035068.5799999984</v>
      </c>
      <c r="Q830" s="15">
        <f t="shared" si="149"/>
        <v>7469725</v>
      </c>
      <c r="R830" s="9">
        <f t="shared" si="150"/>
        <v>19608</v>
      </c>
      <c r="S830" s="9">
        <f t="shared" si="151"/>
        <v>7469725</v>
      </c>
      <c r="T830" s="15">
        <f t="shared" si="152"/>
        <v>16.686436250344954</v>
      </c>
      <c r="U830" s="15">
        <f>IF(O830="Exclude",0,G830*Fuel_Price!$B$2)</f>
        <v>20651.251504000003</v>
      </c>
      <c r="V830" s="15">
        <f t="shared" si="153"/>
        <v>2989922.7577359979</v>
      </c>
    </row>
    <row r="831" spans="1:22">
      <c r="A831" s="1" t="s">
        <v>2093</v>
      </c>
      <c r="B831" s="1" t="s">
        <v>2094</v>
      </c>
      <c r="C831" s="1" t="s">
        <v>2088</v>
      </c>
      <c r="D831" s="1" t="s">
        <v>12</v>
      </c>
      <c r="E831" s="12">
        <v>16455</v>
      </c>
      <c r="F831" s="12" t="s">
        <v>137</v>
      </c>
      <c r="G831" s="6">
        <v>10316.85</v>
      </c>
      <c r="H831" s="1">
        <v>4.51</v>
      </c>
      <c r="J831" t="str">
        <f t="shared" si="144"/>
        <v>OK</v>
      </c>
      <c r="K831" t="str">
        <f t="shared" si="145"/>
        <v>OK</v>
      </c>
      <c r="L831">
        <f t="shared" si="154"/>
        <v>12</v>
      </c>
      <c r="M831">
        <f t="shared" si="146"/>
        <v>10</v>
      </c>
      <c r="N831" s="9" t="str">
        <f t="shared" si="155"/>
        <v>Valid</v>
      </c>
      <c r="O831" t="str">
        <f t="shared" si="147"/>
        <v>Include</v>
      </c>
      <c r="P831" s="9">
        <f t="shared" si="148"/>
        <v>2035068.5799999984</v>
      </c>
      <c r="Q831" s="15">
        <f t="shared" si="149"/>
        <v>7469725</v>
      </c>
      <c r="R831" s="9">
        <f t="shared" si="150"/>
        <v>16455</v>
      </c>
      <c r="S831" s="9">
        <f t="shared" si="151"/>
        <v>7469725</v>
      </c>
      <c r="T831" s="15">
        <f t="shared" si="152"/>
        <v>16.686436250344954</v>
      </c>
      <c r="U831" s="15">
        <f>IF(O831="Exclude",0,G831*Fuel_Price!$B$2)</f>
        <v>15157.516020000001</v>
      </c>
      <c r="V831" s="15">
        <f t="shared" si="153"/>
        <v>2989922.7577359979</v>
      </c>
    </row>
    <row r="832" spans="1:22">
      <c r="A832" s="1" t="s">
        <v>2095</v>
      </c>
      <c r="B832" s="1" t="s">
        <v>2096</v>
      </c>
      <c r="C832" s="1" t="s">
        <v>1963</v>
      </c>
      <c r="D832" s="1" t="s">
        <v>12</v>
      </c>
      <c r="E832" s="12">
        <v>5581</v>
      </c>
      <c r="F832" s="12" t="s">
        <v>137</v>
      </c>
      <c r="G832" s="6">
        <v>12409.76</v>
      </c>
      <c r="H832" s="1">
        <v>1.27</v>
      </c>
      <c r="J832" t="str">
        <f t="shared" si="144"/>
        <v>OK</v>
      </c>
      <c r="K832" t="str">
        <f t="shared" si="145"/>
        <v>OK</v>
      </c>
      <c r="L832">
        <f t="shared" si="154"/>
        <v>12</v>
      </c>
      <c r="M832">
        <f t="shared" si="146"/>
        <v>10</v>
      </c>
      <c r="N832" s="9" t="str">
        <f t="shared" si="155"/>
        <v>Valid</v>
      </c>
      <c r="O832" t="str">
        <f t="shared" si="147"/>
        <v>Include</v>
      </c>
      <c r="P832" s="9">
        <f t="shared" si="148"/>
        <v>2035068.5799999984</v>
      </c>
      <c r="Q832" s="15">
        <f t="shared" si="149"/>
        <v>7469725</v>
      </c>
      <c r="R832" s="9">
        <f t="shared" si="150"/>
        <v>5581</v>
      </c>
      <c r="S832" s="9">
        <f t="shared" si="151"/>
        <v>7469725</v>
      </c>
      <c r="T832" s="15">
        <f t="shared" si="152"/>
        <v>16.686436250344954</v>
      </c>
      <c r="U832" s="15">
        <f>IF(O832="Exclude",0,G832*Fuel_Price!$B$2)</f>
        <v>18232.419392</v>
      </c>
      <c r="V832" s="15">
        <f t="shared" si="153"/>
        <v>2989922.7577359979</v>
      </c>
    </row>
    <row r="833" spans="1:22">
      <c r="A833" s="1" t="s">
        <v>2097</v>
      </c>
      <c r="B833" s="1" t="s">
        <v>2098</v>
      </c>
      <c r="C833" s="1" t="s">
        <v>1963</v>
      </c>
      <c r="D833" s="1" t="s">
        <v>12</v>
      </c>
      <c r="E833" s="12">
        <v>9059</v>
      </c>
      <c r="F833" s="12" t="s">
        <v>137</v>
      </c>
      <c r="G833" s="6">
        <v>11509.36</v>
      </c>
      <c r="H833" s="1">
        <v>2.2200000000000002</v>
      </c>
      <c r="J833" t="str">
        <f t="shared" si="144"/>
        <v>OK</v>
      </c>
      <c r="K833" t="str">
        <f t="shared" si="145"/>
        <v>OK</v>
      </c>
      <c r="L833">
        <f t="shared" si="154"/>
        <v>12</v>
      </c>
      <c r="M833">
        <f t="shared" si="146"/>
        <v>10</v>
      </c>
      <c r="N833" s="9" t="str">
        <f t="shared" si="155"/>
        <v>Valid</v>
      </c>
      <c r="O833" t="str">
        <f t="shared" si="147"/>
        <v>Include</v>
      </c>
      <c r="P833" s="9">
        <f t="shared" si="148"/>
        <v>2035068.5799999984</v>
      </c>
      <c r="Q833" s="15">
        <f t="shared" si="149"/>
        <v>7469725</v>
      </c>
      <c r="R833" s="9">
        <f t="shared" si="150"/>
        <v>9059</v>
      </c>
      <c r="S833" s="9">
        <f t="shared" si="151"/>
        <v>7469725</v>
      </c>
      <c r="T833" s="15">
        <f t="shared" si="152"/>
        <v>16.686436250344954</v>
      </c>
      <c r="U833" s="15">
        <f>IF(O833="Exclude",0,G833*Fuel_Price!$B$2)</f>
        <v>16909.551712</v>
      </c>
      <c r="V833" s="15">
        <f t="shared" si="153"/>
        <v>2989922.7577359979</v>
      </c>
    </row>
    <row r="834" spans="1:22">
      <c r="A834" s="1" t="s">
        <v>2099</v>
      </c>
      <c r="B834" s="1" t="s">
        <v>2100</v>
      </c>
      <c r="C834" s="1" t="s">
        <v>1963</v>
      </c>
      <c r="D834" s="1" t="s">
        <v>12</v>
      </c>
      <c r="E834" s="12">
        <v>11544</v>
      </c>
      <c r="F834" s="12" t="s">
        <v>137</v>
      </c>
      <c r="G834" s="6">
        <v>12331.37</v>
      </c>
      <c r="H834" s="1">
        <v>2.64</v>
      </c>
      <c r="J834" t="str">
        <f t="shared" ref="J834:J897" si="156">IF(OR(H834&lt;=0,H834&gt;100),"Check","OK")</f>
        <v>OK</v>
      </c>
      <c r="K834" t="str">
        <f t="shared" ref="K834:K897" si="157">IF(E834&lt;0,"Check","OK")</f>
        <v>OK</v>
      </c>
      <c r="L834">
        <f t="shared" si="154"/>
        <v>12</v>
      </c>
      <c r="M834">
        <f t="shared" ref="M834:M897" si="158">COUNTIF(K:K,"Check")</f>
        <v>10</v>
      </c>
      <c r="N834" s="9" t="str">
        <f t="shared" si="155"/>
        <v>Valid</v>
      </c>
      <c r="O834" t="str">
        <f t="shared" ref="O834:O897" si="159">IF(N834="Review","Exclude","Include")</f>
        <v>Include</v>
      </c>
      <c r="P834" s="9">
        <f t="shared" ref="P834:P897" si="160">SUMIF(O:O,"Include",G:G)</f>
        <v>2035068.5799999984</v>
      </c>
      <c r="Q834" s="15">
        <f t="shared" ref="Q834:Q897" si="161">SUMIF(O:O,"Include",E:E)</f>
        <v>7469725</v>
      </c>
      <c r="R834" s="9">
        <f t="shared" ref="R834:R897" si="162">IF(O834="Exclude",0,E834)</f>
        <v>11544</v>
      </c>
      <c r="S834" s="9">
        <f t="shared" ref="S834:S897" si="163">SUM(R:R)</f>
        <v>7469725</v>
      </c>
      <c r="T834" s="15">
        <f t="shared" ref="T834:T897" si="164">S834/(P834/4.54609)</f>
        <v>16.686436250344954</v>
      </c>
      <c r="U834" s="15">
        <f>IF(O834="Exclude",0,G834*Fuel_Price!$B$2)</f>
        <v>18117.248804000003</v>
      </c>
      <c r="V834" s="15">
        <f t="shared" ref="V834:V897" si="165">SUM(U:U)</f>
        <v>2989922.7577359979</v>
      </c>
    </row>
    <row r="835" spans="1:22">
      <c r="A835" s="1" t="s">
        <v>2101</v>
      </c>
      <c r="B835" s="1" t="s">
        <v>2102</v>
      </c>
      <c r="C835" s="1" t="s">
        <v>1963</v>
      </c>
      <c r="D835" s="1" t="s">
        <v>12</v>
      </c>
      <c r="E835" s="12">
        <v>7157</v>
      </c>
      <c r="F835" s="12" t="s">
        <v>137</v>
      </c>
      <c r="G835" s="6">
        <v>11281.85</v>
      </c>
      <c r="H835" s="1">
        <v>1.79</v>
      </c>
      <c r="J835" t="str">
        <f t="shared" si="156"/>
        <v>OK</v>
      </c>
      <c r="K835" t="str">
        <f t="shared" si="157"/>
        <v>OK</v>
      </c>
      <c r="L835">
        <f t="shared" ref="L835:L898" si="166">COUNTIF(J:J,"Check")</f>
        <v>12</v>
      </c>
      <c r="M835">
        <f t="shared" si="158"/>
        <v>10</v>
      </c>
      <c r="N835" s="9" t="str">
        <f t="shared" si="155"/>
        <v>Valid</v>
      </c>
      <c r="O835" t="str">
        <f t="shared" si="159"/>
        <v>Include</v>
      </c>
      <c r="P835" s="9">
        <f t="shared" si="160"/>
        <v>2035068.5799999984</v>
      </c>
      <c r="Q835" s="15">
        <f t="shared" si="161"/>
        <v>7469725</v>
      </c>
      <c r="R835" s="9">
        <f t="shared" si="162"/>
        <v>7157</v>
      </c>
      <c r="S835" s="9">
        <f t="shared" si="163"/>
        <v>7469725</v>
      </c>
      <c r="T835" s="15">
        <f t="shared" si="164"/>
        <v>16.686436250344954</v>
      </c>
      <c r="U835" s="15">
        <f>IF(O835="Exclude",0,G835*Fuel_Price!$B$2)</f>
        <v>16575.294020000001</v>
      </c>
      <c r="V835" s="15">
        <f t="shared" si="165"/>
        <v>2989922.7577359979</v>
      </c>
    </row>
    <row r="836" spans="1:22">
      <c r="A836" s="1" t="s">
        <v>2103</v>
      </c>
      <c r="B836" s="1" t="s">
        <v>2104</v>
      </c>
      <c r="C836" s="1" t="s">
        <v>1963</v>
      </c>
      <c r="D836" s="1" t="s">
        <v>12</v>
      </c>
      <c r="E836" s="12">
        <v>7305</v>
      </c>
      <c r="F836" s="12" t="s">
        <v>137</v>
      </c>
      <c r="G836" s="6">
        <v>11644.13</v>
      </c>
      <c r="H836" s="1">
        <v>1.77</v>
      </c>
      <c r="J836" t="str">
        <f t="shared" si="156"/>
        <v>OK</v>
      </c>
      <c r="K836" t="str">
        <f t="shared" si="157"/>
        <v>OK</v>
      </c>
      <c r="L836">
        <f t="shared" si="166"/>
        <v>12</v>
      </c>
      <c r="M836">
        <f t="shared" si="158"/>
        <v>10</v>
      </c>
      <c r="N836" s="9" t="str">
        <f t="shared" si="155"/>
        <v>Valid</v>
      </c>
      <c r="O836" t="str">
        <f t="shared" si="159"/>
        <v>Include</v>
      </c>
      <c r="P836" s="9">
        <f t="shared" si="160"/>
        <v>2035068.5799999984</v>
      </c>
      <c r="Q836" s="15">
        <f t="shared" si="161"/>
        <v>7469725</v>
      </c>
      <c r="R836" s="9">
        <f t="shared" si="162"/>
        <v>7305</v>
      </c>
      <c r="S836" s="9">
        <f t="shared" si="163"/>
        <v>7469725</v>
      </c>
      <c r="T836" s="15">
        <f t="shared" si="164"/>
        <v>16.686436250344954</v>
      </c>
      <c r="U836" s="15">
        <f>IF(O836="Exclude",0,G836*Fuel_Price!$B$2)</f>
        <v>17107.555796000001</v>
      </c>
      <c r="V836" s="15">
        <f t="shared" si="165"/>
        <v>2989922.7577359979</v>
      </c>
    </row>
    <row r="837" spans="1:22">
      <c r="A837" s="1" t="s">
        <v>2105</v>
      </c>
      <c r="B837" s="1" t="s">
        <v>2106</v>
      </c>
      <c r="C837" s="1" t="s">
        <v>1963</v>
      </c>
      <c r="D837" s="1" t="s">
        <v>12</v>
      </c>
      <c r="E837" s="12">
        <v>11030</v>
      </c>
      <c r="F837" s="12" t="s">
        <v>137</v>
      </c>
      <c r="G837" s="6">
        <v>10545.54</v>
      </c>
      <c r="H837" s="1">
        <v>2.95</v>
      </c>
      <c r="J837" t="str">
        <f t="shared" si="156"/>
        <v>OK</v>
      </c>
      <c r="K837" t="str">
        <f t="shared" si="157"/>
        <v>OK</v>
      </c>
      <c r="L837">
        <f t="shared" si="166"/>
        <v>12</v>
      </c>
      <c r="M837">
        <f t="shared" si="158"/>
        <v>10</v>
      </c>
      <c r="N837" s="9" t="str">
        <f t="shared" si="155"/>
        <v>Valid</v>
      </c>
      <c r="O837" t="str">
        <f t="shared" si="159"/>
        <v>Include</v>
      </c>
      <c r="P837" s="9">
        <f t="shared" si="160"/>
        <v>2035068.5799999984</v>
      </c>
      <c r="Q837" s="15">
        <f t="shared" si="161"/>
        <v>7469725</v>
      </c>
      <c r="R837" s="9">
        <f t="shared" si="162"/>
        <v>11030</v>
      </c>
      <c r="S837" s="9">
        <f t="shared" si="163"/>
        <v>7469725</v>
      </c>
      <c r="T837" s="15">
        <f t="shared" si="164"/>
        <v>16.686436250344954</v>
      </c>
      <c r="U837" s="15">
        <f>IF(O837="Exclude",0,G837*Fuel_Price!$B$2)</f>
        <v>15493.507368000002</v>
      </c>
      <c r="V837" s="15">
        <f t="shared" si="165"/>
        <v>2989922.7577359979</v>
      </c>
    </row>
    <row r="838" spans="1:22">
      <c r="A838" s="1" t="s">
        <v>2107</v>
      </c>
      <c r="B838" s="1" t="s">
        <v>2108</v>
      </c>
      <c r="C838" s="1" t="s">
        <v>1963</v>
      </c>
      <c r="D838" s="1" t="s">
        <v>12</v>
      </c>
      <c r="E838" s="12">
        <v>11957</v>
      </c>
      <c r="F838" s="12" t="s">
        <v>137</v>
      </c>
      <c r="G838" s="6">
        <v>9673.43</v>
      </c>
      <c r="H838" s="1">
        <v>3.49</v>
      </c>
      <c r="J838" t="str">
        <f t="shared" si="156"/>
        <v>OK</v>
      </c>
      <c r="K838" t="str">
        <f t="shared" si="157"/>
        <v>OK</v>
      </c>
      <c r="L838">
        <f t="shared" si="166"/>
        <v>12</v>
      </c>
      <c r="M838">
        <f t="shared" si="158"/>
        <v>10</v>
      </c>
      <c r="N838" s="9" t="str">
        <f t="shared" si="155"/>
        <v>Valid</v>
      </c>
      <c r="O838" t="str">
        <f t="shared" si="159"/>
        <v>Include</v>
      </c>
      <c r="P838" s="9">
        <f t="shared" si="160"/>
        <v>2035068.5799999984</v>
      </c>
      <c r="Q838" s="15">
        <f t="shared" si="161"/>
        <v>7469725</v>
      </c>
      <c r="R838" s="9">
        <f t="shared" si="162"/>
        <v>11957</v>
      </c>
      <c r="S838" s="9">
        <f t="shared" si="163"/>
        <v>7469725</v>
      </c>
      <c r="T838" s="15">
        <f t="shared" si="164"/>
        <v>16.686436250344954</v>
      </c>
      <c r="U838" s="15">
        <f>IF(O838="Exclude",0,G838*Fuel_Price!$B$2)</f>
        <v>14212.203356000002</v>
      </c>
      <c r="V838" s="15">
        <f t="shared" si="165"/>
        <v>2989922.7577359979</v>
      </c>
    </row>
    <row r="839" spans="1:22">
      <c r="A839" s="1" t="s">
        <v>2109</v>
      </c>
      <c r="B839" s="1" t="s">
        <v>2110</v>
      </c>
      <c r="C839" s="1" t="s">
        <v>1963</v>
      </c>
      <c r="D839" s="1" t="s">
        <v>12</v>
      </c>
      <c r="E839" s="12">
        <v>7420</v>
      </c>
      <c r="F839" s="12" t="s">
        <v>137</v>
      </c>
      <c r="G839" s="6">
        <v>10319.129999999999</v>
      </c>
      <c r="H839" s="1">
        <v>2.0299999999999998</v>
      </c>
      <c r="J839" t="str">
        <f t="shared" si="156"/>
        <v>OK</v>
      </c>
      <c r="K839" t="str">
        <f t="shared" si="157"/>
        <v>OK</v>
      </c>
      <c r="L839">
        <f t="shared" si="166"/>
        <v>12</v>
      </c>
      <c r="M839">
        <f t="shared" si="158"/>
        <v>10</v>
      </c>
      <c r="N839" s="9" t="str">
        <f t="shared" ref="N839:N902" si="167">IF(OR(H839&lt;=0,H839&gt;100,E839&lt;0),"Review","Valid")</f>
        <v>Valid</v>
      </c>
      <c r="O839" t="str">
        <f t="shared" si="159"/>
        <v>Include</v>
      </c>
      <c r="P839" s="9">
        <f t="shared" si="160"/>
        <v>2035068.5799999984</v>
      </c>
      <c r="Q839" s="15">
        <f t="shared" si="161"/>
        <v>7469725</v>
      </c>
      <c r="R839" s="9">
        <f t="shared" si="162"/>
        <v>7420</v>
      </c>
      <c r="S839" s="9">
        <f t="shared" si="163"/>
        <v>7469725</v>
      </c>
      <c r="T839" s="15">
        <f t="shared" si="164"/>
        <v>16.686436250344954</v>
      </c>
      <c r="U839" s="15">
        <f>IF(O839="Exclude",0,G839*Fuel_Price!$B$2)</f>
        <v>15160.865796</v>
      </c>
      <c r="V839" s="15">
        <f t="shared" si="165"/>
        <v>2989922.7577359979</v>
      </c>
    </row>
    <row r="840" spans="1:22">
      <c r="A840" s="1" t="s">
        <v>2111</v>
      </c>
      <c r="B840" s="1" t="s">
        <v>2112</v>
      </c>
      <c r="C840" s="1" t="s">
        <v>1963</v>
      </c>
      <c r="D840" s="1" t="s">
        <v>12</v>
      </c>
      <c r="E840" s="12">
        <v>5131</v>
      </c>
      <c r="F840" s="12" t="s">
        <v>137</v>
      </c>
      <c r="G840" s="6">
        <v>8227.35</v>
      </c>
      <c r="H840" s="1">
        <v>1.76</v>
      </c>
      <c r="J840" t="str">
        <f t="shared" si="156"/>
        <v>OK</v>
      </c>
      <c r="K840" t="str">
        <f t="shared" si="157"/>
        <v>OK</v>
      </c>
      <c r="L840">
        <f t="shared" si="166"/>
        <v>12</v>
      </c>
      <c r="M840">
        <f t="shared" si="158"/>
        <v>10</v>
      </c>
      <c r="N840" s="9" t="str">
        <f t="shared" si="167"/>
        <v>Valid</v>
      </c>
      <c r="O840" t="str">
        <f t="shared" si="159"/>
        <v>Include</v>
      </c>
      <c r="P840" s="9">
        <f t="shared" si="160"/>
        <v>2035068.5799999984</v>
      </c>
      <c r="Q840" s="15">
        <f t="shared" si="161"/>
        <v>7469725</v>
      </c>
      <c r="R840" s="9">
        <f t="shared" si="162"/>
        <v>5131</v>
      </c>
      <c r="S840" s="9">
        <f t="shared" si="163"/>
        <v>7469725</v>
      </c>
      <c r="T840" s="15">
        <f t="shared" si="164"/>
        <v>16.686436250344954</v>
      </c>
      <c r="U840" s="15">
        <f>IF(O840="Exclude",0,G840*Fuel_Price!$B$2)</f>
        <v>12087.622620000002</v>
      </c>
      <c r="V840" s="15">
        <f t="shared" si="165"/>
        <v>2989922.7577359979</v>
      </c>
    </row>
    <row r="841" spans="1:22">
      <c r="A841" s="1" t="s">
        <v>2113</v>
      </c>
      <c r="B841" s="1" t="s">
        <v>2114</v>
      </c>
      <c r="C841" s="1" t="s">
        <v>1963</v>
      </c>
      <c r="D841" s="1" t="s">
        <v>12</v>
      </c>
      <c r="E841" s="12">
        <v>12236</v>
      </c>
      <c r="F841" s="12" t="s">
        <v>137</v>
      </c>
      <c r="G841" s="6">
        <v>10999.04</v>
      </c>
      <c r="H841" s="1">
        <v>3.14</v>
      </c>
      <c r="J841" t="str">
        <f t="shared" si="156"/>
        <v>OK</v>
      </c>
      <c r="K841" t="str">
        <f t="shared" si="157"/>
        <v>OK</v>
      </c>
      <c r="L841">
        <f t="shared" si="166"/>
        <v>12</v>
      </c>
      <c r="M841">
        <f t="shared" si="158"/>
        <v>10</v>
      </c>
      <c r="N841" s="9" t="str">
        <f t="shared" si="167"/>
        <v>Valid</v>
      </c>
      <c r="O841" t="str">
        <f t="shared" si="159"/>
        <v>Include</v>
      </c>
      <c r="P841" s="9">
        <f t="shared" si="160"/>
        <v>2035068.5799999984</v>
      </c>
      <c r="Q841" s="15">
        <f t="shared" si="161"/>
        <v>7469725</v>
      </c>
      <c r="R841" s="9">
        <f t="shared" si="162"/>
        <v>12236</v>
      </c>
      <c r="S841" s="9">
        <f t="shared" si="163"/>
        <v>7469725</v>
      </c>
      <c r="T841" s="15">
        <f t="shared" si="164"/>
        <v>16.686436250344954</v>
      </c>
      <c r="U841" s="15">
        <f>IF(O841="Exclude",0,G841*Fuel_Price!$B$2)</f>
        <v>16159.789568000002</v>
      </c>
      <c r="V841" s="15">
        <f t="shared" si="165"/>
        <v>2989922.7577359979</v>
      </c>
    </row>
    <row r="842" spans="1:22">
      <c r="A842" s="1" t="s">
        <v>2115</v>
      </c>
      <c r="B842" s="1" t="s">
        <v>2116</v>
      </c>
      <c r="C842" s="1" t="s">
        <v>1963</v>
      </c>
      <c r="D842" s="1" t="s">
        <v>12</v>
      </c>
      <c r="E842" s="12">
        <v>6921</v>
      </c>
      <c r="F842" s="12" t="s">
        <v>137</v>
      </c>
      <c r="G842" s="6">
        <v>10862.13</v>
      </c>
      <c r="H842" s="1">
        <v>1.8</v>
      </c>
      <c r="J842" t="str">
        <f t="shared" si="156"/>
        <v>OK</v>
      </c>
      <c r="K842" t="str">
        <f t="shared" si="157"/>
        <v>OK</v>
      </c>
      <c r="L842">
        <f t="shared" si="166"/>
        <v>12</v>
      </c>
      <c r="M842">
        <f t="shared" si="158"/>
        <v>10</v>
      </c>
      <c r="N842" s="9" t="str">
        <f t="shared" si="167"/>
        <v>Valid</v>
      </c>
      <c r="O842" t="str">
        <f t="shared" si="159"/>
        <v>Include</v>
      </c>
      <c r="P842" s="9">
        <f t="shared" si="160"/>
        <v>2035068.5799999984</v>
      </c>
      <c r="Q842" s="15">
        <f t="shared" si="161"/>
        <v>7469725</v>
      </c>
      <c r="R842" s="9">
        <f t="shared" si="162"/>
        <v>6921</v>
      </c>
      <c r="S842" s="9">
        <f t="shared" si="163"/>
        <v>7469725</v>
      </c>
      <c r="T842" s="15">
        <f t="shared" si="164"/>
        <v>16.686436250344954</v>
      </c>
      <c r="U842" s="15">
        <f>IF(O842="Exclude",0,G842*Fuel_Price!$B$2)</f>
        <v>15958.641395999999</v>
      </c>
      <c r="V842" s="15">
        <f t="shared" si="165"/>
        <v>2989922.7577359979</v>
      </c>
    </row>
    <row r="843" spans="1:22">
      <c r="A843" s="1" t="s">
        <v>2117</v>
      </c>
      <c r="B843" s="1" t="s">
        <v>2118</v>
      </c>
      <c r="C843" s="1" t="s">
        <v>1963</v>
      </c>
      <c r="D843" s="1" t="s">
        <v>12</v>
      </c>
      <c r="E843" s="12">
        <v>6657</v>
      </c>
      <c r="F843" s="12" t="s">
        <v>137</v>
      </c>
      <c r="G843" s="6">
        <v>9893.32</v>
      </c>
      <c r="H843" s="1">
        <v>1.9</v>
      </c>
      <c r="J843" t="str">
        <f t="shared" si="156"/>
        <v>OK</v>
      </c>
      <c r="K843" t="str">
        <f t="shared" si="157"/>
        <v>OK</v>
      </c>
      <c r="L843">
        <f t="shared" si="166"/>
        <v>12</v>
      </c>
      <c r="M843">
        <f t="shared" si="158"/>
        <v>10</v>
      </c>
      <c r="N843" s="9" t="str">
        <f t="shared" si="167"/>
        <v>Valid</v>
      </c>
      <c r="O843" t="str">
        <f t="shared" si="159"/>
        <v>Include</v>
      </c>
      <c r="P843" s="9">
        <f t="shared" si="160"/>
        <v>2035068.5799999984</v>
      </c>
      <c r="Q843" s="15">
        <f t="shared" si="161"/>
        <v>7469725</v>
      </c>
      <c r="R843" s="9">
        <f t="shared" si="162"/>
        <v>6657</v>
      </c>
      <c r="S843" s="9">
        <f t="shared" si="163"/>
        <v>7469725</v>
      </c>
      <c r="T843" s="15">
        <f t="shared" si="164"/>
        <v>16.686436250344954</v>
      </c>
      <c r="U843" s="15">
        <f>IF(O843="Exclude",0,G843*Fuel_Price!$B$2)</f>
        <v>14535.265744</v>
      </c>
      <c r="V843" s="15">
        <f t="shared" si="165"/>
        <v>2989922.7577359979</v>
      </c>
    </row>
    <row r="844" spans="1:22">
      <c r="A844" s="1" t="s">
        <v>2119</v>
      </c>
      <c r="B844" s="1" t="s">
        <v>2120</v>
      </c>
      <c r="C844" s="1" t="s">
        <v>1963</v>
      </c>
      <c r="D844" s="1" t="s">
        <v>12</v>
      </c>
      <c r="E844" s="12">
        <v>6003</v>
      </c>
      <c r="F844" s="12" t="s">
        <v>137</v>
      </c>
      <c r="G844" s="6">
        <v>9041.99</v>
      </c>
      <c r="H844" s="1">
        <v>1.88</v>
      </c>
      <c r="J844" t="str">
        <f t="shared" si="156"/>
        <v>OK</v>
      </c>
      <c r="K844" t="str">
        <f t="shared" si="157"/>
        <v>OK</v>
      </c>
      <c r="L844">
        <f t="shared" si="166"/>
        <v>12</v>
      </c>
      <c r="M844">
        <f t="shared" si="158"/>
        <v>10</v>
      </c>
      <c r="N844" s="9" t="str">
        <f t="shared" si="167"/>
        <v>Valid</v>
      </c>
      <c r="O844" t="str">
        <f t="shared" si="159"/>
        <v>Include</v>
      </c>
      <c r="P844" s="9">
        <f t="shared" si="160"/>
        <v>2035068.5799999984</v>
      </c>
      <c r="Q844" s="15">
        <f t="shared" si="161"/>
        <v>7469725</v>
      </c>
      <c r="R844" s="9">
        <f t="shared" si="162"/>
        <v>6003</v>
      </c>
      <c r="S844" s="9">
        <f t="shared" si="163"/>
        <v>7469725</v>
      </c>
      <c r="T844" s="15">
        <f t="shared" si="164"/>
        <v>16.686436250344954</v>
      </c>
      <c r="U844" s="15">
        <f>IF(O844="Exclude",0,G844*Fuel_Price!$B$2)</f>
        <v>13284.491708</v>
      </c>
      <c r="V844" s="15">
        <f t="shared" si="165"/>
        <v>2989922.7577359979</v>
      </c>
    </row>
    <row r="845" spans="1:22">
      <c r="A845" s="1" t="s">
        <v>2121</v>
      </c>
      <c r="B845" s="1" t="s">
        <v>2122</v>
      </c>
      <c r="C845" s="1" t="s">
        <v>1963</v>
      </c>
      <c r="D845" s="1" t="s">
        <v>12</v>
      </c>
      <c r="E845" s="12">
        <v>8960</v>
      </c>
      <c r="F845" s="12" t="s">
        <v>137</v>
      </c>
      <c r="G845" s="6">
        <v>13824.2</v>
      </c>
      <c r="H845" s="1">
        <v>1.83</v>
      </c>
      <c r="J845" t="str">
        <f t="shared" si="156"/>
        <v>OK</v>
      </c>
      <c r="K845" t="str">
        <f t="shared" si="157"/>
        <v>OK</v>
      </c>
      <c r="L845">
        <f t="shared" si="166"/>
        <v>12</v>
      </c>
      <c r="M845">
        <f t="shared" si="158"/>
        <v>10</v>
      </c>
      <c r="N845" s="9" t="str">
        <f t="shared" si="167"/>
        <v>Valid</v>
      </c>
      <c r="O845" t="str">
        <f t="shared" si="159"/>
        <v>Include</v>
      </c>
      <c r="P845" s="9">
        <f t="shared" si="160"/>
        <v>2035068.5799999984</v>
      </c>
      <c r="Q845" s="15">
        <f t="shared" si="161"/>
        <v>7469725</v>
      </c>
      <c r="R845" s="9">
        <f t="shared" si="162"/>
        <v>8960</v>
      </c>
      <c r="S845" s="9">
        <f t="shared" si="163"/>
        <v>7469725</v>
      </c>
      <c r="T845" s="15">
        <f t="shared" si="164"/>
        <v>16.686436250344954</v>
      </c>
      <c r="U845" s="15">
        <f>IF(O845="Exclude",0,G845*Fuel_Price!$B$2)</f>
        <v>20310.514640000001</v>
      </c>
      <c r="V845" s="15">
        <f t="shared" si="165"/>
        <v>2989922.7577359979</v>
      </c>
    </row>
    <row r="846" spans="1:22">
      <c r="A846" s="1" t="s">
        <v>2123</v>
      </c>
      <c r="B846" s="1" t="s">
        <v>2124</v>
      </c>
      <c r="C846" s="1" t="s">
        <v>1963</v>
      </c>
      <c r="D846" s="1" t="s">
        <v>12</v>
      </c>
      <c r="E846" s="12">
        <v>9434</v>
      </c>
      <c r="F846" s="12" t="s">
        <v>137</v>
      </c>
      <c r="G846" s="6">
        <v>9375.02</v>
      </c>
      <c r="H846" s="1">
        <v>2.84</v>
      </c>
      <c r="J846" t="str">
        <f t="shared" si="156"/>
        <v>OK</v>
      </c>
      <c r="K846" t="str">
        <f t="shared" si="157"/>
        <v>OK</v>
      </c>
      <c r="L846">
        <f t="shared" si="166"/>
        <v>12</v>
      </c>
      <c r="M846">
        <f t="shared" si="158"/>
        <v>10</v>
      </c>
      <c r="N846" s="9" t="str">
        <f t="shared" si="167"/>
        <v>Valid</v>
      </c>
      <c r="O846" t="str">
        <f t="shared" si="159"/>
        <v>Include</v>
      </c>
      <c r="P846" s="9">
        <f t="shared" si="160"/>
        <v>2035068.5799999984</v>
      </c>
      <c r="Q846" s="15">
        <f t="shared" si="161"/>
        <v>7469725</v>
      </c>
      <c r="R846" s="9">
        <f t="shared" si="162"/>
        <v>9434</v>
      </c>
      <c r="S846" s="9">
        <f t="shared" si="163"/>
        <v>7469725</v>
      </c>
      <c r="T846" s="15">
        <f t="shared" si="164"/>
        <v>16.686436250344954</v>
      </c>
      <c r="U846" s="15">
        <f>IF(O846="Exclude",0,G846*Fuel_Price!$B$2)</f>
        <v>13773.779384000001</v>
      </c>
      <c r="V846" s="15">
        <f t="shared" si="165"/>
        <v>2989922.7577359979</v>
      </c>
    </row>
    <row r="847" spans="1:22">
      <c r="A847" s="1" t="s">
        <v>2125</v>
      </c>
      <c r="B847" s="1" t="s">
        <v>2126</v>
      </c>
      <c r="C847" s="1" t="s">
        <v>1963</v>
      </c>
      <c r="D847" s="1" t="s">
        <v>12</v>
      </c>
      <c r="E847" s="12">
        <v>3927</v>
      </c>
      <c r="F847" s="12" t="s">
        <v>137</v>
      </c>
      <c r="G847" s="6">
        <v>5009.6099999999997</v>
      </c>
      <c r="H847" s="1">
        <v>2.21</v>
      </c>
      <c r="J847" t="str">
        <f t="shared" si="156"/>
        <v>OK</v>
      </c>
      <c r="K847" t="str">
        <f t="shared" si="157"/>
        <v>OK</v>
      </c>
      <c r="L847">
        <f t="shared" si="166"/>
        <v>12</v>
      </c>
      <c r="M847">
        <f t="shared" si="158"/>
        <v>10</v>
      </c>
      <c r="N847" s="9" t="str">
        <f t="shared" si="167"/>
        <v>Valid</v>
      </c>
      <c r="O847" t="str">
        <f t="shared" si="159"/>
        <v>Include</v>
      </c>
      <c r="P847" s="9">
        <f t="shared" si="160"/>
        <v>2035068.5799999984</v>
      </c>
      <c r="Q847" s="15">
        <f t="shared" si="161"/>
        <v>7469725</v>
      </c>
      <c r="R847" s="9">
        <f t="shared" si="162"/>
        <v>3927</v>
      </c>
      <c r="S847" s="9">
        <f t="shared" si="163"/>
        <v>7469725</v>
      </c>
      <c r="T847" s="15">
        <f t="shared" si="164"/>
        <v>16.686436250344954</v>
      </c>
      <c r="U847" s="15">
        <f>IF(O847="Exclude",0,G847*Fuel_Price!$B$2)</f>
        <v>7360.1190120000001</v>
      </c>
      <c r="V847" s="15">
        <f t="shared" si="165"/>
        <v>2989922.7577359979</v>
      </c>
    </row>
    <row r="848" spans="1:22">
      <c r="A848" s="1" t="s">
        <v>2127</v>
      </c>
      <c r="B848" s="1" t="s">
        <v>2128</v>
      </c>
      <c r="C848" s="1" t="s">
        <v>1963</v>
      </c>
      <c r="D848" s="1" t="s">
        <v>12</v>
      </c>
      <c r="E848" s="12">
        <v>7993</v>
      </c>
      <c r="F848" s="12" t="s">
        <v>137</v>
      </c>
      <c r="G848" s="6">
        <v>10712.96</v>
      </c>
      <c r="H848" s="1">
        <v>2.11</v>
      </c>
      <c r="J848" t="str">
        <f t="shared" si="156"/>
        <v>OK</v>
      </c>
      <c r="K848" t="str">
        <f t="shared" si="157"/>
        <v>OK</v>
      </c>
      <c r="L848">
        <f t="shared" si="166"/>
        <v>12</v>
      </c>
      <c r="M848">
        <f t="shared" si="158"/>
        <v>10</v>
      </c>
      <c r="N848" s="9" t="str">
        <f t="shared" si="167"/>
        <v>Valid</v>
      </c>
      <c r="O848" t="str">
        <f t="shared" si="159"/>
        <v>Include</v>
      </c>
      <c r="P848" s="9">
        <f t="shared" si="160"/>
        <v>2035068.5799999984</v>
      </c>
      <c r="Q848" s="15">
        <f t="shared" si="161"/>
        <v>7469725</v>
      </c>
      <c r="R848" s="9">
        <f t="shared" si="162"/>
        <v>7993</v>
      </c>
      <c r="S848" s="9">
        <f t="shared" si="163"/>
        <v>7469725</v>
      </c>
      <c r="T848" s="15">
        <f t="shared" si="164"/>
        <v>16.686436250344954</v>
      </c>
      <c r="U848" s="15">
        <f>IF(O848="Exclude",0,G848*Fuel_Price!$B$2)</f>
        <v>15739.480831999999</v>
      </c>
      <c r="V848" s="15">
        <f t="shared" si="165"/>
        <v>2989922.7577359979</v>
      </c>
    </row>
    <row r="849" spans="1:22">
      <c r="A849" s="1" t="s">
        <v>2129</v>
      </c>
      <c r="B849" s="1" t="s">
        <v>2130</v>
      </c>
      <c r="C849" s="1" t="s">
        <v>1963</v>
      </c>
      <c r="D849" s="1" t="s">
        <v>12</v>
      </c>
      <c r="E849" s="12">
        <v>40593</v>
      </c>
      <c r="F849" s="12" t="s">
        <v>137</v>
      </c>
      <c r="G849" s="6">
        <v>12184.3</v>
      </c>
      <c r="H849" s="1">
        <v>9.41</v>
      </c>
      <c r="J849" t="str">
        <f t="shared" si="156"/>
        <v>OK</v>
      </c>
      <c r="K849" t="str">
        <f t="shared" si="157"/>
        <v>OK</v>
      </c>
      <c r="L849">
        <f t="shared" si="166"/>
        <v>12</v>
      </c>
      <c r="M849">
        <f t="shared" si="158"/>
        <v>10</v>
      </c>
      <c r="N849" s="9" t="str">
        <f t="shared" si="167"/>
        <v>Valid</v>
      </c>
      <c r="O849" t="str">
        <f t="shared" si="159"/>
        <v>Include</v>
      </c>
      <c r="P849" s="9">
        <f t="shared" si="160"/>
        <v>2035068.5799999984</v>
      </c>
      <c r="Q849" s="15">
        <f t="shared" si="161"/>
        <v>7469725</v>
      </c>
      <c r="R849" s="9">
        <f t="shared" si="162"/>
        <v>40593</v>
      </c>
      <c r="S849" s="9">
        <f t="shared" si="163"/>
        <v>7469725</v>
      </c>
      <c r="T849" s="15">
        <f t="shared" si="164"/>
        <v>16.686436250344954</v>
      </c>
      <c r="U849" s="15">
        <f>IF(O849="Exclude",0,G849*Fuel_Price!$B$2)</f>
        <v>17901.173559999999</v>
      </c>
      <c r="V849" s="15">
        <f t="shared" si="165"/>
        <v>2989922.7577359979</v>
      </c>
    </row>
    <row r="850" spans="1:22">
      <c r="A850" s="1" t="s">
        <v>2131</v>
      </c>
      <c r="B850" s="1" t="s">
        <v>2132</v>
      </c>
      <c r="C850" s="1" t="s">
        <v>1963</v>
      </c>
      <c r="D850" s="1" t="s">
        <v>12</v>
      </c>
      <c r="E850" s="12">
        <v>6857</v>
      </c>
      <c r="F850" s="12" t="s">
        <v>137</v>
      </c>
      <c r="G850" s="6">
        <v>9374.23</v>
      </c>
      <c r="H850" s="1">
        <v>2.0699999999999998</v>
      </c>
      <c r="J850" t="str">
        <f t="shared" si="156"/>
        <v>OK</v>
      </c>
      <c r="K850" t="str">
        <f t="shared" si="157"/>
        <v>OK</v>
      </c>
      <c r="L850">
        <f t="shared" si="166"/>
        <v>12</v>
      </c>
      <c r="M850">
        <f t="shared" si="158"/>
        <v>10</v>
      </c>
      <c r="N850" s="9" t="str">
        <f t="shared" si="167"/>
        <v>Valid</v>
      </c>
      <c r="O850" t="str">
        <f t="shared" si="159"/>
        <v>Include</v>
      </c>
      <c r="P850" s="9">
        <f t="shared" si="160"/>
        <v>2035068.5799999984</v>
      </c>
      <c r="Q850" s="15">
        <f t="shared" si="161"/>
        <v>7469725</v>
      </c>
      <c r="R850" s="9">
        <f t="shared" si="162"/>
        <v>6857</v>
      </c>
      <c r="S850" s="9">
        <f t="shared" si="163"/>
        <v>7469725</v>
      </c>
      <c r="T850" s="15">
        <f t="shared" si="164"/>
        <v>16.686436250344954</v>
      </c>
      <c r="U850" s="15">
        <f>IF(O850="Exclude",0,G850*Fuel_Price!$B$2)</f>
        <v>13772.618715999999</v>
      </c>
      <c r="V850" s="15">
        <f t="shared" si="165"/>
        <v>2989922.7577359979</v>
      </c>
    </row>
    <row r="851" spans="1:22">
      <c r="A851" s="1" t="s">
        <v>2133</v>
      </c>
      <c r="B851" s="1" t="s">
        <v>2134</v>
      </c>
      <c r="C851" s="1" t="s">
        <v>1963</v>
      </c>
      <c r="D851" s="1" t="s">
        <v>12</v>
      </c>
      <c r="E851" s="12">
        <v>6405</v>
      </c>
      <c r="F851" s="12" t="s">
        <v>137</v>
      </c>
      <c r="G851" s="6">
        <v>7959.93</v>
      </c>
      <c r="H851" s="1">
        <v>2.27</v>
      </c>
      <c r="J851" t="str">
        <f t="shared" si="156"/>
        <v>OK</v>
      </c>
      <c r="K851" t="str">
        <f t="shared" si="157"/>
        <v>OK</v>
      </c>
      <c r="L851">
        <f t="shared" si="166"/>
        <v>12</v>
      </c>
      <c r="M851">
        <f t="shared" si="158"/>
        <v>10</v>
      </c>
      <c r="N851" s="9" t="str">
        <f t="shared" si="167"/>
        <v>Valid</v>
      </c>
      <c r="O851" t="str">
        <f t="shared" si="159"/>
        <v>Include</v>
      </c>
      <c r="P851" s="9">
        <f t="shared" si="160"/>
        <v>2035068.5799999984</v>
      </c>
      <c r="Q851" s="15">
        <f t="shared" si="161"/>
        <v>7469725</v>
      </c>
      <c r="R851" s="9">
        <f t="shared" si="162"/>
        <v>6405</v>
      </c>
      <c r="S851" s="9">
        <f t="shared" si="163"/>
        <v>7469725</v>
      </c>
      <c r="T851" s="15">
        <f t="shared" si="164"/>
        <v>16.686436250344954</v>
      </c>
      <c r="U851" s="15">
        <f>IF(O851="Exclude",0,G851*Fuel_Price!$B$2)</f>
        <v>11694.729156000001</v>
      </c>
      <c r="V851" s="15">
        <f t="shared" si="165"/>
        <v>2989922.7577359979</v>
      </c>
    </row>
    <row r="852" spans="1:22">
      <c r="A852" s="1" t="s">
        <v>2135</v>
      </c>
      <c r="B852" s="1" t="s">
        <v>2136</v>
      </c>
      <c r="C852" s="1" t="s">
        <v>2137</v>
      </c>
      <c r="D852" s="1" t="s">
        <v>12</v>
      </c>
      <c r="E852" s="12">
        <v>8713</v>
      </c>
      <c r="F852" s="12" t="s">
        <v>137</v>
      </c>
      <c r="G852" s="6">
        <v>11796.91</v>
      </c>
      <c r="H852" s="1">
        <v>2.09</v>
      </c>
      <c r="J852" t="str">
        <f t="shared" si="156"/>
        <v>OK</v>
      </c>
      <c r="K852" t="str">
        <f t="shared" si="157"/>
        <v>OK</v>
      </c>
      <c r="L852">
        <f t="shared" si="166"/>
        <v>12</v>
      </c>
      <c r="M852">
        <f t="shared" si="158"/>
        <v>10</v>
      </c>
      <c r="N852" s="9" t="str">
        <f t="shared" si="167"/>
        <v>Valid</v>
      </c>
      <c r="O852" t="str">
        <f t="shared" si="159"/>
        <v>Include</v>
      </c>
      <c r="P852" s="9">
        <f t="shared" si="160"/>
        <v>2035068.5799999984</v>
      </c>
      <c r="Q852" s="15">
        <f t="shared" si="161"/>
        <v>7469725</v>
      </c>
      <c r="R852" s="9">
        <f t="shared" si="162"/>
        <v>8713</v>
      </c>
      <c r="S852" s="9">
        <f t="shared" si="163"/>
        <v>7469725</v>
      </c>
      <c r="T852" s="15">
        <f t="shared" si="164"/>
        <v>16.686436250344954</v>
      </c>
      <c r="U852" s="15">
        <f>IF(O852="Exclude",0,G852*Fuel_Price!$B$2)</f>
        <v>17332.020172</v>
      </c>
      <c r="V852" s="15">
        <f t="shared" si="165"/>
        <v>2989922.7577359979</v>
      </c>
    </row>
    <row r="853" spans="1:22">
      <c r="A853" s="1" t="s">
        <v>2138</v>
      </c>
      <c r="B853" s="1" t="s">
        <v>2139</v>
      </c>
      <c r="C853" s="1" t="s">
        <v>2140</v>
      </c>
      <c r="D853" s="1" t="s">
        <v>12</v>
      </c>
      <c r="E853" s="12">
        <v>8209</v>
      </c>
      <c r="F853" s="12" t="s">
        <v>13</v>
      </c>
      <c r="G853" s="6">
        <v>5113.55</v>
      </c>
      <c r="H853" s="1">
        <v>7.3</v>
      </c>
      <c r="J853" t="str">
        <f t="shared" si="156"/>
        <v>OK</v>
      </c>
      <c r="K853" t="str">
        <f t="shared" si="157"/>
        <v>OK</v>
      </c>
      <c r="L853">
        <f t="shared" si="166"/>
        <v>12</v>
      </c>
      <c r="M853">
        <f t="shared" si="158"/>
        <v>10</v>
      </c>
      <c r="N853" s="9" t="str">
        <f t="shared" si="167"/>
        <v>Valid</v>
      </c>
      <c r="O853" t="str">
        <f t="shared" si="159"/>
        <v>Include</v>
      </c>
      <c r="P853" s="9">
        <f t="shared" si="160"/>
        <v>2035068.5799999984</v>
      </c>
      <c r="Q853" s="15">
        <f t="shared" si="161"/>
        <v>7469725</v>
      </c>
      <c r="R853" s="9">
        <f t="shared" si="162"/>
        <v>8209</v>
      </c>
      <c r="S853" s="9">
        <f t="shared" si="163"/>
        <v>7469725</v>
      </c>
      <c r="T853" s="15">
        <f t="shared" si="164"/>
        <v>16.686436250344954</v>
      </c>
      <c r="U853" s="15">
        <f>IF(O853="Exclude",0,G853*Fuel_Price!$B$2)</f>
        <v>7512.8276600000008</v>
      </c>
      <c r="V853" s="15">
        <f t="shared" si="165"/>
        <v>2989922.7577359979</v>
      </c>
    </row>
    <row r="854" spans="1:22">
      <c r="A854" s="1" t="s">
        <v>2141</v>
      </c>
      <c r="B854" s="1" t="s">
        <v>2142</v>
      </c>
      <c r="C854" s="1" t="s">
        <v>1963</v>
      </c>
      <c r="D854" s="1" t="s">
        <v>12</v>
      </c>
      <c r="E854" s="12">
        <v>4697</v>
      </c>
      <c r="F854" s="12" t="s">
        <v>137</v>
      </c>
      <c r="G854" s="6">
        <v>7173.85</v>
      </c>
      <c r="H854" s="1">
        <v>1.85</v>
      </c>
      <c r="J854" t="str">
        <f t="shared" si="156"/>
        <v>OK</v>
      </c>
      <c r="K854" t="str">
        <f t="shared" si="157"/>
        <v>OK</v>
      </c>
      <c r="L854">
        <f t="shared" si="166"/>
        <v>12</v>
      </c>
      <c r="M854">
        <f t="shared" si="158"/>
        <v>10</v>
      </c>
      <c r="N854" s="9" t="str">
        <f t="shared" si="167"/>
        <v>Valid</v>
      </c>
      <c r="O854" t="str">
        <f t="shared" si="159"/>
        <v>Include</v>
      </c>
      <c r="P854" s="9">
        <f t="shared" si="160"/>
        <v>2035068.5799999984</v>
      </c>
      <c r="Q854" s="15">
        <f t="shared" si="161"/>
        <v>7469725</v>
      </c>
      <c r="R854" s="9">
        <f t="shared" si="162"/>
        <v>4697</v>
      </c>
      <c r="S854" s="9">
        <f t="shared" si="163"/>
        <v>7469725</v>
      </c>
      <c r="T854" s="15">
        <f t="shared" si="164"/>
        <v>16.686436250344954</v>
      </c>
      <c r="U854" s="15">
        <f>IF(O854="Exclude",0,G854*Fuel_Price!$B$2)</f>
        <v>10539.820420000002</v>
      </c>
      <c r="V854" s="15">
        <f t="shared" si="165"/>
        <v>2989922.7577359979</v>
      </c>
    </row>
    <row r="855" spans="1:22">
      <c r="A855" s="1" t="s">
        <v>2143</v>
      </c>
      <c r="B855" s="1" t="s">
        <v>2144</v>
      </c>
      <c r="C855" s="1" t="s">
        <v>1963</v>
      </c>
      <c r="D855" s="1" t="s">
        <v>12</v>
      </c>
      <c r="E855" s="12">
        <v>6957</v>
      </c>
      <c r="F855" s="12" t="s">
        <v>137</v>
      </c>
      <c r="G855" s="6">
        <v>8305.77</v>
      </c>
      <c r="H855" s="1">
        <v>2.37</v>
      </c>
      <c r="J855" t="str">
        <f t="shared" si="156"/>
        <v>OK</v>
      </c>
      <c r="K855" t="str">
        <f t="shared" si="157"/>
        <v>OK</v>
      </c>
      <c r="L855">
        <f t="shared" si="166"/>
        <v>12</v>
      </c>
      <c r="M855">
        <f t="shared" si="158"/>
        <v>10</v>
      </c>
      <c r="N855" s="9" t="str">
        <f t="shared" si="167"/>
        <v>Valid</v>
      </c>
      <c r="O855" t="str">
        <f t="shared" si="159"/>
        <v>Include</v>
      </c>
      <c r="P855" s="9">
        <f t="shared" si="160"/>
        <v>2035068.5799999984</v>
      </c>
      <c r="Q855" s="15">
        <f t="shared" si="161"/>
        <v>7469725</v>
      </c>
      <c r="R855" s="9">
        <f t="shared" si="162"/>
        <v>6957</v>
      </c>
      <c r="S855" s="9">
        <f t="shared" si="163"/>
        <v>7469725</v>
      </c>
      <c r="T855" s="15">
        <f t="shared" si="164"/>
        <v>16.686436250344954</v>
      </c>
      <c r="U855" s="15">
        <f>IF(O855="Exclude",0,G855*Fuel_Price!$B$2)</f>
        <v>12202.837284000001</v>
      </c>
      <c r="V855" s="15">
        <f t="shared" si="165"/>
        <v>2989922.7577359979</v>
      </c>
    </row>
    <row r="856" spans="1:22">
      <c r="A856" s="1" t="s">
        <v>2145</v>
      </c>
      <c r="B856" s="1" t="s">
        <v>2146</v>
      </c>
      <c r="C856" s="1" t="s">
        <v>2147</v>
      </c>
      <c r="D856" s="1" t="s">
        <v>12</v>
      </c>
      <c r="E856" s="12">
        <v>10205</v>
      </c>
      <c r="F856" s="12" t="s">
        <v>137</v>
      </c>
      <c r="G856" s="6">
        <v>5823.32</v>
      </c>
      <c r="H856" s="1">
        <v>4.95</v>
      </c>
      <c r="J856" t="str">
        <f t="shared" si="156"/>
        <v>OK</v>
      </c>
      <c r="K856" t="str">
        <f t="shared" si="157"/>
        <v>OK</v>
      </c>
      <c r="L856">
        <f t="shared" si="166"/>
        <v>12</v>
      </c>
      <c r="M856">
        <f t="shared" si="158"/>
        <v>10</v>
      </c>
      <c r="N856" s="9" t="str">
        <f t="shared" si="167"/>
        <v>Valid</v>
      </c>
      <c r="O856" t="str">
        <f t="shared" si="159"/>
        <v>Include</v>
      </c>
      <c r="P856" s="9">
        <f t="shared" si="160"/>
        <v>2035068.5799999984</v>
      </c>
      <c r="Q856" s="15">
        <f t="shared" si="161"/>
        <v>7469725</v>
      </c>
      <c r="R856" s="9">
        <f t="shared" si="162"/>
        <v>10205</v>
      </c>
      <c r="S856" s="9">
        <f t="shared" si="163"/>
        <v>7469725</v>
      </c>
      <c r="T856" s="15">
        <f t="shared" si="164"/>
        <v>16.686436250344954</v>
      </c>
      <c r="U856" s="15">
        <f>IF(O856="Exclude",0,G856*Fuel_Price!$B$2)</f>
        <v>8555.621744</v>
      </c>
      <c r="V856" s="15">
        <f t="shared" si="165"/>
        <v>2989922.7577359979</v>
      </c>
    </row>
    <row r="857" spans="1:22">
      <c r="A857" s="1" t="s">
        <v>2148</v>
      </c>
      <c r="B857" s="1" t="s">
        <v>2149</v>
      </c>
      <c r="C857" s="1" t="s">
        <v>2147</v>
      </c>
      <c r="D857" s="1" t="s">
        <v>12</v>
      </c>
      <c r="E857" s="12">
        <v>5465</v>
      </c>
      <c r="F857" s="12" t="s">
        <v>137</v>
      </c>
      <c r="G857" s="6">
        <v>5424.89</v>
      </c>
      <c r="H857" s="1">
        <v>2.85</v>
      </c>
      <c r="J857" t="str">
        <f t="shared" si="156"/>
        <v>OK</v>
      </c>
      <c r="K857" t="str">
        <f t="shared" si="157"/>
        <v>OK</v>
      </c>
      <c r="L857">
        <f t="shared" si="166"/>
        <v>12</v>
      </c>
      <c r="M857">
        <f t="shared" si="158"/>
        <v>10</v>
      </c>
      <c r="N857" s="9" t="str">
        <f t="shared" si="167"/>
        <v>Valid</v>
      </c>
      <c r="O857" t="str">
        <f t="shared" si="159"/>
        <v>Include</v>
      </c>
      <c r="P857" s="9">
        <f t="shared" si="160"/>
        <v>2035068.5799999984</v>
      </c>
      <c r="Q857" s="15">
        <f t="shared" si="161"/>
        <v>7469725</v>
      </c>
      <c r="R857" s="9">
        <f t="shared" si="162"/>
        <v>5465</v>
      </c>
      <c r="S857" s="9">
        <f t="shared" si="163"/>
        <v>7469725</v>
      </c>
      <c r="T857" s="15">
        <f t="shared" si="164"/>
        <v>16.686436250344954</v>
      </c>
      <c r="U857" s="15">
        <f>IF(O857="Exclude",0,G857*Fuel_Price!$B$2)</f>
        <v>7970.2483880000009</v>
      </c>
      <c r="V857" s="15">
        <f t="shared" si="165"/>
        <v>2989922.7577359979</v>
      </c>
    </row>
    <row r="858" spans="1:22">
      <c r="A858" s="1" t="s">
        <v>2150</v>
      </c>
      <c r="B858" s="1" t="s">
        <v>2151</v>
      </c>
      <c r="C858" s="1" t="s">
        <v>1990</v>
      </c>
      <c r="D858" s="1" t="s">
        <v>12</v>
      </c>
      <c r="E858" s="12">
        <v>486</v>
      </c>
      <c r="F858" s="12" t="s">
        <v>137</v>
      </c>
      <c r="G858" s="6">
        <v>779.56</v>
      </c>
      <c r="H858" s="1">
        <v>1.76</v>
      </c>
      <c r="J858" t="str">
        <f t="shared" si="156"/>
        <v>OK</v>
      </c>
      <c r="K858" t="str">
        <f t="shared" si="157"/>
        <v>OK</v>
      </c>
      <c r="L858">
        <f t="shared" si="166"/>
        <v>12</v>
      </c>
      <c r="M858">
        <f t="shared" si="158"/>
        <v>10</v>
      </c>
      <c r="N858" s="9" t="str">
        <f t="shared" si="167"/>
        <v>Valid</v>
      </c>
      <c r="O858" t="str">
        <f t="shared" si="159"/>
        <v>Include</v>
      </c>
      <c r="P858" s="9">
        <f t="shared" si="160"/>
        <v>2035068.5799999984</v>
      </c>
      <c r="Q858" s="15">
        <f t="shared" si="161"/>
        <v>7469725</v>
      </c>
      <c r="R858" s="9">
        <f t="shared" si="162"/>
        <v>486</v>
      </c>
      <c r="S858" s="9">
        <f t="shared" si="163"/>
        <v>7469725</v>
      </c>
      <c r="T858" s="15">
        <f t="shared" si="164"/>
        <v>16.686436250344954</v>
      </c>
      <c r="U858" s="15">
        <f>IF(O858="Exclude",0,G858*Fuel_Price!$B$2)</f>
        <v>1145.3295519999999</v>
      </c>
      <c r="V858" s="15">
        <f t="shared" si="165"/>
        <v>2989922.7577359979</v>
      </c>
    </row>
    <row r="859" spans="1:22">
      <c r="A859" s="1" t="s">
        <v>2152</v>
      </c>
      <c r="B859" s="1" t="s">
        <v>2153</v>
      </c>
      <c r="C859" s="1" t="s">
        <v>2154</v>
      </c>
      <c r="D859" s="1" t="s">
        <v>12</v>
      </c>
      <c r="E859" s="12">
        <v>1384</v>
      </c>
      <c r="F859" s="12" t="s">
        <v>137</v>
      </c>
      <c r="G859" s="6">
        <v>699.51</v>
      </c>
      <c r="H859" s="1">
        <v>5.59</v>
      </c>
      <c r="J859" t="str">
        <f t="shared" si="156"/>
        <v>OK</v>
      </c>
      <c r="K859" t="str">
        <f t="shared" si="157"/>
        <v>OK</v>
      </c>
      <c r="L859">
        <f t="shared" si="166"/>
        <v>12</v>
      </c>
      <c r="M859">
        <f t="shared" si="158"/>
        <v>10</v>
      </c>
      <c r="N859" s="9" t="str">
        <f t="shared" si="167"/>
        <v>Valid</v>
      </c>
      <c r="O859" t="str">
        <f t="shared" si="159"/>
        <v>Include</v>
      </c>
      <c r="P859" s="9">
        <f t="shared" si="160"/>
        <v>2035068.5799999984</v>
      </c>
      <c r="Q859" s="15">
        <f t="shared" si="161"/>
        <v>7469725</v>
      </c>
      <c r="R859" s="9">
        <f t="shared" si="162"/>
        <v>1384</v>
      </c>
      <c r="S859" s="9">
        <f t="shared" si="163"/>
        <v>7469725</v>
      </c>
      <c r="T859" s="15">
        <f t="shared" si="164"/>
        <v>16.686436250344954</v>
      </c>
      <c r="U859" s="15">
        <f>IF(O859="Exclude",0,G859*Fuel_Price!$B$2)</f>
        <v>1027.720092</v>
      </c>
      <c r="V859" s="15">
        <f t="shared" si="165"/>
        <v>2989922.7577359979</v>
      </c>
    </row>
    <row r="860" spans="1:22">
      <c r="A860" s="1" t="s">
        <v>2155</v>
      </c>
      <c r="B860" s="1" t="s">
        <v>2156</v>
      </c>
      <c r="C860" s="1" t="s">
        <v>2154</v>
      </c>
      <c r="D860" s="1" t="s">
        <v>12</v>
      </c>
      <c r="E860" s="12">
        <v>858</v>
      </c>
      <c r="F860" s="12" t="s">
        <v>137</v>
      </c>
      <c r="G860" s="6">
        <v>691.99</v>
      </c>
      <c r="H860" s="1">
        <v>3.5</v>
      </c>
      <c r="J860" t="str">
        <f t="shared" si="156"/>
        <v>OK</v>
      </c>
      <c r="K860" t="str">
        <f t="shared" si="157"/>
        <v>OK</v>
      </c>
      <c r="L860">
        <f t="shared" si="166"/>
        <v>12</v>
      </c>
      <c r="M860">
        <f t="shared" si="158"/>
        <v>10</v>
      </c>
      <c r="N860" s="9" t="str">
        <f t="shared" si="167"/>
        <v>Valid</v>
      </c>
      <c r="O860" t="str">
        <f t="shared" si="159"/>
        <v>Include</v>
      </c>
      <c r="P860" s="9">
        <f t="shared" si="160"/>
        <v>2035068.5799999984</v>
      </c>
      <c r="Q860" s="15">
        <f t="shared" si="161"/>
        <v>7469725</v>
      </c>
      <c r="R860" s="9">
        <f t="shared" si="162"/>
        <v>858</v>
      </c>
      <c r="S860" s="9">
        <f t="shared" si="163"/>
        <v>7469725</v>
      </c>
      <c r="T860" s="15">
        <f t="shared" si="164"/>
        <v>16.686436250344954</v>
      </c>
      <c r="U860" s="15">
        <f>IF(O860="Exclude",0,G860*Fuel_Price!$B$2)</f>
        <v>1016.6717080000001</v>
      </c>
      <c r="V860" s="15">
        <f t="shared" si="165"/>
        <v>2989922.7577359979</v>
      </c>
    </row>
    <row r="861" spans="1:22">
      <c r="A861" s="1" t="s">
        <v>2157</v>
      </c>
      <c r="B861" s="1" t="s">
        <v>2158</v>
      </c>
      <c r="C861" s="1" t="s">
        <v>1990</v>
      </c>
      <c r="D861" s="1" t="s">
        <v>12</v>
      </c>
      <c r="E861" s="12">
        <v>634</v>
      </c>
      <c r="F861" s="12" t="s">
        <v>137</v>
      </c>
      <c r="G861" s="6">
        <v>679.71</v>
      </c>
      <c r="H861" s="1">
        <v>2.63</v>
      </c>
      <c r="J861" t="str">
        <f t="shared" si="156"/>
        <v>OK</v>
      </c>
      <c r="K861" t="str">
        <f t="shared" si="157"/>
        <v>OK</v>
      </c>
      <c r="L861">
        <f t="shared" si="166"/>
        <v>12</v>
      </c>
      <c r="M861">
        <f t="shared" si="158"/>
        <v>10</v>
      </c>
      <c r="N861" s="9" t="str">
        <f t="shared" si="167"/>
        <v>Valid</v>
      </c>
      <c r="O861" t="str">
        <f t="shared" si="159"/>
        <v>Include</v>
      </c>
      <c r="P861" s="9">
        <f t="shared" si="160"/>
        <v>2035068.5799999984</v>
      </c>
      <c r="Q861" s="15">
        <f t="shared" si="161"/>
        <v>7469725</v>
      </c>
      <c r="R861" s="9">
        <f t="shared" si="162"/>
        <v>634</v>
      </c>
      <c r="S861" s="9">
        <f t="shared" si="163"/>
        <v>7469725</v>
      </c>
      <c r="T861" s="15">
        <f t="shared" si="164"/>
        <v>16.686436250344954</v>
      </c>
      <c r="U861" s="15">
        <f>IF(O861="Exclude",0,G861*Fuel_Price!$B$2)</f>
        <v>998.62993200000005</v>
      </c>
      <c r="V861" s="15">
        <f t="shared" si="165"/>
        <v>2989922.7577359979</v>
      </c>
    </row>
    <row r="862" spans="1:22">
      <c r="A862" s="1" t="s">
        <v>2159</v>
      </c>
      <c r="B862" s="1" t="s">
        <v>2160</v>
      </c>
      <c r="C862" s="1" t="s">
        <v>2161</v>
      </c>
      <c r="D862" s="1" t="s">
        <v>12</v>
      </c>
      <c r="E862" s="12">
        <v>678</v>
      </c>
      <c r="F862" s="12" t="s">
        <v>137</v>
      </c>
      <c r="G862" s="6">
        <v>709.77</v>
      </c>
      <c r="H862" s="1">
        <v>2.7</v>
      </c>
      <c r="J862" t="str">
        <f t="shared" si="156"/>
        <v>OK</v>
      </c>
      <c r="K862" t="str">
        <f t="shared" si="157"/>
        <v>OK</v>
      </c>
      <c r="L862">
        <f t="shared" si="166"/>
        <v>12</v>
      </c>
      <c r="M862">
        <f t="shared" si="158"/>
        <v>10</v>
      </c>
      <c r="N862" s="9" t="str">
        <f t="shared" si="167"/>
        <v>Valid</v>
      </c>
      <c r="O862" t="str">
        <f t="shared" si="159"/>
        <v>Include</v>
      </c>
      <c r="P862" s="9">
        <f t="shared" si="160"/>
        <v>2035068.5799999984</v>
      </c>
      <c r="Q862" s="15">
        <f t="shared" si="161"/>
        <v>7469725</v>
      </c>
      <c r="R862" s="9">
        <f t="shared" si="162"/>
        <v>678</v>
      </c>
      <c r="S862" s="9">
        <f t="shared" si="163"/>
        <v>7469725</v>
      </c>
      <c r="T862" s="15">
        <f t="shared" si="164"/>
        <v>16.686436250344954</v>
      </c>
      <c r="U862" s="15">
        <f>IF(O862="Exclude",0,G862*Fuel_Price!$B$2)</f>
        <v>1042.7940840000001</v>
      </c>
      <c r="V862" s="15">
        <f t="shared" si="165"/>
        <v>2989922.7577359979</v>
      </c>
    </row>
    <row r="863" spans="1:22">
      <c r="A863" s="1" t="s">
        <v>2162</v>
      </c>
      <c r="B863" s="1" t="s">
        <v>2163</v>
      </c>
      <c r="C863" s="1" t="s">
        <v>1999</v>
      </c>
      <c r="D863" s="1" t="s">
        <v>12</v>
      </c>
      <c r="E863" s="12">
        <v>346</v>
      </c>
      <c r="F863" s="12" t="s">
        <v>137</v>
      </c>
      <c r="G863" s="6">
        <v>402.74</v>
      </c>
      <c r="H863" s="1">
        <v>2.4300000000000002</v>
      </c>
      <c r="J863" t="str">
        <f t="shared" si="156"/>
        <v>OK</v>
      </c>
      <c r="K863" t="str">
        <f t="shared" si="157"/>
        <v>OK</v>
      </c>
      <c r="L863">
        <f t="shared" si="166"/>
        <v>12</v>
      </c>
      <c r="M863">
        <f t="shared" si="158"/>
        <v>10</v>
      </c>
      <c r="N863" s="9" t="str">
        <f t="shared" si="167"/>
        <v>Valid</v>
      </c>
      <c r="O863" t="str">
        <f t="shared" si="159"/>
        <v>Include</v>
      </c>
      <c r="P863" s="9">
        <f t="shared" si="160"/>
        <v>2035068.5799999984</v>
      </c>
      <c r="Q863" s="15">
        <f t="shared" si="161"/>
        <v>7469725</v>
      </c>
      <c r="R863" s="9">
        <f t="shared" si="162"/>
        <v>346</v>
      </c>
      <c r="S863" s="9">
        <f t="shared" si="163"/>
        <v>7469725</v>
      </c>
      <c r="T863" s="15">
        <f t="shared" si="164"/>
        <v>16.686436250344954</v>
      </c>
      <c r="U863" s="15">
        <f>IF(O863="Exclude",0,G863*Fuel_Price!$B$2)</f>
        <v>591.70560799999998</v>
      </c>
      <c r="V863" s="15">
        <f t="shared" si="165"/>
        <v>2989922.7577359979</v>
      </c>
    </row>
    <row r="864" spans="1:22">
      <c r="A864" s="1" t="s">
        <v>2164</v>
      </c>
      <c r="B864" s="1" t="s">
        <v>2165</v>
      </c>
      <c r="C864" s="1" t="s">
        <v>1999</v>
      </c>
      <c r="D864" s="1" t="s">
        <v>12</v>
      </c>
      <c r="E864" s="12">
        <v>260</v>
      </c>
      <c r="F864" s="12" t="s">
        <v>137</v>
      </c>
      <c r="G864" s="6">
        <v>357.21</v>
      </c>
      <c r="H864" s="1">
        <v>2.06</v>
      </c>
      <c r="J864" t="str">
        <f t="shared" si="156"/>
        <v>OK</v>
      </c>
      <c r="K864" t="str">
        <f t="shared" si="157"/>
        <v>OK</v>
      </c>
      <c r="L864">
        <f t="shared" si="166"/>
        <v>12</v>
      </c>
      <c r="M864">
        <f t="shared" si="158"/>
        <v>10</v>
      </c>
      <c r="N864" s="9" t="str">
        <f t="shared" si="167"/>
        <v>Valid</v>
      </c>
      <c r="O864" t="str">
        <f t="shared" si="159"/>
        <v>Include</v>
      </c>
      <c r="P864" s="9">
        <f t="shared" si="160"/>
        <v>2035068.5799999984</v>
      </c>
      <c r="Q864" s="15">
        <f t="shared" si="161"/>
        <v>7469725</v>
      </c>
      <c r="R864" s="9">
        <f t="shared" si="162"/>
        <v>260</v>
      </c>
      <c r="S864" s="9">
        <f t="shared" si="163"/>
        <v>7469725</v>
      </c>
      <c r="T864" s="15">
        <f t="shared" si="164"/>
        <v>16.686436250344954</v>
      </c>
      <c r="U864" s="15">
        <f>IF(O864="Exclude",0,G864*Fuel_Price!$B$2)</f>
        <v>524.81293200000005</v>
      </c>
      <c r="V864" s="15">
        <f t="shared" si="165"/>
        <v>2989922.7577359979</v>
      </c>
    </row>
    <row r="865" spans="1:22">
      <c r="A865" s="1" t="s">
        <v>2166</v>
      </c>
      <c r="B865" s="1" t="s">
        <v>2167</v>
      </c>
      <c r="C865" s="1" t="s">
        <v>1999</v>
      </c>
      <c r="D865" s="1" t="s">
        <v>12</v>
      </c>
      <c r="E865" s="12">
        <v>796</v>
      </c>
      <c r="F865" s="12" t="s">
        <v>137</v>
      </c>
      <c r="G865" s="6">
        <v>572.95000000000005</v>
      </c>
      <c r="H865" s="1">
        <v>3.92</v>
      </c>
      <c r="J865" t="str">
        <f t="shared" si="156"/>
        <v>OK</v>
      </c>
      <c r="K865" t="str">
        <f t="shared" si="157"/>
        <v>OK</v>
      </c>
      <c r="L865">
        <f t="shared" si="166"/>
        <v>12</v>
      </c>
      <c r="M865">
        <f t="shared" si="158"/>
        <v>10</v>
      </c>
      <c r="N865" s="9" t="str">
        <f t="shared" si="167"/>
        <v>Valid</v>
      </c>
      <c r="O865" t="str">
        <f t="shared" si="159"/>
        <v>Include</v>
      </c>
      <c r="P865" s="9">
        <f t="shared" si="160"/>
        <v>2035068.5799999984</v>
      </c>
      <c r="Q865" s="15">
        <f t="shared" si="161"/>
        <v>7469725</v>
      </c>
      <c r="R865" s="9">
        <f t="shared" si="162"/>
        <v>796</v>
      </c>
      <c r="S865" s="9">
        <f t="shared" si="163"/>
        <v>7469725</v>
      </c>
      <c r="T865" s="15">
        <f t="shared" si="164"/>
        <v>16.686436250344954</v>
      </c>
      <c r="U865" s="15">
        <f>IF(O865="Exclude",0,G865*Fuel_Price!$B$2)</f>
        <v>841.77814000000012</v>
      </c>
      <c r="V865" s="15">
        <f t="shared" si="165"/>
        <v>2989922.7577359979</v>
      </c>
    </row>
    <row r="866" spans="1:22">
      <c r="A866" s="1" t="s">
        <v>2168</v>
      </c>
      <c r="B866" s="1" t="s">
        <v>2169</v>
      </c>
      <c r="C866" s="1" t="s">
        <v>2170</v>
      </c>
      <c r="D866" s="1" t="s">
        <v>12</v>
      </c>
      <c r="E866" s="12">
        <v>3387</v>
      </c>
      <c r="F866" s="12" t="s">
        <v>137</v>
      </c>
      <c r="G866" s="6">
        <v>1961.37</v>
      </c>
      <c r="H866" s="1">
        <v>4.88</v>
      </c>
      <c r="J866" t="str">
        <f t="shared" si="156"/>
        <v>OK</v>
      </c>
      <c r="K866" t="str">
        <f t="shared" si="157"/>
        <v>OK</v>
      </c>
      <c r="L866">
        <f t="shared" si="166"/>
        <v>12</v>
      </c>
      <c r="M866">
        <f t="shared" si="158"/>
        <v>10</v>
      </c>
      <c r="N866" s="9" t="str">
        <f t="shared" si="167"/>
        <v>Valid</v>
      </c>
      <c r="O866" t="str">
        <f t="shared" si="159"/>
        <v>Include</v>
      </c>
      <c r="P866" s="9">
        <f t="shared" si="160"/>
        <v>2035068.5799999984</v>
      </c>
      <c r="Q866" s="15">
        <f t="shared" si="161"/>
        <v>7469725</v>
      </c>
      <c r="R866" s="9">
        <f t="shared" si="162"/>
        <v>3387</v>
      </c>
      <c r="S866" s="9">
        <f t="shared" si="163"/>
        <v>7469725</v>
      </c>
      <c r="T866" s="15">
        <f t="shared" si="164"/>
        <v>16.686436250344954</v>
      </c>
      <c r="U866" s="15">
        <f>IF(O866="Exclude",0,G866*Fuel_Price!$B$2)</f>
        <v>2881.644804</v>
      </c>
      <c r="V866" s="15">
        <f t="shared" si="165"/>
        <v>2989922.7577359979</v>
      </c>
    </row>
    <row r="867" spans="1:22">
      <c r="A867" s="1" t="s">
        <v>2171</v>
      </c>
      <c r="B867" s="1" t="s">
        <v>2172</v>
      </c>
      <c r="C867" s="1" t="s">
        <v>2173</v>
      </c>
      <c r="D867" s="1" t="s">
        <v>12</v>
      </c>
      <c r="E867" s="12">
        <v>9407</v>
      </c>
      <c r="F867" s="12" t="s">
        <v>137</v>
      </c>
      <c r="G867" s="6">
        <v>5739.47</v>
      </c>
      <c r="H867" s="1">
        <v>4.63</v>
      </c>
      <c r="J867" t="str">
        <f t="shared" si="156"/>
        <v>OK</v>
      </c>
      <c r="K867" t="str">
        <f t="shared" si="157"/>
        <v>OK</v>
      </c>
      <c r="L867">
        <f t="shared" si="166"/>
        <v>12</v>
      </c>
      <c r="M867">
        <f t="shared" si="158"/>
        <v>10</v>
      </c>
      <c r="N867" s="9" t="str">
        <f t="shared" si="167"/>
        <v>Valid</v>
      </c>
      <c r="O867" t="str">
        <f t="shared" si="159"/>
        <v>Include</v>
      </c>
      <c r="P867" s="9">
        <f t="shared" si="160"/>
        <v>2035068.5799999984</v>
      </c>
      <c r="Q867" s="15">
        <f t="shared" si="161"/>
        <v>7469725</v>
      </c>
      <c r="R867" s="9">
        <f t="shared" si="162"/>
        <v>9407</v>
      </c>
      <c r="S867" s="9">
        <f t="shared" si="163"/>
        <v>7469725</v>
      </c>
      <c r="T867" s="15">
        <f t="shared" si="164"/>
        <v>16.686436250344954</v>
      </c>
      <c r="U867" s="15">
        <f>IF(O867="Exclude",0,G867*Fuel_Price!$B$2)</f>
        <v>8432.4293240000006</v>
      </c>
      <c r="V867" s="15">
        <f t="shared" si="165"/>
        <v>2989922.7577359979</v>
      </c>
    </row>
    <row r="868" spans="1:22">
      <c r="A868" s="1" t="s">
        <v>2174</v>
      </c>
      <c r="B868" s="1" t="s">
        <v>2175</v>
      </c>
      <c r="C868" s="1" t="s">
        <v>2173</v>
      </c>
      <c r="D868" s="1" t="s">
        <v>12</v>
      </c>
      <c r="E868" s="12">
        <v>13477</v>
      </c>
      <c r="F868" s="12" t="s">
        <v>137</v>
      </c>
      <c r="G868" s="6">
        <v>10946.3</v>
      </c>
      <c r="H868" s="1">
        <v>3.48</v>
      </c>
      <c r="J868" t="str">
        <f t="shared" si="156"/>
        <v>OK</v>
      </c>
      <c r="K868" t="str">
        <f t="shared" si="157"/>
        <v>OK</v>
      </c>
      <c r="L868">
        <f t="shared" si="166"/>
        <v>12</v>
      </c>
      <c r="M868">
        <f t="shared" si="158"/>
        <v>10</v>
      </c>
      <c r="N868" s="9" t="str">
        <f t="shared" si="167"/>
        <v>Valid</v>
      </c>
      <c r="O868" t="str">
        <f t="shared" si="159"/>
        <v>Include</v>
      </c>
      <c r="P868" s="9">
        <f t="shared" si="160"/>
        <v>2035068.5799999984</v>
      </c>
      <c r="Q868" s="15">
        <f t="shared" si="161"/>
        <v>7469725</v>
      </c>
      <c r="R868" s="9">
        <f t="shared" si="162"/>
        <v>13477</v>
      </c>
      <c r="S868" s="9">
        <f t="shared" si="163"/>
        <v>7469725</v>
      </c>
      <c r="T868" s="15">
        <f t="shared" si="164"/>
        <v>16.686436250344954</v>
      </c>
      <c r="U868" s="15">
        <f>IF(O868="Exclude",0,G868*Fuel_Price!$B$2)</f>
        <v>16082.303959999999</v>
      </c>
      <c r="V868" s="15">
        <f t="shared" si="165"/>
        <v>2989922.7577359979</v>
      </c>
    </row>
    <row r="869" spans="1:22">
      <c r="A869" s="1" t="s">
        <v>2176</v>
      </c>
      <c r="B869" s="1" t="s">
        <v>2177</v>
      </c>
      <c r="C869" s="1" t="s">
        <v>2173</v>
      </c>
      <c r="D869" s="1" t="s">
        <v>12</v>
      </c>
      <c r="E869" s="12">
        <v>15339</v>
      </c>
      <c r="F869" s="12" t="s">
        <v>137</v>
      </c>
      <c r="G869" s="6">
        <v>8793.5400000000009</v>
      </c>
      <c r="H869" s="1">
        <v>4.93</v>
      </c>
      <c r="J869" t="str">
        <f t="shared" si="156"/>
        <v>OK</v>
      </c>
      <c r="K869" t="str">
        <f t="shared" si="157"/>
        <v>OK</v>
      </c>
      <c r="L869">
        <f t="shared" si="166"/>
        <v>12</v>
      </c>
      <c r="M869">
        <f t="shared" si="158"/>
        <v>10</v>
      </c>
      <c r="N869" s="9" t="str">
        <f t="shared" si="167"/>
        <v>Valid</v>
      </c>
      <c r="O869" t="str">
        <f t="shared" si="159"/>
        <v>Include</v>
      </c>
      <c r="P869" s="9">
        <f t="shared" si="160"/>
        <v>2035068.5799999984</v>
      </c>
      <c r="Q869" s="15">
        <f t="shared" si="161"/>
        <v>7469725</v>
      </c>
      <c r="R869" s="9">
        <f t="shared" si="162"/>
        <v>15339</v>
      </c>
      <c r="S869" s="9">
        <f t="shared" si="163"/>
        <v>7469725</v>
      </c>
      <c r="T869" s="15">
        <f t="shared" si="164"/>
        <v>16.686436250344954</v>
      </c>
      <c r="U869" s="15">
        <f>IF(O869="Exclude",0,G869*Fuel_Price!$B$2)</f>
        <v>12919.468968000001</v>
      </c>
      <c r="V869" s="15">
        <f t="shared" si="165"/>
        <v>2989922.7577359979</v>
      </c>
    </row>
    <row r="870" spans="1:22">
      <c r="A870" s="1" t="s">
        <v>2178</v>
      </c>
      <c r="B870" s="1" t="s">
        <v>2179</v>
      </c>
      <c r="C870" s="1" t="s">
        <v>2180</v>
      </c>
      <c r="D870" s="1" t="s">
        <v>12</v>
      </c>
      <c r="E870" s="12">
        <v>29183</v>
      </c>
      <c r="F870" s="12" t="s">
        <v>137</v>
      </c>
      <c r="G870" s="6">
        <v>14208.23</v>
      </c>
      <c r="H870" s="1">
        <v>5.8</v>
      </c>
      <c r="J870" t="str">
        <f t="shared" si="156"/>
        <v>OK</v>
      </c>
      <c r="K870" t="str">
        <f t="shared" si="157"/>
        <v>OK</v>
      </c>
      <c r="L870">
        <f t="shared" si="166"/>
        <v>12</v>
      </c>
      <c r="M870">
        <f t="shared" si="158"/>
        <v>10</v>
      </c>
      <c r="N870" s="9" t="str">
        <f t="shared" si="167"/>
        <v>Valid</v>
      </c>
      <c r="O870" t="str">
        <f t="shared" si="159"/>
        <v>Include</v>
      </c>
      <c r="P870" s="9">
        <f t="shared" si="160"/>
        <v>2035068.5799999984</v>
      </c>
      <c r="Q870" s="15">
        <f t="shared" si="161"/>
        <v>7469725</v>
      </c>
      <c r="R870" s="9">
        <f t="shared" si="162"/>
        <v>29183</v>
      </c>
      <c r="S870" s="9">
        <f t="shared" si="163"/>
        <v>7469725</v>
      </c>
      <c r="T870" s="15">
        <f t="shared" si="164"/>
        <v>16.686436250344954</v>
      </c>
      <c r="U870" s="15">
        <f>IF(O870="Exclude",0,G870*Fuel_Price!$B$2)</f>
        <v>20874.731516</v>
      </c>
      <c r="V870" s="15">
        <f t="shared" si="165"/>
        <v>2989922.7577359979</v>
      </c>
    </row>
    <row r="871" spans="1:22">
      <c r="A871" s="1" t="s">
        <v>2181</v>
      </c>
      <c r="B871" s="1" t="s">
        <v>2182</v>
      </c>
      <c r="C871" s="1" t="s">
        <v>2183</v>
      </c>
      <c r="D871" s="1" t="s">
        <v>12</v>
      </c>
      <c r="E871" s="12">
        <v>18109</v>
      </c>
      <c r="F871" s="12" t="s">
        <v>137</v>
      </c>
      <c r="G871" s="6">
        <v>9314.83</v>
      </c>
      <c r="H871" s="1">
        <v>5.49</v>
      </c>
      <c r="J871" t="str">
        <f t="shared" si="156"/>
        <v>OK</v>
      </c>
      <c r="K871" t="str">
        <f t="shared" si="157"/>
        <v>OK</v>
      </c>
      <c r="L871">
        <f t="shared" si="166"/>
        <v>12</v>
      </c>
      <c r="M871">
        <f t="shared" si="158"/>
        <v>10</v>
      </c>
      <c r="N871" s="9" t="str">
        <f t="shared" si="167"/>
        <v>Valid</v>
      </c>
      <c r="O871" t="str">
        <f t="shared" si="159"/>
        <v>Include</v>
      </c>
      <c r="P871" s="9">
        <f t="shared" si="160"/>
        <v>2035068.5799999984</v>
      </c>
      <c r="Q871" s="15">
        <f t="shared" si="161"/>
        <v>7469725</v>
      </c>
      <c r="R871" s="9">
        <f t="shared" si="162"/>
        <v>18109</v>
      </c>
      <c r="S871" s="9">
        <f t="shared" si="163"/>
        <v>7469725</v>
      </c>
      <c r="T871" s="15">
        <f t="shared" si="164"/>
        <v>16.686436250344954</v>
      </c>
      <c r="U871" s="15">
        <f>IF(O871="Exclude",0,G871*Fuel_Price!$B$2)</f>
        <v>13685.348236</v>
      </c>
      <c r="V871" s="15">
        <f t="shared" si="165"/>
        <v>2989922.7577359979</v>
      </c>
    </row>
    <row r="872" spans="1:22">
      <c r="A872" s="1" t="s">
        <v>2184</v>
      </c>
      <c r="B872" s="1" t="s">
        <v>2185</v>
      </c>
      <c r="C872" s="1" t="s">
        <v>2183</v>
      </c>
      <c r="D872" s="1" t="s">
        <v>12</v>
      </c>
      <c r="E872" s="12">
        <v>15489</v>
      </c>
      <c r="F872" s="12" t="s">
        <v>137</v>
      </c>
      <c r="G872" s="6">
        <v>8502.7199999999993</v>
      </c>
      <c r="H872" s="1">
        <v>5.15</v>
      </c>
      <c r="J872" t="str">
        <f t="shared" si="156"/>
        <v>OK</v>
      </c>
      <c r="K872" t="str">
        <f t="shared" si="157"/>
        <v>OK</v>
      </c>
      <c r="L872">
        <f t="shared" si="166"/>
        <v>12</v>
      </c>
      <c r="M872">
        <f t="shared" si="158"/>
        <v>10</v>
      </c>
      <c r="N872" s="9" t="str">
        <f t="shared" si="167"/>
        <v>Valid</v>
      </c>
      <c r="O872" t="str">
        <f t="shared" si="159"/>
        <v>Include</v>
      </c>
      <c r="P872" s="9">
        <f t="shared" si="160"/>
        <v>2035068.5799999984</v>
      </c>
      <c r="Q872" s="15">
        <f t="shared" si="161"/>
        <v>7469725</v>
      </c>
      <c r="R872" s="9">
        <f t="shared" si="162"/>
        <v>15489</v>
      </c>
      <c r="S872" s="9">
        <f t="shared" si="163"/>
        <v>7469725</v>
      </c>
      <c r="T872" s="15">
        <f t="shared" si="164"/>
        <v>16.686436250344954</v>
      </c>
      <c r="U872" s="15">
        <f>IF(O872="Exclude",0,G872*Fuel_Price!$B$2)</f>
        <v>12492.196223999999</v>
      </c>
      <c r="V872" s="15">
        <f t="shared" si="165"/>
        <v>2989922.7577359979</v>
      </c>
    </row>
    <row r="873" spans="1:22">
      <c r="A873" s="1" t="s">
        <v>2186</v>
      </c>
      <c r="B873" s="1" t="s">
        <v>2187</v>
      </c>
      <c r="C873" s="1" t="s">
        <v>2183</v>
      </c>
      <c r="D873" s="1" t="s">
        <v>12</v>
      </c>
      <c r="E873" s="12">
        <v>21677</v>
      </c>
      <c r="F873" s="12" t="s">
        <v>137</v>
      </c>
      <c r="G873" s="6">
        <v>10731.77</v>
      </c>
      <c r="H873" s="1">
        <v>5.71</v>
      </c>
      <c r="J873" t="str">
        <f t="shared" si="156"/>
        <v>OK</v>
      </c>
      <c r="K873" t="str">
        <f t="shared" si="157"/>
        <v>OK</v>
      </c>
      <c r="L873">
        <f t="shared" si="166"/>
        <v>12</v>
      </c>
      <c r="M873">
        <f t="shared" si="158"/>
        <v>10</v>
      </c>
      <c r="N873" s="9" t="str">
        <f t="shared" si="167"/>
        <v>Valid</v>
      </c>
      <c r="O873" t="str">
        <f t="shared" si="159"/>
        <v>Include</v>
      </c>
      <c r="P873" s="9">
        <f t="shared" si="160"/>
        <v>2035068.5799999984</v>
      </c>
      <c r="Q873" s="15">
        <f t="shared" si="161"/>
        <v>7469725</v>
      </c>
      <c r="R873" s="9">
        <f t="shared" si="162"/>
        <v>21677</v>
      </c>
      <c r="S873" s="9">
        <f t="shared" si="163"/>
        <v>7469725</v>
      </c>
      <c r="T873" s="15">
        <f t="shared" si="164"/>
        <v>16.686436250344954</v>
      </c>
      <c r="U873" s="15">
        <f>IF(O873="Exclude",0,G873*Fuel_Price!$B$2)</f>
        <v>15767.116484000002</v>
      </c>
      <c r="V873" s="15">
        <f t="shared" si="165"/>
        <v>2989922.7577359979</v>
      </c>
    </row>
    <row r="874" spans="1:22">
      <c r="A874" s="1" t="s">
        <v>2188</v>
      </c>
      <c r="B874" s="1" t="s">
        <v>2189</v>
      </c>
      <c r="C874" s="1" t="s">
        <v>2183</v>
      </c>
      <c r="D874" s="1" t="s">
        <v>12</v>
      </c>
      <c r="E874" s="12">
        <v>17870</v>
      </c>
      <c r="F874" s="12" t="s">
        <v>137</v>
      </c>
      <c r="G874" s="6">
        <v>9633.02</v>
      </c>
      <c r="H874" s="1">
        <v>5.24</v>
      </c>
      <c r="J874" t="str">
        <f t="shared" si="156"/>
        <v>OK</v>
      </c>
      <c r="K874" t="str">
        <f t="shared" si="157"/>
        <v>OK</v>
      </c>
      <c r="L874">
        <f t="shared" si="166"/>
        <v>12</v>
      </c>
      <c r="M874">
        <f t="shared" si="158"/>
        <v>10</v>
      </c>
      <c r="N874" s="9" t="str">
        <f t="shared" si="167"/>
        <v>Valid</v>
      </c>
      <c r="O874" t="str">
        <f t="shared" si="159"/>
        <v>Include</v>
      </c>
      <c r="P874" s="9">
        <f t="shared" si="160"/>
        <v>2035068.5799999984</v>
      </c>
      <c r="Q874" s="15">
        <f t="shared" si="161"/>
        <v>7469725</v>
      </c>
      <c r="R874" s="9">
        <f t="shared" si="162"/>
        <v>17870</v>
      </c>
      <c r="S874" s="9">
        <f t="shared" si="163"/>
        <v>7469725</v>
      </c>
      <c r="T874" s="15">
        <f t="shared" si="164"/>
        <v>16.686436250344954</v>
      </c>
      <c r="U874" s="15">
        <f>IF(O874="Exclude",0,G874*Fuel_Price!$B$2)</f>
        <v>14152.832984000001</v>
      </c>
      <c r="V874" s="15">
        <f t="shared" si="165"/>
        <v>2989922.7577359979</v>
      </c>
    </row>
    <row r="875" spans="1:22">
      <c r="A875" s="1" t="s">
        <v>2190</v>
      </c>
      <c r="B875" s="1" t="s">
        <v>2191</v>
      </c>
      <c r="C875" s="1" t="s">
        <v>2192</v>
      </c>
      <c r="D875" s="1" t="s">
        <v>12</v>
      </c>
      <c r="E875" s="12">
        <v>22744</v>
      </c>
      <c r="F875" s="12" t="s">
        <v>137</v>
      </c>
      <c r="G875" s="6">
        <v>12293.85</v>
      </c>
      <c r="H875" s="1">
        <v>5.23</v>
      </c>
      <c r="J875" t="str">
        <f t="shared" si="156"/>
        <v>OK</v>
      </c>
      <c r="K875" t="str">
        <f t="shared" si="157"/>
        <v>OK</v>
      </c>
      <c r="L875">
        <f t="shared" si="166"/>
        <v>12</v>
      </c>
      <c r="M875">
        <f t="shared" si="158"/>
        <v>10</v>
      </c>
      <c r="N875" s="9" t="str">
        <f t="shared" si="167"/>
        <v>Valid</v>
      </c>
      <c r="O875" t="str">
        <f t="shared" si="159"/>
        <v>Include</v>
      </c>
      <c r="P875" s="9">
        <f t="shared" si="160"/>
        <v>2035068.5799999984</v>
      </c>
      <c r="Q875" s="15">
        <f t="shared" si="161"/>
        <v>7469725</v>
      </c>
      <c r="R875" s="9">
        <f t="shared" si="162"/>
        <v>22744</v>
      </c>
      <c r="S875" s="9">
        <f t="shared" si="163"/>
        <v>7469725</v>
      </c>
      <c r="T875" s="15">
        <f t="shared" si="164"/>
        <v>16.686436250344954</v>
      </c>
      <c r="U875" s="15">
        <f>IF(O875="Exclude",0,G875*Fuel_Price!$B$2)</f>
        <v>18062.12442</v>
      </c>
      <c r="V875" s="15">
        <f t="shared" si="165"/>
        <v>2989922.7577359979</v>
      </c>
    </row>
    <row r="876" spans="1:22">
      <c r="A876" s="1" t="s">
        <v>2193</v>
      </c>
      <c r="B876" s="1" t="s">
        <v>2194</v>
      </c>
      <c r="C876" s="1" t="s">
        <v>2195</v>
      </c>
      <c r="D876" s="1" t="s">
        <v>12</v>
      </c>
      <c r="E876" s="12">
        <v>4585</v>
      </c>
      <c r="F876" s="12" t="s">
        <v>137</v>
      </c>
      <c r="G876" s="6">
        <v>1729.41</v>
      </c>
      <c r="H876" s="1">
        <v>7.49</v>
      </c>
      <c r="J876" t="str">
        <f t="shared" si="156"/>
        <v>OK</v>
      </c>
      <c r="K876" t="str">
        <f t="shared" si="157"/>
        <v>OK</v>
      </c>
      <c r="L876">
        <f t="shared" si="166"/>
        <v>12</v>
      </c>
      <c r="M876">
        <f t="shared" si="158"/>
        <v>10</v>
      </c>
      <c r="N876" s="9" t="str">
        <f t="shared" si="167"/>
        <v>Valid</v>
      </c>
      <c r="O876" t="str">
        <f t="shared" si="159"/>
        <v>Include</v>
      </c>
      <c r="P876" s="9">
        <f t="shared" si="160"/>
        <v>2035068.5799999984</v>
      </c>
      <c r="Q876" s="15">
        <f t="shared" si="161"/>
        <v>7469725</v>
      </c>
      <c r="R876" s="9">
        <f t="shared" si="162"/>
        <v>4585</v>
      </c>
      <c r="S876" s="9">
        <f t="shared" si="163"/>
        <v>7469725</v>
      </c>
      <c r="T876" s="15">
        <f t="shared" si="164"/>
        <v>16.686436250344954</v>
      </c>
      <c r="U876" s="15">
        <f>IF(O876="Exclude",0,G876*Fuel_Price!$B$2)</f>
        <v>2540.8491720000002</v>
      </c>
      <c r="V876" s="15">
        <f t="shared" si="165"/>
        <v>2989922.7577359979</v>
      </c>
    </row>
    <row r="877" spans="1:22">
      <c r="A877" s="1" t="s">
        <v>2196</v>
      </c>
      <c r="B877" s="1" t="s">
        <v>2197</v>
      </c>
      <c r="C877" s="1" t="s">
        <v>2195</v>
      </c>
      <c r="D877" s="1" t="s">
        <v>12</v>
      </c>
      <c r="E877" s="12">
        <v>6366</v>
      </c>
      <c r="F877" s="12" t="s">
        <v>137</v>
      </c>
      <c r="G877" s="6">
        <v>1394.66</v>
      </c>
      <c r="H877" s="1">
        <v>12.89</v>
      </c>
      <c r="J877" t="str">
        <f t="shared" si="156"/>
        <v>OK</v>
      </c>
      <c r="K877" t="str">
        <f t="shared" si="157"/>
        <v>OK</v>
      </c>
      <c r="L877">
        <f t="shared" si="166"/>
        <v>12</v>
      </c>
      <c r="M877">
        <f t="shared" si="158"/>
        <v>10</v>
      </c>
      <c r="N877" s="9" t="str">
        <f t="shared" si="167"/>
        <v>Valid</v>
      </c>
      <c r="O877" t="str">
        <f t="shared" si="159"/>
        <v>Include</v>
      </c>
      <c r="P877" s="9">
        <f t="shared" si="160"/>
        <v>2035068.5799999984</v>
      </c>
      <c r="Q877" s="15">
        <f t="shared" si="161"/>
        <v>7469725</v>
      </c>
      <c r="R877" s="9">
        <f t="shared" si="162"/>
        <v>6366</v>
      </c>
      <c r="S877" s="9">
        <f t="shared" si="163"/>
        <v>7469725</v>
      </c>
      <c r="T877" s="15">
        <f t="shared" si="164"/>
        <v>16.686436250344954</v>
      </c>
      <c r="U877" s="15">
        <f>IF(O877="Exclude",0,G877*Fuel_Price!$B$2)</f>
        <v>2049.0344720000003</v>
      </c>
      <c r="V877" s="15">
        <f t="shared" si="165"/>
        <v>2989922.7577359979</v>
      </c>
    </row>
    <row r="878" spans="1:22">
      <c r="A878" s="1" t="s">
        <v>2198</v>
      </c>
      <c r="B878" s="1" t="s">
        <v>2199</v>
      </c>
      <c r="C878" s="1" t="s">
        <v>2195</v>
      </c>
      <c r="D878" s="1" t="s">
        <v>12</v>
      </c>
      <c r="E878" s="12">
        <v>5256</v>
      </c>
      <c r="F878" s="12" t="s">
        <v>137</v>
      </c>
      <c r="G878" s="6">
        <v>2082.21</v>
      </c>
      <c r="H878" s="1">
        <v>7.13</v>
      </c>
      <c r="J878" t="str">
        <f t="shared" si="156"/>
        <v>OK</v>
      </c>
      <c r="K878" t="str">
        <f t="shared" si="157"/>
        <v>OK</v>
      </c>
      <c r="L878">
        <f t="shared" si="166"/>
        <v>12</v>
      </c>
      <c r="M878">
        <f t="shared" si="158"/>
        <v>10</v>
      </c>
      <c r="N878" s="9" t="str">
        <f t="shared" si="167"/>
        <v>Valid</v>
      </c>
      <c r="O878" t="str">
        <f t="shared" si="159"/>
        <v>Include</v>
      </c>
      <c r="P878" s="9">
        <f t="shared" si="160"/>
        <v>2035068.5799999984</v>
      </c>
      <c r="Q878" s="15">
        <f t="shared" si="161"/>
        <v>7469725</v>
      </c>
      <c r="R878" s="9">
        <f t="shared" si="162"/>
        <v>5256</v>
      </c>
      <c r="S878" s="9">
        <f t="shared" si="163"/>
        <v>7469725</v>
      </c>
      <c r="T878" s="15">
        <f t="shared" si="164"/>
        <v>16.686436250344954</v>
      </c>
      <c r="U878" s="15">
        <f>IF(O878="Exclude",0,G878*Fuel_Price!$B$2)</f>
        <v>3059.1829320000002</v>
      </c>
      <c r="V878" s="15">
        <f t="shared" si="165"/>
        <v>2989922.7577359979</v>
      </c>
    </row>
    <row r="879" spans="1:22">
      <c r="A879" s="1" t="s">
        <v>2200</v>
      </c>
      <c r="B879" s="1" t="s">
        <v>2201</v>
      </c>
      <c r="C879" s="1" t="s">
        <v>518</v>
      </c>
      <c r="D879" s="1" t="s">
        <v>12</v>
      </c>
      <c r="E879" s="12">
        <v>7105</v>
      </c>
      <c r="F879" s="12" t="s">
        <v>13</v>
      </c>
      <c r="G879" s="6">
        <v>2995.13</v>
      </c>
      <c r="H879" s="1">
        <v>10.78</v>
      </c>
      <c r="J879" t="str">
        <f t="shared" si="156"/>
        <v>OK</v>
      </c>
      <c r="K879" t="str">
        <f t="shared" si="157"/>
        <v>OK</v>
      </c>
      <c r="L879">
        <f t="shared" si="166"/>
        <v>12</v>
      </c>
      <c r="M879">
        <f t="shared" si="158"/>
        <v>10</v>
      </c>
      <c r="N879" s="9" t="str">
        <f t="shared" si="167"/>
        <v>Valid</v>
      </c>
      <c r="O879" t="str">
        <f t="shared" si="159"/>
        <v>Include</v>
      </c>
      <c r="P879" s="9">
        <f t="shared" si="160"/>
        <v>2035068.5799999984</v>
      </c>
      <c r="Q879" s="15">
        <f t="shared" si="161"/>
        <v>7469725</v>
      </c>
      <c r="R879" s="9">
        <f t="shared" si="162"/>
        <v>7105</v>
      </c>
      <c r="S879" s="9">
        <f t="shared" si="163"/>
        <v>7469725</v>
      </c>
      <c r="T879" s="15">
        <f t="shared" si="164"/>
        <v>16.686436250344954</v>
      </c>
      <c r="U879" s="15">
        <f>IF(O879="Exclude",0,G879*Fuel_Price!$B$2)</f>
        <v>4400.4449960000002</v>
      </c>
      <c r="V879" s="15">
        <f t="shared" si="165"/>
        <v>2989922.7577359979</v>
      </c>
    </row>
    <row r="880" spans="1:22">
      <c r="A880" s="1" t="s">
        <v>2202</v>
      </c>
      <c r="B880" s="1" t="s">
        <v>2203</v>
      </c>
      <c r="C880" s="1" t="s">
        <v>2195</v>
      </c>
      <c r="D880" s="1" t="s">
        <v>12</v>
      </c>
      <c r="E880" s="12">
        <v>7246</v>
      </c>
      <c r="F880" s="12" t="s">
        <v>137</v>
      </c>
      <c r="G880" s="6">
        <v>2501.44</v>
      </c>
      <c r="H880" s="1">
        <v>8.18</v>
      </c>
      <c r="J880" t="str">
        <f t="shared" si="156"/>
        <v>OK</v>
      </c>
      <c r="K880" t="str">
        <f t="shared" si="157"/>
        <v>OK</v>
      </c>
      <c r="L880">
        <f t="shared" si="166"/>
        <v>12</v>
      </c>
      <c r="M880">
        <f t="shared" si="158"/>
        <v>10</v>
      </c>
      <c r="N880" s="9" t="str">
        <f t="shared" si="167"/>
        <v>Valid</v>
      </c>
      <c r="O880" t="str">
        <f t="shared" si="159"/>
        <v>Include</v>
      </c>
      <c r="P880" s="9">
        <f t="shared" si="160"/>
        <v>2035068.5799999984</v>
      </c>
      <c r="Q880" s="15">
        <f t="shared" si="161"/>
        <v>7469725</v>
      </c>
      <c r="R880" s="9">
        <f t="shared" si="162"/>
        <v>7246</v>
      </c>
      <c r="S880" s="9">
        <f t="shared" si="163"/>
        <v>7469725</v>
      </c>
      <c r="T880" s="15">
        <f t="shared" si="164"/>
        <v>16.686436250344954</v>
      </c>
      <c r="U880" s="15">
        <f>IF(O880="Exclude",0,G880*Fuel_Price!$B$2)</f>
        <v>3675.1156480000004</v>
      </c>
      <c r="V880" s="15">
        <f t="shared" si="165"/>
        <v>2989922.7577359979</v>
      </c>
    </row>
    <row r="881" spans="1:22">
      <c r="A881" s="1" t="s">
        <v>2204</v>
      </c>
      <c r="B881" s="1" t="s">
        <v>2205</v>
      </c>
      <c r="C881" s="1" t="s">
        <v>2195</v>
      </c>
      <c r="D881" s="1" t="s">
        <v>12</v>
      </c>
      <c r="E881" s="12">
        <v>9689</v>
      </c>
      <c r="F881" s="12" t="s">
        <v>137</v>
      </c>
      <c r="G881" s="6">
        <v>4195.8999999999996</v>
      </c>
      <c r="H881" s="1">
        <v>6.52</v>
      </c>
      <c r="J881" t="str">
        <f t="shared" si="156"/>
        <v>OK</v>
      </c>
      <c r="K881" t="str">
        <f t="shared" si="157"/>
        <v>OK</v>
      </c>
      <c r="L881">
        <f t="shared" si="166"/>
        <v>12</v>
      </c>
      <c r="M881">
        <f t="shared" si="158"/>
        <v>10</v>
      </c>
      <c r="N881" s="9" t="str">
        <f t="shared" si="167"/>
        <v>Valid</v>
      </c>
      <c r="O881" t="str">
        <f t="shared" si="159"/>
        <v>Include</v>
      </c>
      <c r="P881" s="9">
        <f t="shared" si="160"/>
        <v>2035068.5799999984</v>
      </c>
      <c r="Q881" s="15">
        <f t="shared" si="161"/>
        <v>7469725</v>
      </c>
      <c r="R881" s="9">
        <f t="shared" si="162"/>
        <v>9689</v>
      </c>
      <c r="S881" s="9">
        <f t="shared" si="163"/>
        <v>7469725</v>
      </c>
      <c r="T881" s="15">
        <f t="shared" si="164"/>
        <v>16.686436250344954</v>
      </c>
      <c r="U881" s="15">
        <f>IF(O881="Exclude",0,G881*Fuel_Price!$B$2)</f>
        <v>6164.6162799999993</v>
      </c>
      <c r="V881" s="15">
        <f t="shared" si="165"/>
        <v>2989922.7577359979</v>
      </c>
    </row>
    <row r="882" spans="1:22">
      <c r="A882" s="1" t="s">
        <v>2206</v>
      </c>
      <c r="B882" s="1" t="s">
        <v>2207</v>
      </c>
      <c r="C882" s="1" t="s">
        <v>2195</v>
      </c>
      <c r="D882" s="1" t="s">
        <v>12</v>
      </c>
      <c r="E882" s="12">
        <v>9848</v>
      </c>
      <c r="F882" s="12" t="s">
        <v>137</v>
      </c>
      <c r="G882" s="6">
        <v>4097.28</v>
      </c>
      <c r="H882" s="1">
        <v>6.79</v>
      </c>
      <c r="J882" t="str">
        <f t="shared" si="156"/>
        <v>OK</v>
      </c>
      <c r="K882" t="str">
        <f t="shared" si="157"/>
        <v>OK</v>
      </c>
      <c r="L882">
        <f t="shared" si="166"/>
        <v>12</v>
      </c>
      <c r="M882">
        <f t="shared" si="158"/>
        <v>10</v>
      </c>
      <c r="N882" s="9" t="str">
        <f t="shared" si="167"/>
        <v>Valid</v>
      </c>
      <c r="O882" t="str">
        <f t="shared" si="159"/>
        <v>Include</v>
      </c>
      <c r="P882" s="9">
        <f t="shared" si="160"/>
        <v>2035068.5799999984</v>
      </c>
      <c r="Q882" s="15">
        <f t="shared" si="161"/>
        <v>7469725</v>
      </c>
      <c r="R882" s="9">
        <f t="shared" si="162"/>
        <v>9848</v>
      </c>
      <c r="S882" s="9">
        <f t="shared" si="163"/>
        <v>7469725</v>
      </c>
      <c r="T882" s="15">
        <f t="shared" si="164"/>
        <v>16.686436250344954</v>
      </c>
      <c r="U882" s="15">
        <f>IF(O882="Exclude",0,G882*Fuel_Price!$B$2)</f>
        <v>6019.7237759999998</v>
      </c>
      <c r="V882" s="15">
        <f t="shared" si="165"/>
        <v>2989922.7577359979</v>
      </c>
    </row>
    <row r="883" spans="1:22">
      <c r="A883" s="1" t="s">
        <v>2208</v>
      </c>
      <c r="B883" s="1" t="s">
        <v>2209</v>
      </c>
      <c r="C883" s="1" t="s">
        <v>2195</v>
      </c>
      <c r="D883" s="1" t="s">
        <v>12</v>
      </c>
      <c r="E883" s="12">
        <v>6649</v>
      </c>
      <c r="F883" s="12" t="s">
        <v>137</v>
      </c>
      <c r="G883" s="6">
        <v>1575.79</v>
      </c>
      <c r="H883" s="1">
        <v>11.92</v>
      </c>
      <c r="J883" t="str">
        <f t="shared" si="156"/>
        <v>OK</v>
      </c>
      <c r="K883" t="str">
        <f t="shared" si="157"/>
        <v>OK</v>
      </c>
      <c r="L883">
        <f t="shared" si="166"/>
        <v>12</v>
      </c>
      <c r="M883">
        <f t="shared" si="158"/>
        <v>10</v>
      </c>
      <c r="N883" s="9" t="str">
        <f t="shared" si="167"/>
        <v>Valid</v>
      </c>
      <c r="O883" t="str">
        <f t="shared" si="159"/>
        <v>Include</v>
      </c>
      <c r="P883" s="9">
        <f t="shared" si="160"/>
        <v>2035068.5799999984</v>
      </c>
      <c r="Q883" s="15">
        <f t="shared" si="161"/>
        <v>7469725</v>
      </c>
      <c r="R883" s="9">
        <f t="shared" si="162"/>
        <v>6649</v>
      </c>
      <c r="S883" s="9">
        <f t="shared" si="163"/>
        <v>7469725</v>
      </c>
      <c r="T883" s="15">
        <f t="shared" si="164"/>
        <v>16.686436250344954</v>
      </c>
      <c r="U883" s="15">
        <f>IF(O883="Exclude",0,G883*Fuel_Price!$B$2)</f>
        <v>2315.1506680000002</v>
      </c>
      <c r="V883" s="15">
        <f t="shared" si="165"/>
        <v>2989922.7577359979</v>
      </c>
    </row>
    <row r="884" spans="1:22">
      <c r="A884" s="1" t="s">
        <v>2210</v>
      </c>
      <c r="B884" s="1" t="s">
        <v>2211</v>
      </c>
      <c r="C884" s="1" t="s">
        <v>2212</v>
      </c>
      <c r="D884" s="1" t="s">
        <v>12</v>
      </c>
      <c r="E884" s="12">
        <v>9125</v>
      </c>
      <c r="F884" s="12" t="s">
        <v>137</v>
      </c>
      <c r="G884" s="6">
        <v>3552.36</v>
      </c>
      <c r="H884" s="1">
        <v>7.26</v>
      </c>
      <c r="J884" t="str">
        <f t="shared" si="156"/>
        <v>OK</v>
      </c>
      <c r="K884" t="str">
        <f t="shared" si="157"/>
        <v>OK</v>
      </c>
      <c r="L884">
        <f t="shared" si="166"/>
        <v>12</v>
      </c>
      <c r="M884">
        <f t="shared" si="158"/>
        <v>10</v>
      </c>
      <c r="N884" s="9" t="str">
        <f t="shared" si="167"/>
        <v>Valid</v>
      </c>
      <c r="O884" t="str">
        <f t="shared" si="159"/>
        <v>Include</v>
      </c>
      <c r="P884" s="9">
        <f t="shared" si="160"/>
        <v>2035068.5799999984</v>
      </c>
      <c r="Q884" s="15">
        <f t="shared" si="161"/>
        <v>7469725</v>
      </c>
      <c r="R884" s="9">
        <f t="shared" si="162"/>
        <v>9125</v>
      </c>
      <c r="S884" s="9">
        <f t="shared" si="163"/>
        <v>7469725</v>
      </c>
      <c r="T884" s="15">
        <f t="shared" si="164"/>
        <v>16.686436250344954</v>
      </c>
      <c r="U884" s="15">
        <f>IF(O884="Exclude",0,G884*Fuel_Price!$B$2)</f>
        <v>5219.1273120000005</v>
      </c>
      <c r="V884" s="15">
        <f t="shared" si="165"/>
        <v>2989922.7577359979</v>
      </c>
    </row>
    <row r="885" spans="1:22">
      <c r="A885" s="1" t="s">
        <v>2213</v>
      </c>
      <c r="B885" s="1" t="s">
        <v>2214</v>
      </c>
      <c r="C885" s="1" t="s">
        <v>2212</v>
      </c>
      <c r="D885" s="1" t="s">
        <v>12</v>
      </c>
      <c r="E885" s="12">
        <v>5370</v>
      </c>
      <c r="F885" s="12" t="s">
        <v>137</v>
      </c>
      <c r="G885" s="6">
        <v>2226.2199999999998</v>
      </c>
      <c r="H885" s="1">
        <v>6.81</v>
      </c>
      <c r="J885" t="str">
        <f t="shared" si="156"/>
        <v>OK</v>
      </c>
      <c r="K885" t="str">
        <f t="shared" si="157"/>
        <v>OK</v>
      </c>
      <c r="L885">
        <f t="shared" si="166"/>
        <v>12</v>
      </c>
      <c r="M885">
        <f t="shared" si="158"/>
        <v>10</v>
      </c>
      <c r="N885" s="9" t="str">
        <f t="shared" si="167"/>
        <v>Valid</v>
      </c>
      <c r="O885" t="str">
        <f t="shared" si="159"/>
        <v>Include</v>
      </c>
      <c r="P885" s="9">
        <f t="shared" si="160"/>
        <v>2035068.5799999984</v>
      </c>
      <c r="Q885" s="15">
        <f t="shared" si="161"/>
        <v>7469725</v>
      </c>
      <c r="R885" s="9">
        <f t="shared" si="162"/>
        <v>5370</v>
      </c>
      <c r="S885" s="9">
        <f t="shared" si="163"/>
        <v>7469725</v>
      </c>
      <c r="T885" s="15">
        <f t="shared" si="164"/>
        <v>16.686436250344954</v>
      </c>
      <c r="U885" s="15">
        <f>IF(O885="Exclude",0,G885*Fuel_Price!$B$2)</f>
        <v>3270.762424</v>
      </c>
      <c r="V885" s="15">
        <f t="shared" si="165"/>
        <v>2989922.7577359979</v>
      </c>
    </row>
    <row r="886" spans="1:22">
      <c r="A886" s="1" t="s">
        <v>2215</v>
      </c>
      <c r="B886" s="1" t="s">
        <v>2216</v>
      </c>
      <c r="C886" s="1" t="s">
        <v>2217</v>
      </c>
      <c r="D886" s="1" t="s">
        <v>12</v>
      </c>
      <c r="E886" s="12">
        <v>9741</v>
      </c>
      <c r="F886" s="12" t="s">
        <v>137</v>
      </c>
      <c r="G886" s="6">
        <v>3872.53</v>
      </c>
      <c r="H886" s="1">
        <v>7.11</v>
      </c>
      <c r="J886" t="str">
        <f t="shared" si="156"/>
        <v>OK</v>
      </c>
      <c r="K886" t="str">
        <f t="shared" si="157"/>
        <v>OK</v>
      </c>
      <c r="L886">
        <f t="shared" si="166"/>
        <v>12</v>
      </c>
      <c r="M886">
        <f t="shared" si="158"/>
        <v>10</v>
      </c>
      <c r="N886" s="9" t="str">
        <f t="shared" si="167"/>
        <v>Valid</v>
      </c>
      <c r="O886" t="str">
        <f t="shared" si="159"/>
        <v>Include</v>
      </c>
      <c r="P886" s="9">
        <f t="shared" si="160"/>
        <v>2035068.5799999984</v>
      </c>
      <c r="Q886" s="15">
        <f t="shared" si="161"/>
        <v>7469725</v>
      </c>
      <c r="R886" s="9">
        <f t="shared" si="162"/>
        <v>9741</v>
      </c>
      <c r="S886" s="9">
        <f t="shared" si="163"/>
        <v>7469725</v>
      </c>
      <c r="T886" s="15">
        <f t="shared" si="164"/>
        <v>16.686436250344954</v>
      </c>
      <c r="U886" s="15">
        <f>IF(O886="Exclude",0,G886*Fuel_Price!$B$2)</f>
        <v>5689.5210760000009</v>
      </c>
      <c r="V886" s="15">
        <f t="shared" si="165"/>
        <v>2989922.7577359979</v>
      </c>
    </row>
    <row r="887" spans="1:22">
      <c r="A887" s="1" t="s">
        <v>2218</v>
      </c>
      <c r="B887" s="1" t="s">
        <v>2219</v>
      </c>
      <c r="C887" s="1" t="s">
        <v>2220</v>
      </c>
      <c r="D887" s="1" t="s">
        <v>12</v>
      </c>
      <c r="E887" s="12">
        <v>6825</v>
      </c>
      <c r="F887" s="12" t="s">
        <v>137</v>
      </c>
      <c r="G887" s="6">
        <v>2284.44</v>
      </c>
      <c r="H887" s="1">
        <v>8.44</v>
      </c>
      <c r="J887" t="str">
        <f t="shared" si="156"/>
        <v>OK</v>
      </c>
      <c r="K887" t="str">
        <f t="shared" si="157"/>
        <v>OK</v>
      </c>
      <c r="L887">
        <f t="shared" si="166"/>
        <v>12</v>
      </c>
      <c r="M887">
        <f t="shared" si="158"/>
        <v>10</v>
      </c>
      <c r="N887" s="9" t="str">
        <f t="shared" si="167"/>
        <v>Valid</v>
      </c>
      <c r="O887" t="str">
        <f t="shared" si="159"/>
        <v>Include</v>
      </c>
      <c r="P887" s="9">
        <f t="shared" si="160"/>
        <v>2035068.5799999984</v>
      </c>
      <c r="Q887" s="15">
        <f t="shared" si="161"/>
        <v>7469725</v>
      </c>
      <c r="R887" s="9">
        <f t="shared" si="162"/>
        <v>6825</v>
      </c>
      <c r="S887" s="9">
        <f t="shared" si="163"/>
        <v>7469725</v>
      </c>
      <c r="T887" s="15">
        <f t="shared" si="164"/>
        <v>16.686436250344954</v>
      </c>
      <c r="U887" s="15">
        <f>IF(O887="Exclude",0,G887*Fuel_Price!$B$2)</f>
        <v>3356.2992480000003</v>
      </c>
      <c r="V887" s="15">
        <f t="shared" si="165"/>
        <v>2989922.7577359979</v>
      </c>
    </row>
    <row r="888" spans="1:22">
      <c r="A888" s="1" t="s">
        <v>2221</v>
      </c>
      <c r="B888" s="1" t="s">
        <v>2222</v>
      </c>
      <c r="C888" s="1" t="s">
        <v>2223</v>
      </c>
      <c r="D888" s="1" t="s">
        <v>12</v>
      </c>
      <c r="E888" s="12">
        <v>8703</v>
      </c>
      <c r="F888" s="12" t="s">
        <v>137</v>
      </c>
      <c r="G888" s="6">
        <v>3643.3</v>
      </c>
      <c r="H888" s="1">
        <v>6.75</v>
      </c>
      <c r="J888" t="str">
        <f t="shared" si="156"/>
        <v>OK</v>
      </c>
      <c r="K888" t="str">
        <f t="shared" si="157"/>
        <v>OK</v>
      </c>
      <c r="L888">
        <f t="shared" si="166"/>
        <v>12</v>
      </c>
      <c r="M888">
        <f t="shared" si="158"/>
        <v>10</v>
      </c>
      <c r="N888" s="9" t="str">
        <f t="shared" si="167"/>
        <v>Valid</v>
      </c>
      <c r="O888" t="str">
        <f t="shared" si="159"/>
        <v>Include</v>
      </c>
      <c r="P888" s="9">
        <f t="shared" si="160"/>
        <v>2035068.5799999984</v>
      </c>
      <c r="Q888" s="15">
        <f t="shared" si="161"/>
        <v>7469725</v>
      </c>
      <c r="R888" s="9">
        <f t="shared" si="162"/>
        <v>8703</v>
      </c>
      <c r="S888" s="9">
        <f t="shared" si="163"/>
        <v>7469725</v>
      </c>
      <c r="T888" s="15">
        <f t="shared" si="164"/>
        <v>16.686436250344954</v>
      </c>
      <c r="U888" s="15">
        <f>IF(O888="Exclude",0,G888*Fuel_Price!$B$2)</f>
        <v>5352.7363600000008</v>
      </c>
      <c r="V888" s="15">
        <f t="shared" si="165"/>
        <v>2989922.7577359979</v>
      </c>
    </row>
    <row r="889" spans="1:22">
      <c r="A889" s="1" t="s">
        <v>2224</v>
      </c>
      <c r="B889" s="1" t="s">
        <v>2225</v>
      </c>
      <c r="C889" s="1" t="s">
        <v>2226</v>
      </c>
      <c r="D889" s="1" t="s">
        <v>12</v>
      </c>
      <c r="E889" s="12">
        <v>4180</v>
      </c>
      <c r="F889" s="12" t="s">
        <v>13</v>
      </c>
      <c r="G889" s="6">
        <v>3150.8</v>
      </c>
      <c r="H889" s="1">
        <v>6.03</v>
      </c>
      <c r="J889" t="str">
        <f t="shared" si="156"/>
        <v>OK</v>
      </c>
      <c r="K889" t="str">
        <f t="shared" si="157"/>
        <v>OK</v>
      </c>
      <c r="L889">
        <f t="shared" si="166"/>
        <v>12</v>
      </c>
      <c r="M889">
        <f t="shared" si="158"/>
        <v>10</v>
      </c>
      <c r="N889" s="9" t="str">
        <f t="shared" si="167"/>
        <v>Valid</v>
      </c>
      <c r="O889" t="str">
        <f t="shared" si="159"/>
        <v>Include</v>
      </c>
      <c r="P889" s="9">
        <f t="shared" si="160"/>
        <v>2035068.5799999984</v>
      </c>
      <c r="Q889" s="15">
        <f t="shared" si="161"/>
        <v>7469725</v>
      </c>
      <c r="R889" s="9">
        <f t="shared" si="162"/>
        <v>4180</v>
      </c>
      <c r="S889" s="9">
        <f t="shared" si="163"/>
        <v>7469725</v>
      </c>
      <c r="T889" s="15">
        <f t="shared" si="164"/>
        <v>16.686436250344954</v>
      </c>
      <c r="U889" s="15">
        <f>IF(O889="Exclude",0,G889*Fuel_Price!$B$2)</f>
        <v>4629.1553600000007</v>
      </c>
      <c r="V889" s="15">
        <f t="shared" si="165"/>
        <v>2989922.7577359979</v>
      </c>
    </row>
    <row r="890" spans="1:22">
      <c r="A890" s="1" t="s">
        <v>2227</v>
      </c>
      <c r="B890" s="1" t="s">
        <v>2228</v>
      </c>
      <c r="C890" s="1" t="s">
        <v>2226</v>
      </c>
      <c r="D890" s="1" t="s">
        <v>12</v>
      </c>
      <c r="E890" s="12">
        <v>2789</v>
      </c>
      <c r="F890" s="12" t="s">
        <v>13</v>
      </c>
      <c r="G890" s="6">
        <v>1638.72</v>
      </c>
      <c r="H890" s="1">
        <v>7.74</v>
      </c>
      <c r="J890" t="str">
        <f t="shared" si="156"/>
        <v>OK</v>
      </c>
      <c r="K890" t="str">
        <f t="shared" si="157"/>
        <v>OK</v>
      </c>
      <c r="L890">
        <f t="shared" si="166"/>
        <v>12</v>
      </c>
      <c r="M890">
        <f t="shared" si="158"/>
        <v>10</v>
      </c>
      <c r="N890" s="9" t="str">
        <f t="shared" si="167"/>
        <v>Valid</v>
      </c>
      <c r="O890" t="str">
        <f t="shared" si="159"/>
        <v>Include</v>
      </c>
      <c r="P890" s="9">
        <f t="shared" si="160"/>
        <v>2035068.5799999984</v>
      </c>
      <c r="Q890" s="15">
        <f t="shared" si="161"/>
        <v>7469725</v>
      </c>
      <c r="R890" s="9">
        <f t="shared" si="162"/>
        <v>2789</v>
      </c>
      <c r="S890" s="9">
        <f t="shared" si="163"/>
        <v>7469725</v>
      </c>
      <c r="T890" s="15">
        <f t="shared" si="164"/>
        <v>16.686436250344954</v>
      </c>
      <c r="U890" s="15">
        <f>IF(O890="Exclude",0,G890*Fuel_Price!$B$2)</f>
        <v>2407.6074240000003</v>
      </c>
      <c r="V890" s="15">
        <f t="shared" si="165"/>
        <v>2989922.7577359979</v>
      </c>
    </row>
    <row r="891" spans="1:22">
      <c r="A891" s="1" t="s">
        <v>2229</v>
      </c>
      <c r="B891" s="1" t="s">
        <v>2230</v>
      </c>
      <c r="C891" s="1" t="s">
        <v>2226</v>
      </c>
      <c r="D891" s="1" t="s">
        <v>12</v>
      </c>
      <c r="E891" s="12">
        <v>6616</v>
      </c>
      <c r="F891" s="12" t="s">
        <v>13</v>
      </c>
      <c r="G891" s="6">
        <v>3393.94</v>
      </c>
      <c r="H891" s="1">
        <v>8.86</v>
      </c>
      <c r="J891" t="str">
        <f t="shared" si="156"/>
        <v>OK</v>
      </c>
      <c r="K891" t="str">
        <f t="shared" si="157"/>
        <v>OK</v>
      </c>
      <c r="L891">
        <f t="shared" si="166"/>
        <v>12</v>
      </c>
      <c r="M891">
        <f t="shared" si="158"/>
        <v>10</v>
      </c>
      <c r="N891" s="9" t="str">
        <f t="shared" si="167"/>
        <v>Valid</v>
      </c>
      <c r="O891" t="str">
        <f t="shared" si="159"/>
        <v>Include</v>
      </c>
      <c r="P891" s="9">
        <f t="shared" si="160"/>
        <v>2035068.5799999984</v>
      </c>
      <c r="Q891" s="15">
        <f t="shared" si="161"/>
        <v>7469725</v>
      </c>
      <c r="R891" s="9">
        <f t="shared" si="162"/>
        <v>6616</v>
      </c>
      <c r="S891" s="9">
        <f t="shared" si="163"/>
        <v>7469725</v>
      </c>
      <c r="T891" s="15">
        <f t="shared" si="164"/>
        <v>16.686436250344954</v>
      </c>
      <c r="U891" s="15">
        <f>IF(O891="Exclude",0,G891*Fuel_Price!$B$2)</f>
        <v>4986.3766480000004</v>
      </c>
      <c r="V891" s="15">
        <f t="shared" si="165"/>
        <v>2989922.7577359979</v>
      </c>
    </row>
    <row r="892" spans="1:22">
      <c r="A892" s="1" t="s">
        <v>2231</v>
      </c>
      <c r="B892" s="1" t="s">
        <v>2232</v>
      </c>
      <c r="C892" s="1" t="s">
        <v>2226</v>
      </c>
      <c r="D892" s="1" t="s">
        <v>12</v>
      </c>
      <c r="E892" s="12">
        <v>4812</v>
      </c>
      <c r="F892" s="12" t="s">
        <v>13</v>
      </c>
      <c r="G892" s="6">
        <v>2130.94</v>
      </c>
      <c r="H892" s="1">
        <v>10.27</v>
      </c>
      <c r="J892" t="str">
        <f t="shared" si="156"/>
        <v>OK</v>
      </c>
      <c r="K892" t="str">
        <f t="shared" si="157"/>
        <v>OK</v>
      </c>
      <c r="L892">
        <f t="shared" si="166"/>
        <v>12</v>
      </c>
      <c r="M892">
        <f t="shared" si="158"/>
        <v>10</v>
      </c>
      <c r="N892" s="9" t="str">
        <f t="shared" si="167"/>
        <v>Valid</v>
      </c>
      <c r="O892" t="str">
        <f t="shared" si="159"/>
        <v>Include</v>
      </c>
      <c r="P892" s="9">
        <f t="shared" si="160"/>
        <v>2035068.5799999984</v>
      </c>
      <c r="Q892" s="15">
        <f t="shared" si="161"/>
        <v>7469725</v>
      </c>
      <c r="R892" s="9">
        <f t="shared" si="162"/>
        <v>4812</v>
      </c>
      <c r="S892" s="9">
        <f t="shared" si="163"/>
        <v>7469725</v>
      </c>
      <c r="T892" s="15">
        <f t="shared" si="164"/>
        <v>16.686436250344954</v>
      </c>
      <c r="U892" s="15">
        <f>IF(O892="Exclude",0,G892*Fuel_Price!$B$2)</f>
        <v>3130.7770480000004</v>
      </c>
      <c r="V892" s="15">
        <f t="shared" si="165"/>
        <v>2989922.7577359979</v>
      </c>
    </row>
    <row r="893" spans="1:22">
      <c r="A893" s="1" t="s">
        <v>2233</v>
      </c>
      <c r="B893" s="1" t="s">
        <v>2234</v>
      </c>
      <c r="C893" s="1" t="s">
        <v>2226</v>
      </c>
      <c r="D893" s="1" t="s">
        <v>12</v>
      </c>
      <c r="E893" s="12">
        <v>1229</v>
      </c>
      <c r="F893" s="12" t="s">
        <v>13</v>
      </c>
      <c r="G893" s="6">
        <v>1225.25</v>
      </c>
      <c r="H893" s="1">
        <v>4.5599999999999996</v>
      </c>
      <c r="J893" t="str">
        <f t="shared" si="156"/>
        <v>OK</v>
      </c>
      <c r="K893" t="str">
        <f t="shared" si="157"/>
        <v>OK</v>
      </c>
      <c r="L893">
        <f t="shared" si="166"/>
        <v>12</v>
      </c>
      <c r="M893">
        <f t="shared" si="158"/>
        <v>10</v>
      </c>
      <c r="N893" s="9" t="str">
        <f t="shared" si="167"/>
        <v>Valid</v>
      </c>
      <c r="O893" t="str">
        <f t="shared" si="159"/>
        <v>Include</v>
      </c>
      <c r="P893" s="9">
        <f t="shared" si="160"/>
        <v>2035068.5799999984</v>
      </c>
      <c r="Q893" s="15">
        <f t="shared" si="161"/>
        <v>7469725</v>
      </c>
      <c r="R893" s="9">
        <f t="shared" si="162"/>
        <v>1229</v>
      </c>
      <c r="S893" s="9">
        <f t="shared" si="163"/>
        <v>7469725</v>
      </c>
      <c r="T893" s="15">
        <f t="shared" si="164"/>
        <v>16.686436250344954</v>
      </c>
      <c r="U893" s="15">
        <f>IF(O893="Exclude",0,G893*Fuel_Price!$B$2)</f>
        <v>1800.1373000000001</v>
      </c>
      <c r="V893" s="15">
        <f t="shared" si="165"/>
        <v>2989922.7577359979</v>
      </c>
    </row>
    <row r="894" spans="1:22">
      <c r="A894" s="1" t="s">
        <v>2235</v>
      </c>
      <c r="B894" s="1" t="s">
        <v>2236</v>
      </c>
      <c r="C894" s="1" t="s">
        <v>1958</v>
      </c>
      <c r="D894" s="1" t="s">
        <v>12</v>
      </c>
      <c r="E894" s="12">
        <v>4120</v>
      </c>
      <c r="F894" s="12" t="s">
        <v>137</v>
      </c>
      <c r="G894" s="6">
        <v>1452.57</v>
      </c>
      <c r="H894" s="1">
        <v>8.01</v>
      </c>
      <c r="J894" t="str">
        <f t="shared" si="156"/>
        <v>OK</v>
      </c>
      <c r="K894" t="str">
        <f t="shared" si="157"/>
        <v>OK</v>
      </c>
      <c r="L894">
        <f t="shared" si="166"/>
        <v>12</v>
      </c>
      <c r="M894">
        <f t="shared" si="158"/>
        <v>10</v>
      </c>
      <c r="N894" s="9" t="str">
        <f t="shared" si="167"/>
        <v>Valid</v>
      </c>
      <c r="O894" t="str">
        <f t="shared" si="159"/>
        <v>Include</v>
      </c>
      <c r="P894" s="9">
        <f t="shared" si="160"/>
        <v>2035068.5799999984</v>
      </c>
      <c r="Q894" s="15">
        <f t="shared" si="161"/>
        <v>7469725</v>
      </c>
      <c r="R894" s="9">
        <f t="shared" si="162"/>
        <v>4120</v>
      </c>
      <c r="S894" s="9">
        <f t="shared" si="163"/>
        <v>7469725</v>
      </c>
      <c r="T894" s="15">
        <f t="shared" si="164"/>
        <v>16.686436250344954</v>
      </c>
      <c r="U894" s="15">
        <f>IF(O894="Exclude",0,G894*Fuel_Price!$B$2)</f>
        <v>2134.1158439999999</v>
      </c>
      <c r="V894" s="15">
        <f t="shared" si="165"/>
        <v>2989922.7577359979</v>
      </c>
    </row>
    <row r="895" spans="1:22">
      <c r="A895" s="1" t="s">
        <v>2237</v>
      </c>
      <c r="B895" s="1" t="s">
        <v>2238</v>
      </c>
      <c r="C895" s="1" t="s">
        <v>1958</v>
      </c>
      <c r="D895" s="1" t="s">
        <v>12</v>
      </c>
      <c r="E895" s="12">
        <v>3666</v>
      </c>
      <c r="F895" s="12" t="s">
        <v>137</v>
      </c>
      <c r="G895" s="6">
        <v>2208.3000000000002</v>
      </c>
      <c r="H895" s="1">
        <v>4.6900000000000004</v>
      </c>
      <c r="J895" t="str">
        <f t="shared" si="156"/>
        <v>OK</v>
      </c>
      <c r="K895" t="str">
        <f t="shared" si="157"/>
        <v>OK</v>
      </c>
      <c r="L895">
        <f t="shared" si="166"/>
        <v>12</v>
      </c>
      <c r="M895">
        <f t="shared" si="158"/>
        <v>10</v>
      </c>
      <c r="N895" s="9" t="str">
        <f t="shared" si="167"/>
        <v>Valid</v>
      </c>
      <c r="O895" t="str">
        <f t="shared" si="159"/>
        <v>Include</v>
      </c>
      <c r="P895" s="9">
        <f t="shared" si="160"/>
        <v>2035068.5799999984</v>
      </c>
      <c r="Q895" s="15">
        <f t="shared" si="161"/>
        <v>7469725</v>
      </c>
      <c r="R895" s="9">
        <f t="shared" si="162"/>
        <v>3666</v>
      </c>
      <c r="S895" s="9">
        <f t="shared" si="163"/>
        <v>7469725</v>
      </c>
      <c r="T895" s="15">
        <f t="shared" si="164"/>
        <v>16.686436250344954</v>
      </c>
      <c r="U895" s="15">
        <f>IF(O895="Exclude",0,G895*Fuel_Price!$B$2)</f>
        <v>3244.4343600000002</v>
      </c>
      <c r="V895" s="15">
        <f t="shared" si="165"/>
        <v>2989922.7577359979</v>
      </c>
    </row>
    <row r="896" spans="1:22">
      <c r="A896" s="1" t="s">
        <v>2239</v>
      </c>
      <c r="B896" s="1" t="s">
        <v>2240</v>
      </c>
      <c r="C896" s="1" t="s">
        <v>1958</v>
      </c>
      <c r="D896" s="1" t="s">
        <v>12</v>
      </c>
      <c r="E896" s="12">
        <v>1792</v>
      </c>
      <c r="F896" s="12" t="s">
        <v>137</v>
      </c>
      <c r="G896" s="6">
        <v>1179.77</v>
      </c>
      <c r="H896" s="1">
        <v>4.29</v>
      </c>
      <c r="J896" t="str">
        <f t="shared" si="156"/>
        <v>OK</v>
      </c>
      <c r="K896" t="str">
        <f t="shared" si="157"/>
        <v>OK</v>
      </c>
      <c r="L896">
        <f t="shared" si="166"/>
        <v>12</v>
      </c>
      <c r="M896">
        <f t="shared" si="158"/>
        <v>10</v>
      </c>
      <c r="N896" s="9" t="str">
        <f t="shared" si="167"/>
        <v>Valid</v>
      </c>
      <c r="O896" t="str">
        <f t="shared" si="159"/>
        <v>Include</v>
      </c>
      <c r="P896" s="9">
        <f t="shared" si="160"/>
        <v>2035068.5799999984</v>
      </c>
      <c r="Q896" s="15">
        <f t="shared" si="161"/>
        <v>7469725</v>
      </c>
      <c r="R896" s="9">
        <f t="shared" si="162"/>
        <v>1792</v>
      </c>
      <c r="S896" s="9">
        <f t="shared" si="163"/>
        <v>7469725</v>
      </c>
      <c r="T896" s="15">
        <f t="shared" si="164"/>
        <v>16.686436250344954</v>
      </c>
      <c r="U896" s="15">
        <f>IF(O896="Exclude",0,G896*Fuel_Price!$B$2)</f>
        <v>1733.318084</v>
      </c>
      <c r="V896" s="15">
        <f t="shared" si="165"/>
        <v>2989922.7577359979</v>
      </c>
    </row>
    <row r="897" spans="1:22">
      <c r="A897" s="1" t="s">
        <v>2241</v>
      </c>
      <c r="B897" s="1" t="s">
        <v>2242</v>
      </c>
      <c r="C897" s="1" t="s">
        <v>1958</v>
      </c>
      <c r="D897" s="1" t="s">
        <v>12</v>
      </c>
      <c r="E897" s="12">
        <v>5992</v>
      </c>
      <c r="F897" s="12" t="s">
        <v>137</v>
      </c>
      <c r="G897" s="6">
        <v>2062.89</v>
      </c>
      <c r="H897" s="1">
        <v>8.1999999999999993</v>
      </c>
      <c r="J897" t="str">
        <f t="shared" si="156"/>
        <v>OK</v>
      </c>
      <c r="K897" t="str">
        <f t="shared" si="157"/>
        <v>OK</v>
      </c>
      <c r="L897">
        <f t="shared" si="166"/>
        <v>12</v>
      </c>
      <c r="M897">
        <f t="shared" si="158"/>
        <v>10</v>
      </c>
      <c r="N897" s="9" t="str">
        <f t="shared" si="167"/>
        <v>Valid</v>
      </c>
      <c r="O897" t="str">
        <f t="shared" si="159"/>
        <v>Include</v>
      </c>
      <c r="P897" s="9">
        <f t="shared" si="160"/>
        <v>2035068.5799999984</v>
      </c>
      <c r="Q897" s="15">
        <f t="shared" si="161"/>
        <v>7469725</v>
      </c>
      <c r="R897" s="9">
        <f t="shared" si="162"/>
        <v>5992</v>
      </c>
      <c r="S897" s="9">
        <f t="shared" si="163"/>
        <v>7469725</v>
      </c>
      <c r="T897" s="15">
        <f t="shared" si="164"/>
        <v>16.686436250344954</v>
      </c>
      <c r="U897" s="15">
        <f>IF(O897="Exclude",0,G897*Fuel_Price!$B$2)</f>
        <v>3030.7979879999998</v>
      </c>
      <c r="V897" s="15">
        <f t="shared" si="165"/>
        <v>2989922.7577359979</v>
      </c>
    </row>
    <row r="898" spans="1:22">
      <c r="A898" s="1" t="s">
        <v>2243</v>
      </c>
      <c r="B898" s="1" t="s">
        <v>2244</v>
      </c>
      <c r="C898" s="1" t="s">
        <v>1958</v>
      </c>
      <c r="D898" s="1" t="s">
        <v>12</v>
      </c>
      <c r="E898" s="12">
        <v>1640</v>
      </c>
      <c r="F898" s="12" t="s">
        <v>137</v>
      </c>
      <c r="G898" s="6">
        <v>559.63</v>
      </c>
      <c r="H898" s="1">
        <v>8.2799999999999994</v>
      </c>
      <c r="J898" t="str">
        <f t="shared" ref="J898:J922" si="168">IF(OR(H898&lt;=0,H898&gt;100),"Check","OK")</f>
        <v>OK</v>
      </c>
      <c r="K898" t="str">
        <f t="shared" ref="K898:K922" si="169">IF(E898&lt;0,"Check","OK")</f>
        <v>OK</v>
      </c>
      <c r="L898">
        <f t="shared" si="166"/>
        <v>12</v>
      </c>
      <c r="M898">
        <f t="shared" ref="M898:M922" si="170">COUNTIF(K:K,"Check")</f>
        <v>10</v>
      </c>
      <c r="N898" s="9" t="str">
        <f t="shared" si="167"/>
        <v>Valid</v>
      </c>
      <c r="O898" t="str">
        <f t="shared" ref="O898:O961" si="171">IF(N898="Review","Exclude","Include")</f>
        <v>Include</v>
      </c>
      <c r="P898" s="9">
        <f t="shared" ref="P898:P961" si="172">SUMIF(O:O,"Include",G:G)</f>
        <v>2035068.5799999984</v>
      </c>
      <c r="Q898" s="15">
        <f t="shared" ref="Q898:Q961" si="173">SUMIF(O:O,"Include",E:E)</f>
        <v>7469725</v>
      </c>
      <c r="R898" s="9">
        <f t="shared" ref="R898:R961" si="174">IF(O898="Exclude",0,E898)</f>
        <v>1640</v>
      </c>
      <c r="S898" s="9">
        <f t="shared" ref="S898:S961" si="175">SUM(R:R)</f>
        <v>7469725</v>
      </c>
      <c r="T898" s="15">
        <f t="shared" ref="T898:T961" si="176">S898/(P898/4.54609)</f>
        <v>16.686436250344954</v>
      </c>
      <c r="U898" s="15">
        <f>IF(O898="Exclude",0,G898*Fuel_Price!$B$2)</f>
        <v>822.20839599999999</v>
      </c>
      <c r="V898" s="15">
        <f t="shared" ref="V898:V961" si="177">SUM(U:U)</f>
        <v>2989922.7577359979</v>
      </c>
    </row>
    <row r="899" spans="1:22">
      <c r="A899" s="1" t="s">
        <v>2245</v>
      </c>
      <c r="B899" s="1" t="s">
        <v>2246</v>
      </c>
      <c r="C899" s="1" t="s">
        <v>1958</v>
      </c>
      <c r="D899" s="1" t="s">
        <v>12</v>
      </c>
      <c r="E899" s="12">
        <v>4847</v>
      </c>
      <c r="F899" s="12" t="s">
        <v>137</v>
      </c>
      <c r="G899" s="6">
        <v>2141.12</v>
      </c>
      <c r="H899" s="1">
        <v>6.4</v>
      </c>
      <c r="J899" t="str">
        <f t="shared" si="168"/>
        <v>OK</v>
      </c>
      <c r="K899" t="str">
        <f t="shared" si="169"/>
        <v>OK</v>
      </c>
      <c r="L899">
        <f t="shared" ref="L899:L922" si="178">COUNTIF(J:J,"Check")</f>
        <v>12</v>
      </c>
      <c r="M899">
        <f t="shared" si="170"/>
        <v>10</v>
      </c>
      <c r="N899" s="9" t="str">
        <f t="shared" si="167"/>
        <v>Valid</v>
      </c>
      <c r="O899" t="str">
        <f t="shared" si="171"/>
        <v>Include</v>
      </c>
      <c r="P899" s="9">
        <f t="shared" si="172"/>
        <v>2035068.5799999984</v>
      </c>
      <c r="Q899" s="15">
        <f t="shared" si="173"/>
        <v>7469725</v>
      </c>
      <c r="R899" s="9">
        <f t="shared" si="174"/>
        <v>4847</v>
      </c>
      <c r="S899" s="9">
        <f t="shared" si="175"/>
        <v>7469725</v>
      </c>
      <c r="T899" s="15">
        <f t="shared" si="176"/>
        <v>16.686436250344954</v>
      </c>
      <c r="U899" s="15">
        <f>IF(O899="Exclude",0,G899*Fuel_Price!$B$2)</f>
        <v>3145.7335039999998</v>
      </c>
      <c r="V899" s="15">
        <f t="shared" si="177"/>
        <v>2989922.7577359979</v>
      </c>
    </row>
    <row r="900" spans="1:22">
      <c r="A900" s="1" t="s">
        <v>2247</v>
      </c>
      <c r="B900" s="1" t="s">
        <v>2248</v>
      </c>
      <c r="C900" s="1" t="s">
        <v>1958</v>
      </c>
      <c r="D900" s="1" t="s">
        <v>12</v>
      </c>
      <c r="E900" s="12">
        <v>5651</v>
      </c>
      <c r="F900" s="12" t="s">
        <v>137</v>
      </c>
      <c r="G900" s="6">
        <v>1887.05</v>
      </c>
      <c r="H900" s="1">
        <v>8.4600000000000009</v>
      </c>
      <c r="J900" t="str">
        <f t="shared" si="168"/>
        <v>OK</v>
      </c>
      <c r="K900" t="str">
        <f t="shared" si="169"/>
        <v>OK</v>
      </c>
      <c r="L900">
        <f t="shared" si="178"/>
        <v>12</v>
      </c>
      <c r="M900">
        <f t="shared" si="170"/>
        <v>10</v>
      </c>
      <c r="N900" s="9" t="str">
        <f t="shared" si="167"/>
        <v>Valid</v>
      </c>
      <c r="O900" t="str">
        <f t="shared" si="171"/>
        <v>Include</v>
      </c>
      <c r="P900" s="9">
        <f t="shared" si="172"/>
        <v>2035068.5799999984</v>
      </c>
      <c r="Q900" s="15">
        <f t="shared" si="173"/>
        <v>7469725</v>
      </c>
      <c r="R900" s="9">
        <f t="shared" si="174"/>
        <v>5651</v>
      </c>
      <c r="S900" s="9">
        <f t="shared" si="175"/>
        <v>7469725</v>
      </c>
      <c r="T900" s="15">
        <f t="shared" si="176"/>
        <v>16.686436250344954</v>
      </c>
      <c r="U900" s="15">
        <f>IF(O900="Exclude",0,G900*Fuel_Price!$B$2)</f>
        <v>2772.4538600000001</v>
      </c>
      <c r="V900" s="15">
        <f t="shared" si="177"/>
        <v>2989922.7577359979</v>
      </c>
    </row>
    <row r="901" spans="1:22">
      <c r="A901" s="1" t="s">
        <v>2249</v>
      </c>
      <c r="B901" s="1" t="s">
        <v>2250</v>
      </c>
      <c r="C901" s="1" t="s">
        <v>1958</v>
      </c>
      <c r="D901" s="1" t="s">
        <v>12</v>
      </c>
      <c r="E901" s="12">
        <v>5470</v>
      </c>
      <c r="F901" s="12" t="s">
        <v>137</v>
      </c>
      <c r="G901" s="6">
        <v>2016.99</v>
      </c>
      <c r="H901" s="1">
        <v>7.66</v>
      </c>
      <c r="J901" t="str">
        <f t="shared" si="168"/>
        <v>OK</v>
      </c>
      <c r="K901" t="str">
        <f t="shared" si="169"/>
        <v>OK</v>
      </c>
      <c r="L901">
        <f t="shared" si="178"/>
        <v>12</v>
      </c>
      <c r="M901">
        <f t="shared" si="170"/>
        <v>10</v>
      </c>
      <c r="N901" s="9" t="str">
        <f t="shared" si="167"/>
        <v>Valid</v>
      </c>
      <c r="O901" t="str">
        <f t="shared" si="171"/>
        <v>Include</v>
      </c>
      <c r="P901" s="9">
        <f t="shared" si="172"/>
        <v>2035068.5799999984</v>
      </c>
      <c r="Q901" s="15">
        <f t="shared" si="173"/>
        <v>7469725</v>
      </c>
      <c r="R901" s="9">
        <f t="shared" si="174"/>
        <v>5470</v>
      </c>
      <c r="S901" s="9">
        <f t="shared" si="175"/>
        <v>7469725</v>
      </c>
      <c r="T901" s="15">
        <f t="shared" si="176"/>
        <v>16.686436250344954</v>
      </c>
      <c r="U901" s="15">
        <f>IF(O901="Exclude",0,G901*Fuel_Price!$B$2)</f>
        <v>2963.3617080000004</v>
      </c>
      <c r="V901" s="15">
        <f t="shared" si="177"/>
        <v>2989922.7577359979</v>
      </c>
    </row>
    <row r="902" spans="1:22">
      <c r="A902" s="1" t="s">
        <v>2251</v>
      </c>
      <c r="B902" s="1" t="s">
        <v>2252</v>
      </c>
      <c r="C902" s="1" t="s">
        <v>1958</v>
      </c>
      <c r="D902" s="1" t="s">
        <v>12</v>
      </c>
      <c r="E902" s="12">
        <v>6096</v>
      </c>
      <c r="F902" s="12" t="s">
        <v>137</v>
      </c>
      <c r="G902" s="6">
        <v>2325.2800000000002</v>
      </c>
      <c r="H902" s="1">
        <v>7.41</v>
      </c>
      <c r="J902" t="str">
        <f t="shared" si="168"/>
        <v>OK</v>
      </c>
      <c r="K902" t="str">
        <f t="shared" si="169"/>
        <v>OK</v>
      </c>
      <c r="L902">
        <f t="shared" si="178"/>
        <v>12</v>
      </c>
      <c r="M902">
        <f t="shared" si="170"/>
        <v>10</v>
      </c>
      <c r="N902" s="9" t="str">
        <f t="shared" si="167"/>
        <v>Valid</v>
      </c>
      <c r="O902" t="str">
        <f t="shared" si="171"/>
        <v>Include</v>
      </c>
      <c r="P902" s="9">
        <f t="shared" si="172"/>
        <v>2035068.5799999984</v>
      </c>
      <c r="Q902" s="15">
        <f t="shared" si="173"/>
        <v>7469725</v>
      </c>
      <c r="R902" s="9">
        <f t="shared" si="174"/>
        <v>6096</v>
      </c>
      <c r="S902" s="9">
        <f t="shared" si="175"/>
        <v>7469725</v>
      </c>
      <c r="T902" s="15">
        <f t="shared" si="176"/>
        <v>16.686436250344954</v>
      </c>
      <c r="U902" s="15">
        <f>IF(O902="Exclude",0,G902*Fuel_Price!$B$2)</f>
        <v>3416.3013760000003</v>
      </c>
      <c r="V902" s="15">
        <f t="shared" si="177"/>
        <v>2989922.7577359979</v>
      </c>
    </row>
    <row r="903" spans="1:22">
      <c r="A903" s="1" t="s">
        <v>2253</v>
      </c>
      <c r="B903" s="1" t="s">
        <v>2254</v>
      </c>
      <c r="C903" s="1" t="s">
        <v>1958</v>
      </c>
      <c r="D903" s="1" t="s">
        <v>12</v>
      </c>
      <c r="E903" s="12">
        <v>4190</v>
      </c>
      <c r="F903" s="12" t="s">
        <v>137</v>
      </c>
      <c r="G903" s="6">
        <v>1635.19</v>
      </c>
      <c r="H903" s="1">
        <v>7.24</v>
      </c>
      <c r="J903" t="str">
        <f t="shared" si="168"/>
        <v>OK</v>
      </c>
      <c r="K903" t="str">
        <f t="shared" si="169"/>
        <v>OK</v>
      </c>
      <c r="L903">
        <f t="shared" si="178"/>
        <v>12</v>
      </c>
      <c r="M903">
        <f t="shared" si="170"/>
        <v>10</v>
      </c>
      <c r="N903" s="9" t="str">
        <f t="shared" ref="N903:N922" si="179">IF(OR(H903&lt;=0,H903&gt;100,E903&lt;0),"Review","Valid")</f>
        <v>Valid</v>
      </c>
      <c r="O903" t="str">
        <f t="shared" si="171"/>
        <v>Include</v>
      </c>
      <c r="P903" s="9">
        <f t="shared" si="172"/>
        <v>2035068.5799999984</v>
      </c>
      <c r="Q903" s="15">
        <f t="shared" si="173"/>
        <v>7469725</v>
      </c>
      <c r="R903" s="9">
        <f t="shared" si="174"/>
        <v>4190</v>
      </c>
      <c r="S903" s="9">
        <f t="shared" si="175"/>
        <v>7469725</v>
      </c>
      <c r="T903" s="15">
        <f t="shared" si="176"/>
        <v>16.686436250344954</v>
      </c>
      <c r="U903" s="15">
        <f>IF(O903="Exclude",0,G903*Fuel_Price!$B$2)</f>
        <v>2402.4211480000004</v>
      </c>
      <c r="V903" s="15">
        <f t="shared" si="177"/>
        <v>2989922.7577359979</v>
      </c>
    </row>
    <row r="904" spans="1:22">
      <c r="A904" s="1" t="s">
        <v>2255</v>
      </c>
      <c r="B904" s="1" t="s">
        <v>2256</v>
      </c>
      <c r="C904" s="1" t="s">
        <v>1958</v>
      </c>
      <c r="D904" s="1" t="s">
        <v>12</v>
      </c>
      <c r="E904" s="12">
        <v>4860</v>
      </c>
      <c r="F904" s="12" t="s">
        <v>137</v>
      </c>
      <c r="G904" s="6">
        <v>1786.4</v>
      </c>
      <c r="H904" s="1">
        <v>7.68</v>
      </c>
      <c r="J904" t="str">
        <f t="shared" si="168"/>
        <v>OK</v>
      </c>
      <c r="K904" t="str">
        <f t="shared" si="169"/>
        <v>OK</v>
      </c>
      <c r="L904">
        <f t="shared" si="178"/>
        <v>12</v>
      </c>
      <c r="M904">
        <f t="shared" si="170"/>
        <v>10</v>
      </c>
      <c r="N904" s="9" t="str">
        <f t="shared" si="179"/>
        <v>Valid</v>
      </c>
      <c r="O904" t="str">
        <f t="shared" si="171"/>
        <v>Include</v>
      </c>
      <c r="P904" s="9">
        <f t="shared" si="172"/>
        <v>2035068.5799999984</v>
      </c>
      <c r="Q904" s="15">
        <f t="shared" si="173"/>
        <v>7469725</v>
      </c>
      <c r="R904" s="9">
        <f t="shared" si="174"/>
        <v>4860</v>
      </c>
      <c r="S904" s="9">
        <f t="shared" si="175"/>
        <v>7469725</v>
      </c>
      <c r="T904" s="15">
        <f t="shared" si="176"/>
        <v>16.686436250344954</v>
      </c>
      <c r="U904" s="15">
        <f>IF(O904="Exclude",0,G904*Fuel_Price!$B$2)</f>
        <v>2624.57888</v>
      </c>
      <c r="V904" s="15">
        <f t="shared" si="177"/>
        <v>2989922.7577359979</v>
      </c>
    </row>
    <row r="905" spans="1:22">
      <c r="A905" s="1" t="s">
        <v>2257</v>
      </c>
      <c r="B905" s="1" t="s">
        <v>2258</v>
      </c>
      <c r="C905" s="1" t="s">
        <v>221</v>
      </c>
      <c r="D905" s="1" t="s">
        <v>12</v>
      </c>
      <c r="E905" s="12">
        <v>640</v>
      </c>
      <c r="F905" s="12" t="s">
        <v>13</v>
      </c>
      <c r="G905" s="6">
        <v>96.65</v>
      </c>
      <c r="H905" s="1">
        <v>30.1</v>
      </c>
      <c r="J905" t="str">
        <f t="shared" si="168"/>
        <v>OK</v>
      </c>
      <c r="K905" t="str">
        <f t="shared" si="169"/>
        <v>OK</v>
      </c>
      <c r="L905">
        <f t="shared" si="178"/>
        <v>12</v>
      </c>
      <c r="M905">
        <f t="shared" si="170"/>
        <v>10</v>
      </c>
      <c r="N905" s="9" t="str">
        <f t="shared" si="179"/>
        <v>Valid</v>
      </c>
      <c r="O905" t="str">
        <f t="shared" si="171"/>
        <v>Include</v>
      </c>
      <c r="P905" s="9">
        <f t="shared" si="172"/>
        <v>2035068.5799999984</v>
      </c>
      <c r="Q905" s="15">
        <f t="shared" si="173"/>
        <v>7469725</v>
      </c>
      <c r="R905" s="9">
        <f t="shared" si="174"/>
        <v>640</v>
      </c>
      <c r="S905" s="9">
        <f t="shared" si="175"/>
        <v>7469725</v>
      </c>
      <c r="T905" s="15">
        <f t="shared" si="176"/>
        <v>16.686436250344954</v>
      </c>
      <c r="U905" s="15">
        <f>IF(O905="Exclude",0,G905*Fuel_Price!$B$2)</f>
        <v>141.99818000000002</v>
      </c>
      <c r="V905" s="15">
        <f t="shared" si="177"/>
        <v>2989922.7577359979</v>
      </c>
    </row>
    <row r="906" spans="1:22">
      <c r="A906" s="1" t="s">
        <v>2259</v>
      </c>
      <c r="B906" s="1" t="s">
        <v>2260</v>
      </c>
      <c r="C906" s="1" t="s">
        <v>249</v>
      </c>
      <c r="D906" s="1" t="s">
        <v>12</v>
      </c>
      <c r="E906" s="12">
        <v>1735</v>
      </c>
      <c r="F906" s="12" t="s">
        <v>13</v>
      </c>
      <c r="G906" s="6">
        <v>383.42</v>
      </c>
      <c r="H906" s="1">
        <v>20.57</v>
      </c>
      <c r="J906" t="str">
        <f t="shared" si="168"/>
        <v>OK</v>
      </c>
      <c r="K906" t="str">
        <f t="shared" si="169"/>
        <v>OK</v>
      </c>
      <c r="L906">
        <f t="shared" si="178"/>
        <v>12</v>
      </c>
      <c r="M906">
        <f t="shared" si="170"/>
        <v>10</v>
      </c>
      <c r="N906" s="9" t="str">
        <f t="shared" si="179"/>
        <v>Valid</v>
      </c>
      <c r="O906" t="str">
        <f t="shared" si="171"/>
        <v>Include</v>
      </c>
      <c r="P906" s="9">
        <f t="shared" si="172"/>
        <v>2035068.5799999984</v>
      </c>
      <c r="Q906" s="15">
        <f t="shared" si="173"/>
        <v>7469725</v>
      </c>
      <c r="R906" s="9">
        <f t="shared" si="174"/>
        <v>1735</v>
      </c>
      <c r="S906" s="9">
        <f t="shared" si="175"/>
        <v>7469725</v>
      </c>
      <c r="T906" s="15">
        <f t="shared" si="176"/>
        <v>16.686436250344954</v>
      </c>
      <c r="U906" s="15">
        <f>IF(O906="Exclude",0,G906*Fuel_Price!$B$2)</f>
        <v>563.32066400000008</v>
      </c>
      <c r="V906" s="15">
        <f t="shared" si="177"/>
        <v>2989922.7577359979</v>
      </c>
    </row>
    <row r="907" spans="1:22">
      <c r="A907" s="1" t="s">
        <v>2261</v>
      </c>
      <c r="B907" s="1" t="s">
        <v>2262</v>
      </c>
      <c r="C907" s="1" t="s">
        <v>249</v>
      </c>
      <c r="D907" s="1" t="s">
        <v>12</v>
      </c>
      <c r="E907" s="12">
        <v>2111</v>
      </c>
      <c r="F907" s="12" t="s">
        <v>13</v>
      </c>
      <c r="G907" s="6">
        <v>440.57</v>
      </c>
      <c r="H907" s="1">
        <v>21.78</v>
      </c>
      <c r="J907" t="str">
        <f t="shared" si="168"/>
        <v>OK</v>
      </c>
      <c r="K907" t="str">
        <f t="shared" si="169"/>
        <v>OK</v>
      </c>
      <c r="L907">
        <f t="shared" si="178"/>
        <v>12</v>
      </c>
      <c r="M907">
        <f t="shared" si="170"/>
        <v>10</v>
      </c>
      <c r="N907" s="9" t="str">
        <f t="shared" si="179"/>
        <v>Valid</v>
      </c>
      <c r="O907" t="str">
        <f t="shared" si="171"/>
        <v>Include</v>
      </c>
      <c r="P907" s="9">
        <f t="shared" si="172"/>
        <v>2035068.5799999984</v>
      </c>
      <c r="Q907" s="15">
        <f t="shared" si="173"/>
        <v>7469725</v>
      </c>
      <c r="R907" s="9">
        <f t="shared" si="174"/>
        <v>2111</v>
      </c>
      <c r="S907" s="9">
        <f t="shared" si="175"/>
        <v>7469725</v>
      </c>
      <c r="T907" s="15">
        <f t="shared" si="176"/>
        <v>16.686436250344954</v>
      </c>
      <c r="U907" s="15">
        <f>IF(O907="Exclude",0,G907*Fuel_Price!$B$2)</f>
        <v>647.28544399999998</v>
      </c>
      <c r="V907" s="15">
        <f t="shared" si="177"/>
        <v>2989922.7577359979</v>
      </c>
    </row>
    <row r="908" spans="1:22">
      <c r="A908" s="1" t="s">
        <v>2263</v>
      </c>
      <c r="B908" s="1" t="s">
        <v>2264</v>
      </c>
      <c r="C908" s="1" t="s">
        <v>249</v>
      </c>
      <c r="D908" s="1" t="s">
        <v>12</v>
      </c>
      <c r="E908" s="12">
        <v>814</v>
      </c>
      <c r="F908" s="12" t="s">
        <v>13</v>
      </c>
      <c r="G908" s="6">
        <v>200.27</v>
      </c>
      <c r="H908" s="1">
        <v>18.48</v>
      </c>
      <c r="J908" t="str">
        <f t="shared" si="168"/>
        <v>OK</v>
      </c>
      <c r="K908" t="str">
        <f t="shared" si="169"/>
        <v>OK</v>
      </c>
      <c r="L908">
        <f t="shared" si="178"/>
        <v>12</v>
      </c>
      <c r="M908">
        <f t="shared" si="170"/>
        <v>10</v>
      </c>
      <c r="N908" s="9" t="str">
        <f t="shared" si="179"/>
        <v>Valid</v>
      </c>
      <c r="O908" t="str">
        <f t="shared" si="171"/>
        <v>Include</v>
      </c>
      <c r="P908" s="9">
        <f t="shared" si="172"/>
        <v>2035068.5799999984</v>
      </c>
      <c r="Q908" s="15">
        <f t="shared" si="173"/>
        <v>7469725</v>
      </c>
      <c r="R908" s="9">
        <f t="shared" si="174"/>
        <v>814</v>
      </c>
      <c r="S908" s="9">
        <f t="shared" si="175"/>
        <v>7469725</v>
      </c>
      <c r="T908" s="15">
        <f t="shared" si="176"/>
        <v>16.686436250344954</v>
      </c>
      <c r="U908" s="15">
        <f>IF(O908="Exclude",0,G908*Fuel_Price!$B$2)</f>
        <v>294.23668400000003</v>
      </c>
      <c r="V908" s="15">
        <f t="shared" si="177"/>
        <v>2989922.7577359979</v>
      </c>
    </row>
    <row r="909" spans="1:22">
      <c r="A909" s="1" t="s">
        <v>2265</v>
      </c>
      <c r="B909" s="1" t="s">
        <v>2266</v>
      </c>
      <c r="C909" s="1" t="s">
        <v>2267</v>
      </c>
      <c r="D909" s="1" t="s">
        <v>12</v>
      </c>
      <c r="E909" s="12">
        <v>4423</v>
      </c>
      <c r="F909" s="12" t="s">
        <v>13</v>
      </c>
      <c r="G909" s="6">
        <v>485.28</v>
      </c>
      <c r="H909" s="1">
        <v>41.43</v>
      </c>
      <c r="J909" t="str">
        <f t="shared" si="168"/>
        <v>OK</v>
      </c>
      <c r="K909" t="str">
        <f t="shared" si="169"/>
        <v>OK</v>
      </c>
      <c r="L909">
        <f t="shared" si="178"/>
        <v>12</v>
      </c>
      <c r="M909">
        <f t="shared" si="170"/>
        <v>10</v>
      </c>
      <c r="N909" s="9" t="str">
        <f t="shared" si="179"/>
        <v>Valid</v>
      </c>
      <c r="O909" t="str">
        <f t="shared" si="171"/>
        <v>Include</v>
      </c>
      <c r="P909" s="9">
        <f t="shared" si="172"/>
        <v>2035068.5799999984</v>
      </c>
      <c r="Q909" s="15">
        <f t="shared" si="173"/>
        <v>7469725</v>
      </c>
      <c r="R909" s="9">
        <f t="shared" si="174"/>
        <v>4423</v>
      </c>
      <c r="S909" s="9">
        <f t="shared" si="175"/>
        <v>7469725</v>
      </c>
      <c r="T909" s="15">
        <f t="shared" si="176"/>
        <v>16.686436250344954</v>
      </c>
      <c r="U909" s="15">
        <f>IF(O909="Exclude",0,G909*Fuel_Price!$B$2)</f>
        <v>712.97337600000003</v>
      </c>
      <c r="V909" s="15">
        <f t="shared" si="177"/>
        <v>2989922.7577359979</v>
      </c>
    </row>
    <row r="910" spans="1:22">
      <c r="A910" s="1" t="s">
        <v>2268</v>
      </c>
      <c r="B910" s="1" t="s">
        <v>2269</v>
      </c>
      <c r="C910" s="1" t="s">
        <v>221</v>
      </c>
      <c r="D910" s="1" t="s">
        <v>12</v>
      </c>
      <c r="E910" s="12">
        <v>1476</v>
      </c>
      <c r="F910" s="12" t="s">
        <v>13</v>
      </c>
      <c r="G910" s="6">
        <v>200.5</v>
      </c>
      <c r="H910" s="1">
        <v>33.47</v>
      </c>
      <c r="J910" t="str">
        <f t="shared" si="168"/>
        <v>OK</v>
      </c>
      <c r="K910" t="str">
        <f t="shared" si="169"/>
        <v>OK</v>
      </c>
      <c r="L910">
        <f t="shared" si="178"/>
        <v>12</v>
      </c>
      <c r="M910">
        <f t="shared" si="170"/>
        <v>10</v>
      </c>
      <c r="N910" s="9" t="str">
        <f t="shared" si="179"/>
        <v>Valid</v>
      </c>
      <c r="O910" t="str">
        <f t="shared" si="171"/>
        <v>Include</v>
      </c>
      <c r="P910" s="9">
        <f t="shared" si="172"/>
        <v>2035068.5799999984</v>
      </c>
      <c r="Q910" s="15">
        <f t="shared" si="173"/>
        <v>7469725</v>
      </c>
      <c r="R910" s="9">
        <f t="shared" si="174"/>
        <v>1476</v>
      </c>
      <c r="S910" s="9">
        <f t="shared" si="175"/>
        <v>7469725</v>
      </c>
      <c r="T910" s="15">
        <f t="shared" si="176"/>
        <v>16.686436250344954</v>
      </c>
      <c r="U910" s="15">
        <f>IF(O910="Exclude",0,G910*Fuel_Price!$B$2)</f>
        <v>294.57460000000003</v>
      </c>
      <c r="V910" s="15">
        <f t="shared" si="177"/>
        <v>2989922.7577359979</v>
      </c>
    </row>
    <row r="911" spans="1:22">
      <c r="A911" s="1" t="s">
        <v>2270</v>
      </c>
      <c r="B911" s="1" t="s">
        <v>2271</v>
      </c>
      <c r="C911" s="1" t="s">
        <v>1564</v>
      </c>
      <c r="D911" s="1" t="s">
        <v>12</v>
      </c>
      <c r="E911" s="12">
        <v>224</v>
      </c>
      <c r="F911" s="12" t="s">
        <v>13</v>
      </c>
      <c r="G911" s="6">
        <v>313.08999999999997</v>
      </c>
      <c r="H911" s="1">
        <v>3.25</v>
      </c>
      <c r="J911" t="str">
        <f t="shared" si="168"/>
        <v>OK</v>
      </c>
      <c r="K911" t="str">
        <f t="shared" si="169"/>
        <v>OK</v>
      </c>
      <c r="L911">
        <f t="shared" si="178"/>
        <v>12</v>
      </c>
      <c r="M911">
        <f t="shared" si="170"/>
        <v>10</v>
      </c>
      <c r="N911" s="9" t="str">
        <f t="shared" si="179"/>
        <v>Valid</v>
      </c>
      <c r="O911" t="str">
        <f t="shared" si="171"/>
        <v>Include</v>
      </c>
      <c r="P911" s="9">
        <f t="shared" si="172"/>
        <v>2035068.5799999984</v>
      </c>
      <c r="Q911" s="15">
        <f t="shared" si="173"/>
        <v>7469725</v>
      </c>
      <c r="R911" s="9">
        <f t="shared" si="174"/>
        <v>224</v>
      </c>
      <c r="S911" s="9">
        <f t="shared" si="175"/>
        <v>7469725</v>
      </c>
      <c r="T911" s="15">
        <f t="shared" si="176"/>
        <v>16.686436250344954</v>
      </c>
      <c r="U911" s="15">
        <f>IF(O911="Exclude",0,G911*Fuel_Price!$B$2)</f>
        <v>459.991828</v>
      </c>
      <c r="V911" s="15">
        <f t="shared" si="177"/>
        <v>2989922.7577359979</v>
      </c>
    </row>
    <row r="912" spans="1:22">
      <c r="A912" s="1" t="s">
        <v>2272</v>
      </c>
      <c r="B912" s="1" t="s">
        <v>2273</v>
      </c>
      <c r="C912" s="1" t="s">
        <v>937</v>
      </c>
      <c r="D912" s="1" t="s">
        <v>12</v>
      </c>
      <c r="E912" s="12">
        <v>594</v>
      </c>
      <c r="F912" s="12" t="s">
        <v>13</v>
      </c>
      <c r="G912" s="6">
        <v>129.56</v>
      </c>
      <c r="H912" s="1">
        <v>20.84</v>
      </c>
      <c r="J912" t="str">
        <f t="shared" si="168"/>
        <v>OK</v>
      </c>
      <c r="K912" t="str">
        <f t="shared" si="169"/>
        <v>OK</v>
      </c>
      <c r="L912">
        <f t="shared" si="178"/>
        <v>12</v>
      </c>
      <c r="M912">
        <f t="shared" si="170"/>
        <v>10</v>
      </c>
      <c r="N912" s="9" t="str">
        <f t="shared" si="179"/>
        <v>Valid</v>
      </c>
      <c r="O912" t="str">
        <f t="shared" si="171"/>
        <v>Include</v>
      </c>
      <c r="P912" s="9">
        <f t="shared" si="172"/>
        <v>2035068.5799999984</v>
      </c>
      <c r="Q912" s="15">
        <f t="shared" si="173"/>
        <v>7469725</v>
      </c>
      <c r="R912" s="9">
        <f t="shared" si="174"/>
        <v>594</v>
      </c>
      <c r="S912" s="9">
        <f t="shared" si="175"/>
        <v>7469725</v>
      </c>
      <c r="T912" s="15">
        <f t="shared" si="176"/>
        <v>16.686436250344954</v>
      </c>
      <c r="U912" s="15">
        <f>IF(O912="Exclude",0,G912*Fuel_Price!$B$2)</f>
        <v>190.34955200000002</v>
      </c>
      <c r="V912" s="15">
        <f t="shared" si="177"/>
        <v>2989922.7577359979</v>
      </c>
    </row>
    <row r="913" spans="1:22">
      <c r="A913" s="1" t="s">
        <v>2274</v>
      </c>
      <c r="B913" s="1" t="s">
        <v>2275</v>
      </c>
      <c r="C913" s="1" t="s">
        <v>2276</v>
      </c>
      <c r="D913" s="1" t="s">
        <v>12</v>
      </c>
      <c r="E913" s="12">
        <v>2166</v>
      </c>
      <c r="F913" s="12" t="s">
        <v>137</v>
      </c>
      <c r="G913" s="6">
        <v>1275.6300000000001</v>
      </c>
      <c r="H913" s="1">
        <v>4.8</v>
      </c>
      <c r="J913" t="str">
        <f t="shared" si="168"/>
        <v>OK</v>
      </c>
      <c r="K913" t="str">
        <f t="shared" si="169"/>
        <v>OK</v>
      </c>
      <c r="L913">
        <f t="shared" si="178"/>
        <v>12</v>
      </c>
      <c r="M913">
        <f t="shared" si="170"/>
        <v>10</v>
      </c>
      <c r="N913" s="9" t="str">
        <f t="shared" si="179"/>
        <v>Valid</v>
      </c>
      <c r="O913" t="str">
        <f t="shared" si="171"/>
        <v>Include</v>
      </c>
      <c r="P913" s="9">
        <f t="shared" si="172"/>
        <v>2035068.5799999984</v>
      </c>
      <c r="Q913" s="15">
        <f t="shared" si="173"/>
        <v>7469725</v>
      </c>
      <c r="R913" s="9">
        <f t="shared" si="174"/>
        <v>2166</v>
      </c>
      <c r="S913" s="9">
        <f t="shared" si="175"/>
        <v>7469725</v>
      </c>
      <c r="T913" s="15">
        <f t="shared" si="176"/>
        <v>16.686436250344954</v>
      </c>
      <c r="U913" s="15">
        <f>IF(O913="Exclude",0,G913*Fuel_Price!$B$2)</f>
        <v>1874.1555960000003</v>
      </c>
      <c r="V913" s="15">
        <f t="shared" si="177"/>
        <v>2989922.7577359979</v>
      </c>
    </row>
    <row r="914" spans="1:22">
      <c r="A914" s="1" t="s">
        <v>2277</v>
      </c>
      <c r="B914" s="1" t="s">
        <v>2278</v>
      </c>
      <c r="C914" s="1" t="s">
        <v>2276</v>
      </c>
      <c r="D914" s="1" t="s">
        <v>12</v>
      </c>
      <c r="E914" s="12">
        <v>5242</v>
      </c>
      <c r="F914" s="12" t="s">
        <v>137</v>
      </c>
      <c r="G914" s="6">
        <v>2371.52</v>
      </c>
      <c r="H914" s="1">
        <v>6.24</v>
      </c>
      <c r="J914" t="str">
        <f t="shared" si="168"/>
        <v>OK</v>
      </c>
      <c r="K914" t="str">
        <f t="shared" si="169"/>
        <v>OK</v>
      </c>
      <c r="L914">
        <f t="shared" si="178"/>
        <v>12</v>
      </c>
      <c r="M914">
        <f t="shared" si="170"/>
        <v>10</v>
      </c>
      <c r="N914" s="9" t="str">
        <f t="shared" si="179"/>
        <v>Valid</v>
      </c>
      <c r="O914" t="str">
        <f t="shared" si="171"/>
        <v>Include</v>
      </c>
      <c r="P914" s="9">
        <f t="shared" si="172"/>
        <v>2035068.5799999984</v>
      </c>
      <c r="Q914" s="15">
        <f t="shared" si="173"/>
        <v>7469725</v>
      </c>
      <c r="R914" s="9">
        <f t="shared" si="174"/>
        <v>5242</v>
      </c>
      <c r="S914" s="9">
        <f t="shared" si="175"/>
        <v>7469725</v>
      </c>
      <c r="T914" s="15">
        <f t="shared" si="176"/>
        <v>16.686436250344954</v>
      </c>
      <c r="U914" s="15">
        <f>IF(O914="Exclude",0,G914*Fuel_Price!$B$2)</f>
        <v>3484.2371840000001</v>
      </c>
      <c r="V914" s="15">
        <f t="shared" si="177"/>
        <v>2989922.7577359979</v>
      </c>
    </row>
    <row r="915" spans="1:22">
      <c r="A915" s="1" t="s">
        <v>2279</v>
      </c>
      <c r="B915" s="1" t="s">
        <v>2280</v>
      </c>
      <c r="C915" s="1" t="s">
        <v>2276</v>
      </c>
      <c r="D915" s="1" t="s">
        <v>12</v>
      </c>
      <c r="E915" s="12">
        <v>3830</v>
      </c>
      <c r="F915" s="12" t="s">
        <v>137</v>
      </c>
      <c r="G915" s="6">
        <v>1675.48</v>
      </c>
      <c r="H915" s="1">
        <v>6.46</v>
      </c>
      <c r="J915" t="str">
        <f t="shared" si="168"/>
        <v>OK</v>
      </c>
      <c r="K915" t="str">
        <f t="shared" si="169"/>
        <v>OK</v>
      </c>
      <c r="L915">
        <f t="shared" si="178"/>
        <v>12</v>
      </c>
      <c r="M915">
        <f t="shared" si="170"/>
        <v>10</v>
      </c>
      <c r="N915" s="9" t="str">
        <f t="shared" si="179"/>
        <v>Valid</v>
      </c>
      <c r="O915" t="str">
        <f t="shared" si="171"/>
        <v>Include</v>
      </c>
      <c r="P915" s="9">
        <f t="shared" si="172"/>
        <v>2035068.5799999984</v>
      </c>
      <c r="Q915" s="15">
        <f t="shared" si="173"/>
        <v>7469725</v>
      </c>
      <c r="R915" s="9">
        <f t="shared" si="174"/>
        <v>3830</v>
      </c>
      <c r="S915" s="9">
        <f t="shared" si="175"/>
        <v>7469725</v>
      </c>
      <c r="T915" s="15">
        <f t="shared" si="176"/>
        <v>16.686436250344954</v>
      </c>
      <c r="U915" s="15">
        <f>IF(O915="Exclude",0,G915*Fuel_Price!$B$2)</f>
        <v>2461.6152160000001</v>
      </c>
      <c r="V915" s="15">
        <f t="shared" si="177"/>
        <v>2989922.7577359979</v>
      </c>
    </row>
    <row r="916" spans="1:22">
      <c r="A916" s="1" t="s">
        <v>2281</v>
      </c>
      <c r="B916" s="1" t="s">
        <v>2282</v>
      </c>
      <c r="C916" s="1" t="s">
        <v>2276</v>
      </c>
      <c r="D916" s="1" t="s">
        <v>12</v>
      </c>
      <c r="E916" s="12">
        <v>7875</v>
      </c>
      <c r="F916" s="12" t="s">
        <v>137</v>
      </c>
      <c r="G916" s="6">
        <v>2831.31</v>
      </c>
      <c r="H916" s="1">
        <v>7.86</v>
      </c>
      <c r="J916" t="str">
        <f t="shared" si="168"/>
        <v>OK</v>
      </c>
      <c r="K916" t="str">
        <f t="shared" si="169"/>
        <v>OK</v>
      </c>
      <c r="L916">
        <f t="shared" si="178"/>
        <v>12</v>
      </c>
      <c r="M916">
        <f t="shared" si="170"/>
        <v>10</v>
      </c>
      <c r="N916" s="9" t="str">
        <f t="shared" si="179"/>
        <v>Valid</v>
      </c>
      <c r="O916" t="str">
        <f t="shared" si="171"/>
        <v>Include</v>
      </c>
      <c r="P916" s="9">
        <f t="shared" si="172"/>
        <v>2035068.5799999984</v>
      </c>
      <c r="Q916" s="15">
        <f t="shared" si="173"/>
        <v>7469725</v>
      </c>
      <c r="R916" s="9">
        <f t="shared" si="174"/>
        <v>7875</v>
      </c>
      <c r="S916" s="9">
        <f t="shared" si="175"/>
        <v>7469725</v>
      </c>
      <c r="T916" s="15">
        <f t="shared" si="176"/>
        <v>16.686436250344954</v>
      </c>
      <c r="U916" s="15">
        <f>IF(O916="Exclude",0,G916*Fuel_Price!$B$2)</f>
        <v>4159.7606519999999</v>
      </c>
      <c r="V916" s="15">
        <f t="shared" si="177"/>
        <v>2989922.7577359979</v>
      </c>
    </row>
    <row r="917" spans="1:22">
      <c r="A917" s="1" t="s">
        <v>2283</v>
      </c>
      <c r="B917" s="1" t="s">
        <v>2284</v>
      </c>
      <c r="C917" s="1" t="s">
        <v>2285</v>
      </c>
      <c r="D917" s="1" t="s">
        <v>12</v>
      </c>
      <c r="E917" s="12">
        <v>4566</v>
      </c>
      <c r="F917" s="12" t="s">
        <v>137</v>
      </c>
      <c r="G917" s="6">
        <v>2156.4299999999998</v>
      </c>
      <c r="H917" s="1">
        <v>5.98</v>
      </c>
      <c r="J917" t="str">
        <f t="shared" si="168"/>
        <v>OK</v>
      </c>
      <c r="K917" t="str">
        <f t="shared" si="169"/>
        <v>OK</v>
      </c>
      <c r="L917">
        <f t="shared" si="178"/>
        <v>12</v>
      </c>
      <c r="M917">
        <f t="shared" si="170"/>
        <v>10</v>
      </c>
      <c r="N917" s="9" t="str">
        <f t="shared" si="179"/>
        <v>Valid</v>
      </c>
      <c r="O917" t="str">
        <f t="shared" si="171"/>
        <v>Include</v>
      </c>
      <c r="P917" s="9">
        <f t="shared" si="172"/>
        <v>2035068.5799999984</v>
      </c>
      <c r="Q917" s="15">
        <f t="shared" si="173"/>
        <v>7469725</v>
      </c>
      <c r="R917" s="9">
        <f t="shared" si="174"/>
        <v>4566</v>
      </c>
      <c r="S917" s="9">
        <f t="shared" si="175"/>
        <v>7469725</v>
      </c>
      <c r="T917" s="15">
        <f t="shared" si="176"/>
        <v>16.686436250344954</v>
      </c>
      <c r="U917" s="15">
        <f>IF(O917="Exclude",0,G917*Fuel_Price!$B$2)</f>
        <v>3168.226956</v>
      </c>
      <c r="V917" s="15">
        <f t="shared" si="177"/>
        <v>2989922.7577359979</v>
      </c>
    </row>
    <row r="918" spans="1:22">
      <c r="A918" s="1" t="s">
        <v>2286</v>
      </c>
      <c r="B918" s="1" t="s">
        <v>2287</v>
      </c>
      <c r="C918" s="1" t="s">
        <v>2288</v>
      </c>
      <c r="D918" s="1" t="s">
        <v>12</v>
      </c>
      <c r="E918" s="12">
        <v>8255</v>
      </c>
      <c r="F918" s="12" t="s">
        <v>137</v>
      </c>
      <c r="G918" s="6">
        <v>3035.58</v>
      </c>
      <c r="H918" s="1">
        <v>7.68</v>
      </c>
      <c r="J918" t="str">
        <f t="shared" si="168"/>
        <v>OK</v>
      </c>
      <c r="K918" t="str">
        <f t="shared" si="169"/>
        <v>OK</v>
      </c>
      <c r="L918">
        <f t="shared" si="178"/>
        <v>12</v>
      </c>
      <c r="M918">
        <f t="shared" si="170"/>
        <v>10</v>
      </c>
      <c r="N918" s="9" t="str">
        <f t="shared" si="179"/>
        <v>Valid</v>
      </c>
      <c r="O918" t="str">
        <f t="shared" si="171"/>
        <v>Include</v>
      </c>
      <c r="P918" s="9">
        <f t="shared" si="172"/>
        <v>2035068.5799999984</v>
      </c>
      <c r="Q918" s="15">
        <f t="shared" si="173"/>
        <v>7469725</v>
      </c>
      <c r="R918" s="9">
        <f t="shared" si="174"/>
        <v>8255</v>
      </c>
      <c r="S918" s="9">
        <f t="shared" si="175"/>
        <v>7469725</v>
      </c>
      <c r="T918" s="15">
        <f t="shared" si="176"/>
        <v>16.686436250344954</v>
      </c>
      <c r="U918" s="15">
        <f>IF(O918="Exclude",0,G918*Fuel_Price!$B$2)</f>
        <v>4459.8741360000004</v>
      </c>
      <c r="V918" s="15">
        <f t="shared" si="177"/>
        <v>2989922.7577359979</v>
      </c>
    </row>
    <row r="919" spans="1:22">
      <c r="A919" s="1" t="s">
        <v>2289</v>
      </c>
      <c r="B919" s="1" t="s">
        <v>2290</v>
      </c>
      <c r="C919" s="1" t="s">
        <v>2291</v>
      </c>
      <c r="D919" s="1" t="s">
        <v>12</v>
      </c>
      <c r="E919" s="12">
        <v>14564</v>
      </c>
      <c r="F919" s="12" t="s">
        <v>137</v>
      </c>
      <c r="G919" s="6">
        <v>5638.98</v>
      </c>
      <c r="H919" s="1">
        <v>7.3</v>
      </c>
      <c r="J919" t="str">
        <f t="shared" si="168"/>
        <v>OK</v>
      </c>
      <c r="K919" t="str">
        <f t="shared" si="169"/>
        <v>OK</v>
      </c>
      <c r="L919">
        <f t="shared" si="178"/>
        <v>12</v>
      </c>
      <c r="M919">
        <f t="shared" si="170"/>
        <v>10</v>
      </c>
      <c r="N919" s="9" t="str">
        <f t="shared" si="179"/>
        <v>Valid</v>
      </c>
      <c r="O919" t="str">
        <f t="shared" si="171"/>
        <v>Include</v>
      </c>
      <c r="P919" s="9">
        <f t="shared" si="172"/>
        <v>2035068.5799999984</v>
      </c>
      <c r="Q919" s="15">
        <f t="shared" si="173"/>
        <v>7469725</v>
      </c>
      <c r="R919" s="9">
        <f t="shared" si="174"/>
        <v>14564</v>
      </c>
      <c r="S919" s="9">
        <f t="shared" si="175"/>
        <v>7469725</v>
      </c>
      <c r="T919" s="15">
        <f t="shared" si="176"/>
        <v>16.686436250344954</v>
      </c>
      <c r="U919" s="15">
        <f>IF(O919="Exclude",0,G919*Fuel_Price!$B$2)</f>
        <v>8284.7894159999996</v>
      </c>
      <c r="V919" s="15">
        <f t="shared" si="177"/>
        <v>2989922.7577359979</v>
      </c>
    </row>
    <row r="920" spans="1:22">
      <c r="A920" s="1" t="s">
        <v>2292</v>
      </c>
      <c r="B920" s="1" t="s">
        <v>2293</v>
      </c>
      <c r="C920" s="1" t="s">
        <v>2291</v>
      </c>
      <c r="D920" s="1" t="s">
        <v>12</v>
      </c>
      <c r="E920" s="12">
        <v>5425</v>
      </c>
      <c r="F920" s="12" t="s">
        <v>137</v>
      </c>
      <c r="G920" s="6">
        <v>2220.27</v>
      </c>
      <c r="H920" s="1">
        <v>6.9</v>
      </c>
      <c r="J920" t="str">
        <f t="shared" si="168"/>
        <v>OK</v>
      </c>
      <c r="K920" t="str">
        <f t="shared" si="169"/>
        <v>OK</v>
      </c>
      <c r="L920">
        <f t="shared" si="178"/>
        <v>12</v>
      </c>
      <c r="M920">
        <f t="shared" si="170"/>
        <v>10</v>
      </c>
      <c r="N920" s="9" t="str">
        <f t="shared" si="179"/>
        <v>Valid</v>
      </c>
      <c r="O920" t="str">
        <f t="shared" si="171"/>
        <v>Include</v>
      </c>
      <c r="P920" s="9">
        <f t="shared" si="172"/>
        <v>2035068.5799999984</v>
      </c>
      <c r="Q920" s="15">
        <f t="shared" si="173"/>
        <v>7469725</v>
      </c>
      <c r="R920" s="9">
        <f t="shared" si="174"/>
        <v>5425</v>
      </c>
      <c r="S920" s="9">
        <f t="shared" si="175"/>
        <v>7469725</v>
      </c>
      <c r="T920" s="15">
        <f t="shared" si="176"/>
        <v>16.686436250344954</v>
      </c>
      <c r="U920" s="15">
        <f>IF(O920="Exclude",0,G920*Fuel_Price!$B$2)</f>
        <v>3262.0206840000001</v>
      </c>
      <c r="V920" s="15">
        <f t="shared" si="177"/>
        <v>2989922.7577359979</v>
      </c>
    </row>
    <row r="921" spans="1:22">
      <c r="A921" s="1" t="s">
        <v>2294</v>
      </c>
      <c r="B921" s="1" t="s">
        <v>2295</v>
      </c>
      <c r="C921" s="1" t="s">
        <v>2296</v>
      </c>
      <c r="D921" s="1" t="s">
        <v>12</v>
      </c>
      <c r="E921" s="12">
        <v>5292</v>
      </c>
      <c r="F921" s="12" t="s">
        <v>137</v>
      </c>
      <c r="G921" s="6">
        <v>2132.9</v>
      </c>
      <c r="H921" s="1">
        <v>7.01</v>
      </c>
      <c r="J921" t="str">
        <f t="shared" si="168"/>
        <v>OK</v>
      </c>
      <c r="K921" t="str">
        <f t="shared" si="169"/>
        <v>OK</v>
      </c>
      <c r="L921">
        <f t="shared" si="178"/>
        <v>12</v>
      </c>
      <c r="M921">
        <f t="shared" si="170"/>
        <v>10</v>
      </c>
      <c r="N921" s="9" t="str">
        <f t="shared" si="179"/>
        <v>Valid</v>
      </c>
      <c r="O921" t="str">
        <f t="shared" si="171"/>
        <v>Include</v>
      </c>
      <c r="P921" s="9">
        <f t="shared" si="172"/>
        <v>2035068.5799999984</v>
      </c>
      <c r="Q921" s="15">
        <f t="shared" si="173"/>
        <v>7469725</v>
      </c>
      <c r="R921" s="9">
        <f t="shared" si="174"/>
        <v>5292</v>
      </c>
      <c r="S921" s="9">
        <f t="shared" si="175"/>
        <v>7469725</v>
      </c>
      <c r="T921" s="15">
        <f t="shared" si="176"/>
        <v>16.686436250344954</v>
      </c>
      <c r="U921" s="15">
        <f>IF(O921="Exclude",0,G921*Fuel_Price!$B$2)</f>
        <v>3133.6566800000001</v>
      </c>
      <c r="V921" s="15">
        <f t="shared" si="177"/>
        <v>2989922.7577359979</v>
      </c>
    </row>
    <row r="922" spans="1:22">
      <c r="A922" s="1" t="s">
        <v>2297</v>
      </c>
      <c r="B922" s="1" t="s">
        <v>2298</v>
      </c>
      <c r="C922" s="1" t="s">
        <v>2299</v>
      </c>
      <c r="D922" s="1" t="s">
        <v>12</v>
      </c>
      <c r="E922" s="12">
        <v>8997</v>
      </c>
      <c r="F922" s="12" t="s">
        <v>137</v>
      </c>
      <c r="G922" s="6">
        <v>3767.23</v>
      </c>
      <c r="H922" s="1">
        <v>6.75</v>
      </c>
      <c r="J922" t="str">
        <f t="shared" si="168"/>
        <v>OK</v>
      </c>
      <c r="K922" t="str">
        <f t="shared" si="169"/>
        <v>OK</v>
      </c>
      <c r="L922">
        <f t="shared" si="178"/>
        <v>12</v>
      </c>
      <c r="M922">
        <f t="shared" si="170"/>
        <v>10</v>
      </c>
      <c r="N922" s="9" t="str">
        <f t="shared" si="179"/>
        <v>Valid</v>
      </c>
      <c r="O922" t="str">
        <f t="shared" si="171"/>
        <v>Include</v>
      </c>
      <c r="P922" s="9">
        <f t="shared" si="172"/>
        <v>2035068.5799999984</v>
      </c>
      <c r="Q922" s="15">
        <f t="shared" si="173"/>
        <v>7469725</v>
      </c>
      <c r="R922" s="9">
        <f t="shared" si="174"/>
        <v>8997</v>
      </c>
      <c r="S922" s="9">
        <f t="shared" si="175"/>
        <v>7469725</v>
      </c>
      <c r="T922" s="15">
        <f t="shared" si="176"/>
        <v>16.686436250344954</v>
      </c>
      <c r="U922" s="15">
        <f>IF(O922="Exclude",0,G922*Fuel_Price!$B$2)</f>
        <v>5534.814316</v>
      </c>
      <c r="V922" s="15">
        <f t="shared" si="177"/>
        <v>2989922.7577359979</v>
      </c>
    </row>
    <row r="923" spans="1:22">
      <c r="M923" s="8"/>
      <c r="O923" t="str">
        <f t="shared" si="171"/>
        <v>Include</v>
      </c>
      <c r="P923" s="9">
        <f t="shared" si="172"/>
        <v>2035068.5799999984</v>
      </c>
      <c r="Q923" s="15">
        <f t="shared" si="173"/>
        <v>7469725</v>
      </c>
      <c r="R923" s="9">
        <f t="shared" si="174"/>
        <v>0</v>
      </c>
      <c r="S923" s="9">
        <f t="shared" si="175"/>
        <v>7469725</v>
      </c>
      <c r="T923" s="15">
        <f t="shared" si="176"/>
        <v>16.686436250344954</v>
      </c>
      <c r="U923" s="15">
        <f>IF(O923="Exclude",0,G923*Fuel_Price!$B$2)</f>
        <v>0</v>
      </c>
      <c r="V923" s="15">
        <f t="shared" si="177"/>
        <v>2989922.7577359979</v>
      </c>
    </row>
    <row r="924" spans="1:22">
      <c r="M924" s="8"/>
      <c r="O924" t="str">
        <f t="shared" si="171"/>
        <v>Include</v>
      </c>
      <c r="P924" s="9">
        <f t="shared" si="172"/>
        <v>2035068.5799999984</v>
      </c>
      <c r="Q924" s="15">
        <f t="shared" si="173"/>
        <v>7469725</v>
      </c>
      <c r="R924" s="9">
        <f t="shared" si="174"/>
        <v>0</v>
      </c>
      <c r="S924" s="9">
        <f t="shared" si="175"/>
        <v>7469725</v>
      </c>
      <c r="T924" s="15">
        <f t="shared" si="176"/>
        <v>16.686436250344954</v>
      </c>
      <c r="U924" s="15">
        <f>IF(O924="Exclude",0,G924*Fuel_Price!$B$2)</f>
        <v>0</v>
      </c>
      <c r="V924" s="15">
        <f t="shared" si="177"/>
        <v>2989922.7577359979</v>
      </c>
    </row>
    <row r="925" spans="1:22">
      <c r="M925" s="8"/>
      <c r="O925" t="str">
        <f t="shared" si="171"/>
        <v>Include</v>
      </c>
      <c r="P925" s="9">
        <f t="shared" si="172"/>
        <v>2035068.5799999984</v>
      </c>
      <c r="Q925" s="15">
        <f t="shared" si="173"/>
        <v>7469725</v>
      </c>
      <c r="R925" s="9">
        <f t="shared" si="174"/>
        <v>0</v>
      </c>
      <c r="S925" s="9">
        <f t="shared" si="175"/>
        <v>7469725</v>
      </c>
      <c r="T925" s="15">
        <f t="shared" si="176"/>
        <v>16.686436250344954</v>
      </c>
      <c r="U925" s="15">
        <f>IF(O925="Exclude",0,G925*Fuel_Price!$B$2)</f>
        <v>0</v>
      </c>
      <c r="V925" s="15">
        <f t="shared" si="177"/>
        <v>2989922.7577359979</v>
      </c>
    </row>
    <row r="926" spans="1:22">
      <c r="M926" s="8"/>
      <c r="O926" t="str">
        <f t="shared" si="171"/>
        <v>Include</v>
      </c>
      <c r="P926" s="9">
        <f t="shared" si="172"/>
        <v>2035068.5799999984</v>
      </c>
      <c r="Q926" s="15">
        <f t="shared" si="173"/>
        <v>7469725</v>
      </c>
      <c r="R926" s="9">
        <f t="shared" si="174"/>
        <v>0</v>
      </c>
      <c r="S926" s="9">
        <f t="shared" si="175"/>
        <v>7469725</v>
      </c>
      <c r="T926" s="15">
        <f t="shared" si="176"/>
        <v>16.686436250344954</v>
      </c>
      <c r="U926" s="15">
        <f>IF(O926="Exclude",0,G926*Fuel_Price!$B$2)</f>
        <v>0</v>
      </c>
      <c r="V926" s="15">
        <f t="shared" si="177"/>
        <v>2989922.7577359979</v>
      </c>
    </row>
    <row r="927" spans="1:22">
      <c r="M927" s="8"/>
      <c r="O927" t="str">
        <f t="shared" si="171"/>
        <v>Include</v>
      </c>
      <c r="P927" s="9">
        <f t="shared" si="172"/>
        <v>2035068.5799999984</v>
      </c>
      <c r="Q927" s="15">
        <f t="shared" si="173"/>
        <v>7469725</v>
      </c>
      <c r="R927" s="9">
        <f t="shared" si="174"/>
        <v>0</v>
      </c>
      <c r="S927" s="9">
        <f t="shared" si="175"/>
        <v>7469725</v>
      </c>
      <c r="T927" s="15">
        <f t="shared" si="176"/>
        <v>16.686436250344954</v>
      </c>
      <c r="U927" s="15">
        <f>IF(O927="Exclude",0,G927*Fuel_Price!$B$2)</f>
        <v>0</v>
      </c>
      <c r="V927" s="15">
        <f t="shared" si="177"/>
        <v>2989922.7577359979</v>
      </c>
    </row>
    <row r="928" spans="1:22">
      <c r="M928" s="8"/>
      <c r="O928" t="str">
        <f t="shared" si="171"/>
        <v>Include</v>
      </c>
      <c r="P928" s="9">
        <f t="shared" si="172"/>
        <v>2035068.5799999984</v>
      </c>
      <c r="Q928" s="15">
        <f t="shared" si="173"/>
        <v>7469725</v>
      </c>
      <c r="R928" s="9">
        <f t="shared" si="174"/>
        <v>0</v>
      </c>
      <c r="S928" s="9">
        <f t="shared" si="175"/>
        <v>7469725</v>
      </c>
      <c r="T928" s="15">
        <f t="shared" si="176"/>
        <v>16.686436250344954</v>
      </c>
      <c r="U928" s="15">
        <f>IF(O928="Exclude",0,G928*Fuel_Price!$B$2)</f>
        <v>0</v>
      </c>
      <c r="V928" s="15">
        <f t="shared" si="177"/>
        <v>2989922.7577359979</v>
      </c>
    </row>
    <row r="929" spans="13:22">
      <c r="M929" s="8"/>
      <c r="O929" t="str">
        <f t="shared" si="171"/>
        <v>Include</v>
      </c>
      <c r="P929" s="9">
        <f t="shared" si="172"/>
        <v>2035068.5799999984</v>
      </c>
      <c r="Q929" s="15">
        <f t="shared" si="173"/>
        <v>7469725</v>
      </c>
      <c r="R929" s="9">
        <f t="shared" si="174"/>
        <v>0</v>
      </c>
      <c r="S929" s="9">
        <f t="shared" si="175"/>
        <v>7469725</v>
      </c>
      <c r="T929" s="15">
        <f t="shared" si="176"/>
        <v>16.686436250344954</v>
      </c>
      <c r="U929" s="15">
        <f>IF(O929="Exclude",0,G929*Fuel_Price!$B$2)</f>
        <v>0</v>
      </c>
      <c r="V929" s="15">
        <f t="shared" si="177"/>
        <v>2989922.7577359979</v>
      </c>
    </row>
    <row r="930" spans="13:22">
      <c r="M930" s="8"/>
      <c r="O930" t="str">
        <f t="shared" si="171"/>
        <v>Include</v>
      </c>
      <c r="P930" s="9">
        <f t="shared" si="172"/>
        <v>2035068.5799999984</v>
      </c>
      <c r="Q930" s="15">
        <f t="shared" si="173"/>
        <v>7469725</v>
      </c>
      <c r="R930" s="9">
        <f t="shared" si="174"/>
        <v>0</v>
      </c>
      <c r="S930" s="9">
        <f t="shared" si="175"/>
        <v>7469725</v>
      </c>
      <c r="T930" s="15">
        <f t="shared" si="176"/>
        <v>16.686436250344954</v>
      </c>
      <c r="U930" s="15">
        <f>IF(O930="Exclude",0,G930*Fuel_Price!$B$2)</f>
        <v>0</v>
      </c>
      <c r="V930" s="15">
        <f t="shared" si="177"/>
        <v>2989922.7577359979</v>
      </c>
    </row>
    <row r="931" spans="13:22">
      <c r="M931" s="8"/>
      <c r="O931" t="str">
        <f t="shared" si="171"/>
        <v>Include</v>
      </c>
      <c r="P931" s="9">
        <f t="shared" si="172"/>
        <v>2035068.5799999984</v>
      </c>
      <c r="Q931" s="15">
        <f t="shared" si="173"/>
        <v>7469725</v>
      </c>
      <c r="R931" s="9">
        <f t="shared" si="174"/>
        <v>0</v>
      </c>
      <c r="S931" s="9">
        <f t="shared" si="175"/>
        <v>7469725</v>
      </c>
      <c r="T931" s="15">
        <f t="shared" si="176"/>
        <v>16.686436250344954</v>
      </c>
      <c r="U931" s="15">
        <f>IF(O931="Exclude",0,G931*Fuel_Price!$B$2)</f>
        <v>0</v>
      </c>
      <c r="V931" s="15">
        <f t="shared" si="177"/>
        <v>2989922.7577359979</v>
      </c>
    </row>
    <row r="932" spans="13:22">
      <c r="M932" s="8"/>
      <c r="O932" t="str">
        <f t="shared" si="171"/>
        <v>Include</v>
      </c>
      <c r="P932" s="9">
        <f t="shared" si="172"/>
        <v>2035068.5799999984</v>
      </c>
      <c r="Q932" s="15">
        <f t="shared" si="173"/>
        <v>7469725</v>
      </c>
      <c r="R932" s="9">
        <f t="shared" si="174"/>
        <v>0</v>
      </c>
      <c r="S932" s="9">
        <f t="shared" si="175"/>
        <v>7469725</v>
      </c>
      <c r="T932" s="15">
        <f t="shared" si="176"/>
        <v>16.686436250344954</v>
      </c>
      <c r="U932" s="15">
        <f>IF(O932="Exclude",0,G932*Fuel_Price!$B$2)</f>
        <v>0</v>
      </c>
      <c r="V932" s="15">
        <f t="shared" si="177"/>
        <v>2989922.7577359979</v>
      </c>
    </row>
    <row r="933" spans="13:22">
      <c r="M933" s="8"/>
      <c r="O933" t="str">
        <f t="shared" si="171"/>
        <v>Include</v>
      </c>
      <c r="P933" s="9">
        <f t="shared" si="172"/>
        <v>2035068.5799999984</v>
      </c>
      <c r="Q933" s="15">
        <f t="shared" si="173"/>
        <v>7469725</v>
      </c>
      <c r="R933" s="9">
        <f t="shared" si="174"/>
        <v>0</v>
      </c>
      <c r="S933" s="9">
        <f t="shared" si="175"/>
        <v>7469725</v>
      </c>
      <c r="T933" s="15">
        <f t="shared" si="176"/>
        <v>16.686436250344954</v>
      </c>
      <c r="U933" s="15">
        <f>IF(O933="Exclude",0,G933*Fuel_Price!$B$2)</f>
        <v>0</v>
      </c>
      <c r="V933" s="15">
        <f t="shared" si="177"/>
        <v>2989922.7577359979</v>
      </c>
    </row>
    <row r="934" spans="13:22">
      <c r="M934" s="8"/>
      <c r="O934" t="str">
        <f t="shared" si="171"/>
        <v>Include</v>
      </c>
      <c r="P934" s="9">
        <f t="shared" si="172"/>
        <v>2035068.5799999984</v>
      </c>
      <c r="Q934" s="15">
        <f t="shared" si="173"/>
        <v>7469725</v>
      </c>
      <c r="R934" s="9">
        <f t="shared" si="174"/>
        <v>0</v>
      </c>
      <c r="S934" s="9">
        <f t="shared" si="175"/>
        <v>7469725</v>
      </c>
      <c r="T934" s="15">
        <f t="shared" si="176"/>
        <v>16.686436250344954</v>
      </c>
      <c r="U934" s="15">
        <f>IF(O934="Exclude",0,G934*Fuel_Price!$B$2)</f>
        <v>0</v>
      </c>
      <c r="V934" s="15">
        <f t="shared" si="177"/>
        <v>2989922.7577359979</v>
      </c>
    </row>
    <row r="935" spans="13:22">
      <c r="M935" s="8"/>
      <c r="O935" t="str">
        <f t="shared" si="171"/>
        <v>Include</v>
      </c>
      <c r="P935" s="9">
        <f t="shared" si="172"/>
        <v>2035068.5799999984</v>
      </c>
      <c r="Q935" s="15">
        <f t="shared" si="173"/>
        <v>7469725</v>
      </c>
      <c r="R935" s="9">
        <f t="shared" si="174"/>
        <v>0</v>
      </c>
      <c r="S935" s="9">
        <f t="shared" si="175"/>
        <v>7469725</v>
      </c>
      <c r="T935" s="15">
        <f t="shared" si="176"/>
        <v>16.686436250344954</v>
      </c>
      <c r="U935" s="15">
        <f>IF(O935="Exclude",0,G935*Fuel_Price!$B$2)</f>
        <v>0</v>
      </c>
      <c r="V935" s="15">
        <f t="shared" si="177"/>
        <v>2989922.7577359979</v>
      </c>
    </row>
    <row r="936" spans="13:22">
      <c r="M936" s="8"/>
      <c r="O936" t="str">
        <f t="shared" si="171"/>
        <v>Include</v>
      </c>
      <c r="P936" s="9">
        <f t="shared" si="172"/>
        <v>2035068.5799999984</v>
      </c>
      <c r="Q936" s="15">
        <f t="shared" si="173"/>
        <v>7469725</v>
      </c>
      <c r="R936" s="9">
        <f t="shared" si="174"/>
        <v>0</v>
      </c>
      <c r="S936" s="9">
        <f t="shared" si="175"/>
        <v>7469725</v>
      </c>
      <c r="T936" s="15">
        <f t="shared" si="176"/>
        <v>16.686436250344954</v>
      </c>
      <c r="U936" s="15">
        <f>IF(O936="Exclude",0,G936*Fuel_Price!$B$2)</f>
        <v>0</v>
      </c>
      <c r="V936" s="15">
        <f t="shared" si="177"/>
        <v>2989922.7577359979</v>
      </c>
    </row>
    <row r="937" spans="13:22">
      <c r="M937" s="8"/>
      <c r="O937" t="str">
        <f t="shared" si="171"/>
        <v>Include</v>
      </c>
      <c r="P937" s="9">
        <f t="shared" si="172"/>
        <v>2035068.5799999984</v>
      </c>
      <c r="Q937" s="15">
        <f t="shared" si="173"/>
        <v>7469725</v>
      </c>
      <c r="R937" s="9">
        <f t="shared" si="174"/>
        <v>0</v>
      </c>
      <c r="S937" s="9">
        <f t="shared" si="175"/>
        <v>7469725</v>
      </c>
      <c r="T937" s="15">
        <f t="shared" si="176"/>
        <v>16.686436250344954</v>
      </c>
      <c r="U937" s="15">
        <f>IF(O937="Exclude",0,G937*Fuel_Price!$B$2)</f>
        <v>0</v>
      </c>
      <c r="V937" s="15">
        <f t="shared" si="177"/>
        <v>2989922.7577359979</v>
      </c>
    </row>
    <row r="938" spans="13:22">
      <c r="M938" s="8"/>
      <c r="O938" t="str">
        <f t="shared" si="171"/>
        <v>Include</v>
      </c>
      <c r="P938" s="9">
        <f t="shared" si="172"/>
        <v>2035068.5799999984</v>
      </c>
      <c r="Q938" s="15">
        <f t="shared" si="173"/>
        <v>7469725</v>
      </c>
      <c r="R938" s="9">
        <f t="shared" si="174"/>
        <v>0</v>
      </c>
      <c r="S938" s="9">
        <f t="shared" si="175"/>
        <v>7469725</v>
      </c>
      <c r="T938" s="15">
        <f t="shared" si="176"/>
        <v>16.686436250344954</v>
      </c>
      <c r="U938" s="15">
        <f>IF(O938="Exclude",0,G938*Fuel_Price!$B$2)</f>
        <v>0</v>
      </c>
      <c r="V938" s="15">
        <f t="shared" si="177"/>
        <v>2989922.7577359979</v>
      </c>
    </row>
    <row r="939" spans="13:22">
      <c r="M939" s="8"/>
      <c r="O939" t="str">
        <f t="shared" si="171"/>
        <v>Include</v>
      </c>
      <c r="P939" s="9">
        <f t="shared" si="172"/>
        <v>2035068.5799999984</v>
      </c>
      <c r="Q939" s="15">
        <f t="shared" si="173"/>
        <v>7469725</v>
      </c>
      <c r="R939" s="9">
        <f t="shared" si="174"/>
        <v>0</v>
      </c>
      <c r="S939" s="9">
        <f t="shared" si="175"/>
        <v>7469725</v>
      </c>
      <c r="T939" s="15">
        <f t="shared" si="176"/>
        <v>16.686436250344954</v>
      </c>
      <c r="U939" s="15">
        <f>IF(O939="Exclude",0,G939*Fuel_Price!$B$2)</f>
        <v>0</v>
      </c>
      <c r="V939" s="15">
        <f t="shared" si="177"/>
        <v>2989922.7577359979</v>
      </c>
    </row>
    <row r="940" spans="13:22">
      <c r="M940" s="8"/>
      <c r="O940" t="str">
        <f t="shared" si="171"/>
        <v>Include</v>
      </c>
      <c r="P940" s="9">
        <f t="shared" si="172"/>
        <v>2035068.5799999984</v>
      </c>
      <c r="Q940" s="15">
        <f t="shared" si="173"/>
        <v>7469725</v>
      </c>
      <c r="R940" s="9">
        <f t="shared" si="174"/>
        <v>0</v>
      </c>
      <c r="S940" s="9">
        <f t="shared" si="175"/>
        <v>7469725</v>
      </c>
      <c r="T940" s="15">
        <f t="shared" si="176"/>
        <v>16.686436250344954</v>
      </c>
      <c r="U940" s="15">
        <f>IF(O940="Exclude",0,G940*Fuel_Price!$B$2)</f>
        <v>0</v>
      </c>
      <c r="V940" s="15">
        <f t="shared" si="177"/>
        <v>2989922.7577359979</v>
      </c>
    </row>
    <row r="941" spans="13:22">
      <c r="M941" s="8"/>
      <c r="O941" t="str">
        <f t="shared" si="171"/>
        <v>Include</v>
      </c>
      <c r="P941" s="9">
        <f t="shared" si="172"/>
        <v>2035068.5799999984</v>
      </c>
      <c r="Q941" s="15">
        <f t="shared" si="173"/>
        <v>7469725</v>
      </c>
      <c r="R941" s="9">
        <f t="shared" si="174"/>
        <v>0</v>
      </c>
      <c r="S941" s="9">
        <f t="shared" si="175"/>
        <v>7469725</v>
      </c>
      <c r="T941" s="15">
        <f t="shared" si="176"/>
        <v>16.686436250344954</v>
      </c>
      <c r="U941" s="15">
        <f>IF(O941="Exclude",0,G941*Fuel_Price!$B$2)</f>
        <v>0</v>
      </c>
      <c r="V941" s="15">
        <f t="shared" si="177"/>
        <v>2989922.7577359979</v>
      </c>
    </row>
    <row r="942" spans="13:22">
      <c r="M942" s="8"/>
      <c r="O942" t="str">
        <f t="shared" si="171"/>
        <v>Include</v>
      </c>
      <c r="P942" s="9">
        <f t="shared" si="172"/>
        <v>2035068.5799999984</v>
      </c>
      <c r="Q942" s="15">
        <f t="shared" si="173"/>
        <v>7469725</v>
      </c>
      <c r="R942" s="9">
        <f t="shared" si="174"/>
        <v>0</v>
      </c>
      <c r="S942" s="9">
        <f t="shared" si="175"/>
        <v>7469725</v>
      </c>
      <c r="T942" s="15">
        <f t="shared" si="176"/>
        <v>16.686436250344954</v>
      </c>
      <c r="U942" s="15">
        <f>IF(O942="Exclude",0,G942*Fuel_Price!$B$2)</f>
        <v>0</v>
      </c>
      <c r="V942" s="15">
        <f t="shared" si="177"/>
        <v>2989922.7577359979</v>
      </c>
    </row>
    <row r="943" spans="13:22">
      <c r="M943" s="8"/>
      <c r="O943" t="str">
        <f t="shared" si="171"/>
        <v>Include</v>
      </c>
      <c r="P943" s="9">
        <f t="shared" si="172"/>
        <v>2035068.5799999984</v>
      </c>
      <c r="Q943" s="15">
        <f t="shared" si="173"/>
        <v>7469725</v>
      </c>
      <c r="R943" s="9">
        <f t="shared" si="174"/>
        <v>0</v>
      </c>
      <c r="S943" s="9">
        <f t="shared" si="175"/>
        <v>7469725</v>
      </c>
      <c r="T943" s="15">
        <f t="shared" si="176"/>
        <v>16.686436250344954</v>
      </c>
      <c r="U943" s="15">
        <f>IF(O943="Exclude",0,G943*Fuel_Price!$B$2)</f>
        <v>0</v>
      </c>
      <c r="V943" s="15">
        <f t="shared" si="177"/>
        <v>2989922.7577359979</v>
      </c>
    </row>
    <row r="944" spans="13:22">
      <c r="M944" s="8"/>
      <c r="O944" t="str">
        <f t="shared" si="171"/>
        <v>Include</v>
      </c>
      <c r="P944" s="9">
        <f t="shared" si="172"/>
        <v>2035068.5799999984</v>
      </c>
      <c r="Q944" s="15">
        <f t="shared" si="173"/>
        <v>7469725</v>
      </c>
      <c r="R944" s="9">
        <f t="shared" si="174"/>
        <v>0</v>
      </c>
      <c r="S944" s="9">
        <f t="shared" si="175"/>
        <v>7469725</v>
      </c>
      <c r="T944" s="15">
        <f t="shared" si="176"/>
        <v>16.686436250344954</v>
      </c>
      <c r="U944" s="15">
        <f>IF(O944="Exclude",0,G944*Fuel_Price!$B$2)</f>
        <v>0</v>
      </c>
      <c r="V944" s="15">
        <f t="shared" si="177"/>
        <v>2989922.7577359979</v>
      </c>
    </row>
    <row r="945" spans="13:22">
      <c r="M945" s="8"/>
      <c r="O945" t="str">
        <f t="shared" si="171"/>
        <v>Include</v>
      </c>
      <c r="P945" s="9">
        <f t="shared" si="172"/>
        <v>2035068.5799999984</v>
      </c>
      <c r="Q945" s="15">
        <f t="shared" si="173"/>
        <v>7469725</v>
      </c>
      <c r="R945" s="9">
        <f t="shared" si="174"/>
        <v>0</v>
      </c>
      <c r="S945" s="9">
        <f t="shared" si="175"/>
        <v>7469725</v>
      </c>
      <c r="T945" s="15">
        <f t="shared" si="176"/>
        <v>16.686436250344954</v>
      </c>
      <c r="U945" s="15">
        <f>IF(O945="Exclude",0,G945*Fuel_Price!$B$2)</f>
        <v>0</v>
      </c>
      <c r="V945" s="15">
        <f t="shared" si="177"/>
        <v>2989922.7577359979</v>
      </c>
    </row>
    <row r="946" spans="13:22">
      <c r="M946" s="8"/>
      <c r="O946" t="str">
        <f t="shared" si="171"/>
        <v>Include</v>
      </c>
      <c r="P946" s="9">
        <f t="shared" si="172"/>
        <v>2035068.5799999984</v>
      </c>
      <c r="Q946" s="15">
        <f t="shared" si="173"/>
        <v>7469725</v>
      </c>
      <c r="R946" s="9">
        <f t="shared" si="174"/>
        <v>0</v>
      </c>
      <c r="S946" s="9">
        <f t="shared" si="175"/>
        <v>7469725</v>
      </c>
      <c r="T946" s="15">
        <f t="shared" si="176"/>
        <v>16.686436250344954</v>
      </c>
      <c r="U946" s="15">
        <f>IF(O946="Exclude",0,G946*Fuel_Price!$B$2)</f>
        <v>0</v>
      </c>
      <c r="V946" s="15">
        <f t="shared" si="177"/>
        <v>2989922.7577359979</v>
      </c>
    </row>
    <row r="947" spans="13:22">
      <c r="M947" s="8"/>
      <c r="O947" t="str">
        <f t="shared" si="171"/>
        <v>Include</v>
      </c>
      <c r="P947" s="9">
        <f t="shared" si="172"/>
        <v>2035068.5799999984</v>
      </c>
      <c r="Q947" s="15">
        <f t="shared" si="173"/>
        <v>7469725</v>
      </c>
      <c r="R947" s="9">
        <f t="shared" si="174"/>
        <v>0</v>
      </c>
      <c r="S947" s="9">
        <f t="shared" si="175"/>
        <v>7469725</v>
      </c>
      <c r="T947" s="15">
        <f t="shared" si="176"/>
        <v>16.686436250344954</v>
      </c>
      <c r="U947" s="15">
        <f>IF(O947="Exclude",0,G947*Fuel_Price!$B$2)</f>
        <v>0</v>
      </c>
      <c r="V947" s="15">
        <f t="shared" si="177"/>
        <v>2989922.7577359979</v>
      </c>
    </row>
    <row r="948" spans="13:22">
      <c r="M948" s="8"/>
      <c r="O948" t="str">
        <f t="shared" si="171"/>
        <v>Include</v>
      </c>
      <c r="P948" s="9">
        <f t="shared" si="172"/>
        <v>2035068.5799999984</v>
      </c>
      <c r="Q948" s="15">
        <f t="shared" si="173"/>
        <v>7469725</v>
      </c>
      <c r="R948" s="9">
        <f t="shared" si="174"/>
        <v>0</v>
      </c>
      <c r="S948" s="9">
        <f t="shared" si="175"/>
        <v>7469725</v>
      </c>
      <c r="T948" s="15">
        <f t="shared" si="176"/>
        <v>16.686436250344954</v>
      </c>
      <c r="U948" s="15">
        <f>IF(O948="Exclude",0,G948*Fuel_Price!$B$2)</f>
        <v>0</v>
      </c>
      <c r="V948" s="15">
        <f t="shared" si="177"/>
        <v>2989922.7577359979</v>
      </c>
    </row>
    <row r="949" spans="13:22">
      <c r="M949" s="8"/>
      <c r="O949" t="str">
        <f t="shared" si="171"/>
        <v>Include</v>
      </c>
      <c r="P949" s="9">
        <f t="shared" si="172"/>
        <v>2035068.5799999984</v>
      </c>
      <c r="Q949" s="15">
        <f t="shared" si="173"/>
        <v>7469725</v>
      </c>
      <c r="R949" s="9">
        <f t="shared" si="174"/>
        <v>0</v>
      </c>
      <c r="S949" s="9">
        <f t="shared" si="175"/>
        <v>7469725</v>
      </c>
      <c r="T949" s="15">
        <f t="shared" si="176"/>
        <v>16.686436250344954</v>
      </c>
      <c r="U949" s="15">
        <f>IF(O949="Exclude",0,G949*Fuel_Price!$B$2)</f>
        <v>0</v>
      </c>
      <c r="V949" s="15">
        <f t="shared" si="177"/>
        <v>2989922.7577359979</v>
      </c>
    </row>
    <row r="950" spans="13:22">
      <c r="M950" s="8"/>
      <c r="O950" t="str">
        <f t="shared" si="171"/>
        <v>Include</v>
      </c>
      <c r="P950" s="9">
        <f t="shared" si="172"/>
        <v>2035068.5799999984</v>
      </c>
      <c r="Q950" s="15">
        <f t="shared" si="173"/>
        <v>7469725</v>
      </c>
      <c r="R950" s="9">
        <f t="shared" si="174"/>
        <v>0</v>
      </c>
      <c r="S950" s="9">
        <f t="shared" si="175"/>
        <v>7469725</v>
      </c>
      <c r="T950" s="15">
        <f t="shared" si="176"/>
        <v>16.686436250344954</v>
      </c>
      <c r="U950" s="15">
        <f>IF(O950="Exclude",0,G950*Fuel_Price!$B$2)</f>
        <v>0</v>
      </c>
      <c r="V950" s="15">
        <f t="shared" si="177"/>
        <v>2989922.7577359979</v>
      </c>
    </row>
    <row r="951" spans="13:22">
      <c r="M951" s="8"/>
      <c r="O951" t="str">
        <f t="shared" si="171"/>
        <v>Include</v>
      </c>
      <c r="P951" s="9">
        <f t="shared" si="172"/>
        <v>2035068.5799999984</v>
      </c>
      <c r="Q951" s="15">
        <f t="shared" si="173"/>
        <v>7469725</v>
      </c>
      <c r="R951" s="9">
        <f t="shared" si="174"/>
        <v>0</v>
      </c>
      <c r="S951" s="9">
        <f t="shared" si="175"/>
        <v>7469725</v>
      </c>
      <c r="T951" s="15">
        <f t="shared" si="176"/>
        <v>16.686436250344954</v>
      </c>
      <c r="U951" s="15">
        <f>IF(O951="Exclude",0,G951*Fuel_Price!$B$2)</f>
        <v>0</v>
      </c>
      <c r="V951" s="15">
        <f t="shared" si="177"/>
        <v>2989922.7577359979</v>
      </c>
    </row>
    <row r="952" spans="13:22">
      <c r="M952" s="8"/>
      <c r="O952" t="str">
        <f t="shared" si="171"/>
        <v>Include</v>
      </c>
      <c r="P952" s="9">
        <f t="shared" si="172"/>
        <v>2035068.5799999984</v>
      </c>
      <c r="Q952" s="15">
        <f t="shared" si="173"/>
        <v>7469725</v>
      </c>
      <c r="R952" s="9">
        <f t="shared" si="174"/>
        <v>0</v>
      </c>
      <c r="S952" s="9">
        <f t="shared" si="175"/>
        <v>7469725</v>
      </c>
      <c r="T952" s="15">
        <f t="shared" si="176"/>
        <v>16.686436250344954</v>
      </c>
      <c r="U952" s="15">
        <f>IF(O952="Exclude",0,G952*Fuel_Price!$B$2)</f>
        <v>0</v>
      </c>
      <c r="V952" s="15">
        <f t="shared" si="177"/>
        <v>2989922.7577359979</v>
      </c>
    </row>
    <row r="953" spans="13:22">
      <c r="M953" s="8"/>
      <c r="O953" t="str">
        <f t="shared" si="171"/>
        <v>Include</v>
      </c>
      <c r="P953" s="9">
        <f t="shared" si="172"/>
        <v>2035068.5799999984</v>
      </c>
      <c r="Q953" s="15">
        <f t="shared" si="173"/>
        <v>7469725</v>
      </c>
      <c r="R953" s="9">
        <f t="shared" si="174"/>
        <v>0</v>
      </c>
      <c r="S953" s="9">
        <f t="shared" si="175"/>
        <v>7469725</v>
      </c>
      <c r="T953" s="15">
        <f t="shared" si="176"/>
        <v>16.686436250344954</v>
      </c>
      <c r="U953" s="15">
        <f>IF(O953="Exclude",0,G953*Fuel_Price!$B$2)</f>
        <v>0</v>
      </c>
      <c r="V953" s="15">
        <f t="shared" si="177"/>
        <v>2989922.7577359979</v>
      </c>
    </row>
    <row r="954" spans="13:22">
      <c r="M954" s="8"/>
      <c r="O954" t="str">
        <f t="shared" si="171"/>
        <v>Include</v>
      </c>
      <c r="P954" s="9">
        <f t="shared" si="172"/>
        <v>2035068.5799999984</v>
      </c>
      <c r="Q954" s="15">
        <f t="shared" si="173"/>
        <v>7469725</v>
      </c>
      <c r="R954" s="9">
        <f t="shared" si="174"/>
        <v>0</v>
      </c>
      <c r="S954" s="9">
        <f t="shared" si="175"/>
        <v>7469725</v>
      </c>
      <c r="T954" s="15">
        <f t="shared" si="176"/>
        <v>16.686436250344954</v>
      </c>
      <c r="U954" s="15">
        <f>IF(O954="Exclude",0,G954*Fuel_Price!$B$2)</f>
        <v>0</v>
      </c>
      <c r="V954" s="15">
        <f t="shared" si="177"/>
        <v>2989922.7577359979</v>
      </c>
    </row>
    <row r="955" spans="13:22">
      <c r="M955" s="8"/>
      <c r="O955" t="str">
        <f t="shared" si="171"/>
        <v>Include</v>
      </c>
      <c r="P955" s="9">
        <f t="shared" si="172"/>
        <v>2035068.5799999984</v>
      </c>
      <c r="Q955" s="15">
        <f t="shared" si="173"/>
        <v>7469725</v>
      </c>
      <c r="R955" s="9">
        <f t="shared" si="174"/>
        <v>0</v>
      </c>
      <c r="S955" s="9">
        <f t="shared" si="175"/>
        <v>7469725</v>
      </c>
      <c r="T955" s="15">
        <f t="shared" si="176"/>
        <v>16.686436250344954</v>
      </c>
      <c r="U955" s="15">
        <f>IF(O955="Exclude",0,G955*Fuel_Price!$B$2)</f>
        <v>0</v>
      </c>
      <c r="V955" s="15">
        <f t="shared" si="177"/>
        <v>2989922.7577359979</v>
      </c>
    </row>
    <row r="956" spans="13:22">
      <c r="M956" s="8"/>
      <c r="O956" t="str">
        <f t="shared" si="171"/>
        <v>Include</v>
      </c>
      <c r="P956" s="9">
        <f t="shared" si="172"/>
        <v>2035068.5799999984</v>
      </c>
      <c r="Q956" s="15">
        <f t="shared" si="173"/>
        <v>7469725</v>
      </c>
      <c r="R956" s="9">
        <f t="shared" si="174"/>
        <v>0</v>
      </c>
      <c r="S956" s="9">
        <f t="shared" si="175"/>
        <v>7469725</v>
      </c>
      <c r="T956" s="15">
        <f t="shared" si="176"/>
        <v>16.686436250344954</v>
      </c>
      <c r="U956" s="15">
        <f>IF(O956="Exclude",0,G956*Fuel_Price!$B$2)</f>
        <v>0</v>
      </c>
      <c r="V956" s="15">
        <f t="shared" si="177"/>
        <v>2989922.7577359979</v>
      </c>
    </row>
    <row r="957" spans="13:22">
      <c r="M957" s="8"/>
      <c r="O957" t="str">
        <f t="shared" si="171"/>
        <v>Include</v>
      </c>
      <c r="P957" s="9">
        <f t="shared" si="172"/>
        <v>2035068.5799999984</v>
      </c>
      <c r="Q957" s="15">
        <f t="shared" si="173"/>
        <v>7469725</v>
      </c>
      <c r="R957" s="9">
        <f t="shared" si="174"/>
        <v>0</v>
      </c>
      <c r="S957" s="9">
        <f t="shared" si="175"/>
        <v>7469725</v>
      </c>
      <c r="T957" s="15">
        <f t="shared" si="176"/>
        <v>16.686436250344954</v>
      </c>
      <c r="U957" s="15">
        <f>IF(O957="Exclude",0,G957*Fuel_Price!$B$2)</f>
        <v>0</v>
      </c>
      <c r="V957" s="15">
        <f t="shared" si="177"/>
        <v>2989922.7577359979</v>
      </c>
    </row>
    <row r="958" spans="13:22">
      <c r="M958" s="8"/>
      <c r="O958" t="str">
        <f t="shared" si="171"/>
        <v>Include</v>
      </c>
      <c r="P958" s="9">
        <f t="shared" si="172"/>
        <v>2035068.5799999984</v>
      </c>
      <c r="Q958" s="15">
        <f t="shared" si="173"/>
        <v>7469725</v>
      </c>
      <c r="R958" s="9">
        <f t="shared" si="174"/>
        <v>0</v>
      </c>
      <c r="S958" s="9">
        <f t="shared" si="175"/>
        <v>7469725</v>
      </c>
      <c r="T958" s="15">
        <f t="shared" si="176"/>
        <v>16.686436250344954</v>
      </c>
      <c r="U958" s="15">
        <f>IF(O958="Exclude",0,G958*Fuel_Price!$B$2)</f>
        <v>0</v>
      </c>
      <c r="V958" s="15">
        <f t="shared" si="177"/>
        <v>2989922.7577359979</v>
      </c>
    </row>
    <row r="959" spans="13:22">
      <c r="M959" s="8"/>
      <c r="O959" t="str">
        <f t="shared" si="171"/>
        <v>Include</v>
      </c>
      <c r="P959" s="9">
        <f t="shared" si="172"/>
        <v>2035068.5799999984</v>
      </c>
      <c r="Q959" s="15">
        <f t="shared" si="173"/>
        <v>7469725</v>
      </c>
      <c r="R959" s="9">
        <f t="shared" si="174"/>
        <v>0</v>
      </c>
      <c r="S959" s="9">
        <f t="shared" si="175"/>
        <v>7469725</v>
      </c>
      <c r="T959" s="15">
        <f t="shared" si="176"/>
        <v>16.686436250344954</v>
      </c>
      <c r="U959" s="15">
        <f>IF(O959="Exclude",0,G959*Fuel_Price!$B$2)</f>
        <v>0</v>
      </c>
      <c r="V959" s="15">
        <f t="shared" si="177"/>
        <v>2989922.7577359979</v>
      </c>
    </row>
    <row r="960" spans="13:22">
      <c r="M960" s="8"/>
      <c r="O960" t="str">
        <f t="shared" si="171"/>
        <v>Include</v>
      </c>
      <c r="P960" s="9">
        <f t="shared" si="172"/>
        <v>2035068.5799999984</v>
      </c>
      <c r="Q960" s="15">
        <f t="shared" si="173"/>
        <v>7469725</v>
      </c>
      <c r="R960" s="9">
        <f t="shared" si="174"/>
        <v>0</v>
      </c>
      <c r="S960" s="9">
        <f t="shared" si="175"/>
        <v>7469725</v>
      </c>
      <c r="T960" s="15">
        <f t="shared" si="176"/>
        <v>16.686436250344954</v>
      </c>
      <c r="U960" s="15">
        <f>IF(O960="Exclude",0,G960*Fuel_Price!$B$2)</f>
        <v>0</v>
      </c>
      <c r="V960" s="15">
        <f t="shared" si="177"/>
        <v>2989922.7577359979</v>
      </c>
    </row>
    <row r="961" spans="13:22">
      <c r="M961" s="8"/>
      <c r="O961" t="str">
        <f t="shared" si="171"/>
        <v>Include</v>
      </c>
      <c r="P961" s="9">
        <f t="shared" si="172"/>
        <v>2035068.5799999984</v>
      </c>
      <c r="Q961" s="15">
        <f t="shared" si="173"/>
        <v>7469725</v>
      </c>
      <c r="R961" s="9">
        <f t="shared" si="174"/>
        <v>0</v>
      </c>
      <c r="S961" s="9">
        <f t="shared" si="175"/>
        <v>7469725</v>
      </c>
      <c r="T961" s="15">
        <f t="shared" si="176"/>
        <v>16.686436250344954</v>
      </c>
      <c r="U961" s="15">
        <f>IF(O961="Exclude",0,G961*Fuel_Price!$B$2)</f>
        <v>0</v>
      </c>
      <c r="V961" s="15">
        <f t="shared" si="177"/>
        <v>2989922.7577359979</v>
      </c>
    </row>
    <row r="962" spans="13:22">
      <c r="M962" s="8"/>
      <c r="O962" t="str">
        <f t="shared" ref="O962:O1025" si="180">IF(N962="Review","Exclude","Include")</f>
        <v>Include</v>
      </c>
      <c r="P962" s="9">
        <f t="shared" ref="P962:P1025" si="181">SUMIF(O:O,"Include",G:G)</f>
        <v>2035068.5799999984</v>
      </c>
      <c r="Q962" s="15">
        <f t="shared" ref="Q962:Q1025" si="182">SUMIF(O:O,"Include",E:E)</f>
        <v>7469725</v>
      </c>
      <c r="R962" s="9">
        <f t="shared" ref="R962:R1025" si="183">IF(O962="Exclude",0,E962)</f>
        <v>0</v>
      </c>
      <c r="S962" s="9">
        <f t="shared" ref="S962:S1025" si="184">SUM(R:R)</f>
        <v>7469725</v>
      </c>
      <c r="T962" s="15">
        <f t="shared" ref="T962:T1025" si="185">S962/(P962/4.54609)</f>
        <v>16.686436250344954</v>
      </c>
      <c r="U962" s="15">
        <f>IF(O962="Exclude",0,G962*Fuel_Price!$B$2)</f>
        <v>0</v>
      </c>
      <c r="V962" s="15">
        <f t="shared" ref="V962:V1025" si="186">SUM(U:U)</f>
        <v>2989922.7577359979</v>
      </c>
    </row>
    <row r="963" spans="13:22">
      <c r="M963" s="8"/>
      <c r="O963" t="str">
        <f t="shared" si="180"/>
        <v>Include</v>
      </c>
      <c r="P963" s="9">
        <f t="shared" si="181"/>
        <v>2035068.5799999984</v>
      </c>
      <c r="Q963" s="15">
        <f t="shared" si="182"/>
        <v>7469725</v>
      </c>
      <c r="R963" s="9">
        <f t="shared" si="183"/>
        <v>0</v>
      </c>
      <c r="S963" s="9">
        <f t="shared" si="184"/>
        <v>7469725</v>
      </c>
      <c r="T963" s="15">
        <f t="shared" si="185"/>
        <v>16.686436250344954</v>
      </c>
      <c r="U963" s="15">
        <f>IF(O963="Exclude",0,G963*Fuel_Price!$B$2)</f>
        <v>0</v>
      </c>
      <c r="V963" s="15">
        <f t="shared" si="186"/>
        <v>2989922.7577359979</v>
      </c>
    </row>
    <row r="964" spans="13:22">
      <c r="M964" s="8"/>
      <c r="O964" t="str">
        <f t="shared" si="180"/>
        <v>Include</v>
      </c>
      <c r="P964" s="9">
        <f t="shared" si="181"/>
        <v>2035068.5799999984</v>
      </c>
      <c r="Q964" s="15">
        <f t="shared" si="182"/>
        <v>7469725</v>
      </c>
      <c r="R964" s="9">
        <f t="shared" si="183"/>
        <v>0</v>
      </c>
      <c r="S964" s="9">
        <f t="shared" si="184"/>
        <v>7469725</v>
      </c>
      <c r="T964" s="15">
        <f t="shared" si="185"/>
        <v>16.686436250344954</v>
      </c>
      <c r="U964" s="15">
        <f>IF(O964="Exclude",0,G964*Fuel_Price!$B$2)</f>
        <v>0</v>
      </c>
      <c r="V964" s="15">
        <f t="shared" si="186"/>
        <v>2989922.7577359979</v>
      </c>
    </row>
    <row r="965" spans="13:22">
      <c r="M965" s="8"/>
      <c r="O965" t="str">
        <f t="shared" si="180"/>
        <v>Include</v>
      </c>
      <c r="P965" s="9">
        <f t="shared" si="181"/>
        <v>2035068.5799999984</v>
      </c>
      <c r="Q965" s="15">
        <f t="shared" si="182"/>
        <v>7469725</v>
      </c>
      <c r="R965" s="9">
        <f t="shared" si="183"/>
        <v>0</v>
      </c>
      <c r="S965" s="9">
        <f t="shared" si="184"/>
        <v>7469725</v>
      </c>
      <c r="T965" s="15">
        <f t="shared" si="185"/>
        <v>16.686436250344954</v>
      </c>
      <c r="U965" s="15">
        <f>IF(O965="Exclude",0,G965*Fuel_Price!$B$2)</f>
        <v>0</v>
      </c>
      <c r="V965" s="15">
        <f t="shared" si="186"/>
        <v>2989922.7577359979</v>
      </c>
    </row>
    <row r="966" spans="13:22">
      <c r="M966" s="8"/>
      <c r="O966" t="str">
        <f t="shared" si="180"/>
        <v>Include</v>
      </c>
      <c r="P966" s="9">
        <f t="shared" si="181"/>
        <v>2035068.5799999984</v>
      </c>
      <c r="Q966" s="15">
        <f t="shared" si="182"/>
        <v>7469725</v>
      </c>
      <c r="R966" s="9">
        <f t="shared" si="183"/>
        <v>0</v>
      </c>
      <c r="S966" s="9">
        <f t="shared" si="184"/>
        <v>7469725</v>
      </c>
      <c r="T966" s="15">
        <f t="shared" si="185"/>
        <v>16.686436250344954</v>
      </c>
      <c r="U966" s="15">
        <f>IF(O966="Exclude",0,G966*Fuel_Price!$B$2)</f>
        <v>0</v>
      </c>
      <c r="V966" s="15">
        <f t="shared" si="186"/>
        <v>2989922.7577359979</v>
      </c>
    </row>
    <row r="967" spans="13:22">
      <c r="M967" s="8"/>
      <c r="O967" t="str">
        <f t="shared" si="180"/>
        <v>Include</v>
      </c>
      <c r="P967" s="9">
        <f t="shared" si="181"/>
        <v>2035068.5799999984</v>
      </c>
      <c r="Q967" s="15">
        <f t="shared" si="182"/>
        <v>7469725</v>
      </c>
      <c r="R967" s="9">
        <f t="shared" si="183"/>
        <v>0</v>
      </c>
      <c r="S967" s="9">
        <f t="shared" si="184"/>
        <v>7469725</v>
      </c>
      <c r="T967" s="15">
        <f t="shared" si="185"/>
        <v>16.686436250344954</v>
      </c>
      <c r="U967" s="15">
        <f>IF(O967="Exclude",0,G967*Fuel_Price!$B$2)</f>
        <v>0</v>
      </c>
      <c r="V967" s="15">
        <f t="shared" si="186"/>
        <v>2989922.7577359979</v>
      </c>
    </row>
    <row r="968" spans="13:22">
      <c r="M968" s="8"/>
      <c r="O968" t="str">
        <f t="shared" si="180"/>
        <v>Include</v>
      </c>
      <c r="P968" s="9">
        <f t="shared" si="181"/>
        <v>2035068.5799999984</v>
      </c>
      <c r="Q968" s="15">
        <f t="shared" si="182"/>
        <v>7469725</v>
      </c>
      <c r="R968" s="9">
        <f t="shared" si="183"/>
        <v>0</v>
      </c>
      <c r="S968" s="9">
        <f t="shared" si="184"/>
        <v>7469725</v>
      </c>
      <c r="T968" s="15">
        <f t="shared" si="185"/>
        <v>16.686436250344954</v>
      </c>
      <c r="U968" s="15">
        <f>IF(O968="Exclude",0,G968*Fuel_Price!$B$2)</f>
        <v>0</v>
      </c>
      <c r="V968" s="15">
        <f t="shared" si="186"/>
        <v>2989922.7577359979</v>
      </c>
    </row>
    <row r="969" spans="13:22">
      <c r="M969" s="8"/>
      <c r="O969" t="str">
        <f t="shared" si="180"/>
        <v>Include</v>
      </c>
      <c r="P969" s="9">
        <f t="shared" si="181"/>
        <v>2035068.5799999984</v>
      </c>
      <c r="Q969" s="15">
        <f t="shared" si="182"/>
        <v>7469725</v>
      </c>
      <c r="R969" s="9">
        <f t="shared" si="183"/>
        <v>0</v>
      </c>
      <c r="S969" s="9">
        <f t="shared" si="184"/>
        <v>7469725</v>
      </c>
      <c r="T969" s="15">
        <f t="shared" si="185"/>
        <v>16.686436250344954</v>
      </c>
      <c r="U969" s="15">
        <f>IF(O969="Exclude",0,G969*Fuel_Price!$B$2)</f>
        <v>0</v>
      </c>
      <c r="V969" s="15">
        <f t="shared" si="186"/>
        <v>2989922.7577359979</v>
      </c>
    </row>
    <row r="970" spans="13:22">
      <c r="M970" s="8"/>
      <c r="O970" t="str">
        <f t="shared" si="180"/>
        <v>Include</v>
      </c>
      <c r="P970" s="9">
        <f t="shared" si="181"/>
        <v>2035068.5799999984</v>
      </c>
      <c r="Q970" s="15">
        <f t="shared" si="182"/>
        <v>7469725</v>
      </c>
      <c r="R970" s="9">
        <f t="shared" si="183"/>
        <v>0</v>
      </c>
      <c r="S970" s="9">
        <f t="shared" si="184"/>
        <v>7469725</v>
      </c>
      <c r="T970" s="15">
        <f t="shared" si="185"/>
        <v>16.686436250344954</v>
      </c>
      <c r="U970" s="15">
        <f>IF(O970="Exclude",0,G970*Fuel_Price!$B$2)</f>
        <v>0</v>
      </c>
      <c r="V970" s="15">
        <f t="shared" si="186"/>
        <v>2989922.7577359979</v>
      </c>
    </row>
    <row r="971" spans="13:22">
      <c r="M971" s="8"/>
      <c r="O971" t="str">
        <f t="shared" si="180"/>
        <v>Include</v>
      </c>
      <c r="P971" s="9">
        <f t="shared" si="181"/>
        <v>2035068.5799999984</v>
      </c>
      <c r="Q971" s="15">
        <f t="shared" si="182"/>
        <v>7469725</v>
      </c>
      <c r="R971" s="9">
        <f t="shared" si="183"/>
        <v>0</v>
      </c>
      <c r="S971" s="9">
        <f t="shared" si="184"/>
        <v>7469725</v>
      </c>
      <c r="T971" s="15">
        <f t="shared" si="185"/>
        <v>16.686436250344954</v>
      </c>
      <c r="U971" s="15">
        <f>IF(O971="Exclude",0,G971*Fuel_Price!$B$2)</f>
        <v>0</v>
      </c>
      <c r="V971" s="15">
        <f t="shared" si="186"/>
        <v>2989922.7577359979</v>
      </c>
    </row>
    <row r="972" spans="13:22">
      <c r="M972" s="8"/>
      <c r="O972" t="str">
        <f t="shared" si="180"/>
        <v>Include</v>
      </c>
      <c r="P972" s="9">
        <f t="shared" si="181"/>
        <v>2035068.5799999984</v>
      </c>
      <c r="Q972" s="15">
        <f t="shared" si="182"/>
        <v>7469725</v>
      </c>
      <c r="R972" s="9">
        <f t="shared" si="183"/>
        <v>0</v>
      </c>
      <c r="S972" s="9">
        <f t="shared" si="184"/>
        <v>7469725</v>
      </c>
      <c r="T972" s="15">
        <f t="shared" si="185"/>
        <v>16.686436250344954</v>
      </c>
      <c r="U972" s="15">
        <f>IF(O972="Exclude",0,G972*Fuel_Price!$B$2)</f>
        <v>0</v>
      </c>
      <c r="V972" s="15">
        <f t="shared" si="186"/>
        <v>2989922.7577359979</v>
      </c>
    </row>
    <row r="973" spans="13:22">
      <c r="M973" s="8"/>
      <c r="O973" t="str">
        <f t="shared" si="180"/>
        <v>Include</v>
      </c>
      <c r="P973" s="9">
        <f t="shared" si="181"/>
        <v>2035068.5799999984</v>
      </c>
      <c r="Q973" s="15">
        <f t="shared" si="182"/>
        <v>7469725</v>
      </c>
      <c r="R973" s="9">
        <f t="shared" si="183"/>
        <v>0</v>
      </c>
      <c r="S973" s="9">
        <f t="shared" si="184"/>
        <v>7469725</v>
      </c>
      <c r="T973" s="15">
        <f t="shared" si="185"/>
        <v>16.686436250344954</v>
      </c>
      <c r="U973" s="15">
        <f>IF(O973="Exclude",0,G973*Fuel_Price!$B$2)</f>
        <v>0</v>
      </c>
      <c r="V973" s="15">
        <f t="shared" si="186"/>
        <v>2989922.7577359979</v>
      </c>
    </row>
    <row r="974" spans="13:22">
      <c r="M974" s="8"/>
      <c r="O974" t="str">
        <f t="shared" si="180"/>
        <v>Include</v>
      </c>
      <c r="P974" s="9">
        <f t="shared" si="181"/>
        <v>2035068.5799999984</v>
      </c>
      <c r="Q974" s="15">
        <f t="shared" si="182"/>
        <v>7469725</v>
      </c>
      <c r="R974" s="9">
        <f t="shared" si="183"/>
        <v>0</v>
      </c>
      <c r="S974" s="9">
        <f t="shared" si="184"/>
        <v>7469725</v>
      </c>
      <c r="T974" s="15">
        <f t="shared" si="185"/>
        <v>16.686436250344954</v>
      </c>
      <c r="U974" s="15">
        <f>IF(O974="Exclude",0,G974*Fuel_Price!$B$2)</f>
        <v>0</v>
      </c>
      <c r="V974" s="15">
        <f t="shared" si="186"/>
        <v>2989922.7577359979</v>
      </c>
    </row>
    <row r="975" spans="13:22">
      <c r="M975" s="8"/>
      <c r="O975" t="str">
        <f t="shared" si="180"/>
        <v>Include</v>
      </c>
      <c r="P975" s="9">
        <f t="shared" si="181"/>
        <v>2035068.5799999984</v>
      </c>
      <c r="Q975" s="15">
        <f t="shared" si="182"/>
        <v>7469725</v>
      </c>
      <c r="R975" s="9">
        <f t="shared" si="183"/>
        <v>0</v>
      </c>
      <c r="S975" s="9">
        <f t="shared" si="184"/>
        <v>7469725</v>
      </c>
      <c r="T975" s="15">
        <f t="shared" si="185"/>
        <v>16.686436250344954</v>
      </c>
      <c r="U975" s="15">
        <f>IF(O975="Exclude",0,G975*Fuel_Price!$B$2)</f>
        <v>0</v>
      </c>
      <c r="V975" s="15">
        <f t="shared" si="186"/>
        <v>2989922.7577359979</v>
      </c>
    </row>
    <row r="976" spans="13:22">
      <c r="M976" s="8"/>
      <c r="O976" t="str">
        <f t="shared" si="180"/>
        <v>Include</v>
      </c>
      <c r="P976" s="9">
        <f t="shared" si="181"/>
        <v>2035068.5799999984</v>
      </c>
      <c r="Q976" s="15">
        <f t="shared" si="182"/>
        <v>7469725</v>
      </c>
      <c r="R976" s="9">
        <f t="shared" si="183"/>
        <v>0</v>
      </c>
      <c r="S976" s="9">
        <f t="shared" si="184"/>
        <v>7469725</v>
      </c>
      <c r="T976" s="15">
        <f t="shared" si="185"/>
        <v>16.686436250344954</v>
      </c>
      <c r="U976" s="15">
        <f>IF(O976="Exclude",0,G976*Fuel_Price!$B$2)</f>
        <v>0</v>
      </c>
      <c r="V976" s="15">
        <f t="shared" si="186"/>
        <v>2989922.7577359979</v>
      </c>
    </row>
    <row r="977" spans="13:22">
      <c r="M977" s="8"/>
      <c r="O977" t="str">
        <f t="shared" si="180"/>
        <v>Include</v>
      </c>
      <c r="P977" s="9">
        <f t="shared" si="181"/>
        <v>2035068.5799999984</v>
      </c>
      <c r="Q977" s="15">
        <f t="shared" si="182"/>
        <v>7469725</v>
      </c>
      <c r="R977" s="9">
        <f t="shared" si="183"/>
        <v>0</v>
      </c>
      <c r="S977" s="9">
        <f t="shared" si="184"/>
        <v>7469725</v>
      </c>
      <c r="T977" s="15">
        <f t="shared" si="185"/>
        <v>16.686436250344954</v>
      </c>
      <c r="U977" s="15">
        <f>IF(O977="Exclude",0,G977*Fuel_Price!$B$2)</f>
        <v>0</v>
      </c>
      <c r="V977" s="15">
        <f t="shared" si="186"/>
        <v>2989922.7577359979</v>
      </c>
    </row>
    <row r="978" spans="13:22">
      <c r="M978" s="8"/>
      <c r="O978" t="str">
        <f t="shared" si="180"/>
        <v>Include</v>
      </c>
      <c r="P978" s="9">
        <f t="shared" si="181"/>
        <v>2035068.5799999984</v>
      </c>
      <c r="Q978" s="15">
        <f t="shared" si="182"/>
        <v>7469725</v>
      </c>
      <c r="R978" s="9">
        <f t="shared" si="183"/>
        <v>0</v>
      </c>
      <c r="S978" s="9">
        <f t="shared" si="184"/>
        <v>7469725</v>
      </c>
      <c r="T978" s="15">
        <f t="shared" si="185"/>
        <v>16.686436250344954</v>
      </c>
      <c r="U978" s="15">
        <f>IF(O978="Exclude",0,G978*Fuel_Price!$B$2)</f>
        <v>0</v>
      </c>
      <c r="V978" s="15">
        <f t="shared" si="186"/>
        <v>2989922.7577359979</v>
      </c>
    </row>
    <row r="979" spans="13:22">
      <c r="M979" s="8"/>
      <c r="O979" t="str">
        <f t="shared" si="180"/>
        <v>Include</v>
      </c>
      <c r="P979" s="9">
        <f t="shared" si="181"/>
        <v>2035068.5799999984</v>
      </c>
      <c r="Q979" s="15">
        <f t="shared" si="182"/>
        <v>7469725</v>
      </c>
      <c r="R979" s="9">
        <f t="shared" si="183"/>
        <v>0</v>
      </c>
      <c r="S979" s="9">
        <f t="shared" si="184"/>
        <v>7469725</v>
      </c>
      <c r="T979" s="15">
        <f t="shared" si="185"/>
        <v>16.686436250344954</v>
      </c>
      <c r="U979" s="15">
        <f>IF(O979="Exclude",0,G979*Fuel_Price!$B$2)</f>
        <v>0</v>
      </c>
      <c r="V979" s="15">
        <f t="shared" si="186"/>
        <v>2989922.7577359979</v>
      </c>
    </row>
    <row r="980" spans="13:22">
      <c r="M980" s="8"/>
      <c r="O980" t="str">
        <f t="shared" si="180"/>
        <v>Include</v>
      </c>
      <c r="P980" s="9">
        <f t="shared" si="181"/>
        <v>2035068.5799999984</v>
      </c>
      <c r="Q980" s="15">
        <f t="shared" si="182"/>
        <v>7469725</v>
      </c>
      <c r="R980" s="9">
        <f t="shared" si="183"/>
        <v>0</v>
      </c>
      <c r="S980" s="9">
        <f t="shared" si="184"/>
        <v>7469725</v>
      </c>
      <c r="T980" s="15">
        <f t="shared" si="185"/>
        <v>16.686436250344954</v>
      </c>
      <c r="U980" s="15">
        <f>IF(O980="Exclude",0,G980*Fuel_Price!$B$2)</f>
        <v>0</v>
      </c>
      <c r="V980" s="15">
        <f t="shared" si="186"/>
        <v>2989922.7577359979</v>
      </c>
    </row>
    <row r="981" spans="13:22">
      <c r="M981" s="8"/>
      <c r="O981" t="str">
        <f t="shared" si="180"/>
        <v>Include</v>
      </c>
      <c r="P981" s="9">
        <f t="shared" si="181"/>
        <v>2035068.5799999984</v>
      </c>
      <c r="Q981" s="15">
        <f t="shared" si="182"/>
        <v>7469725</v>
      </c>
      <c r="R981" s="9">
        <f t="shared" si="183"/>
        <v>0</v>
      </c>
      <c r="S981" s="9">
        <f t="shared" si="184"/>
        <v>7469725</v>
      </c>
      <c r="T981" s="15">
        <f t="shared" si="185"/>
        <v>16.686436250344954</v>
      </c>
      <c r="U981" s="15">
        <f>IF(O981="Exclude",0,G981*Fuel_Price!$B$2)</f>
        <v>0</v>
      </c>
      <c r="V981" s="15">
        <f t="shared" si="186"/>
        <v>2989922.7577359979</v>
      </c>
    </row>
    <row r="982" spans="13:22">
      <c r="M982" s="8"/>
      <c r="O982" t="str">
        <f t="shared" si="180"/>
        <v>Include</v>
      </c>
      <c r="P982" s="9">
        <f t="shared" si="181"/>
        <v>2035068.5799999984</v>
      </c>
      <c r="Q982" s="15">
        <f t="shared" si="182"/>
        <v>7469725</v>
      </c>
      <c r="R982" s="9">
        <f t="shared" si="183"/>
        <v>0</v>
      </c>
      <c r="S982" s="9">
        <f t="shared" si="184"/>
        <v>7469725</v>
      </c>
      <c r="T982" s="15">
        <f t="shared" si="185"/>
        <v>16.686436250344954</v>
      </c>
      <c r="U982" s="15">
        <f>IF(O982="Exclude",0,G982*Fuel_Price!$B$2)</f>
        <v>0</v>
      </c>
      <c r="V982" s="15">
        <f t="shared" si="186"/>
        <v>2989922.7577359979</v>
      </c>
    </row>
    <row r="983" spans="13:22">
      <c r="M983" s="8"/>
      <c r="O983" t="str">
        <f t="shared" si="180"/>
        <v>Include</v>
      </c>
      <c r="P983" s="9">
        <f t="shared" si="181"/>
        <v>2035068.5799999984</v>
      </c>
      <c r="Q983" s="15">
        <f t="shared" si="182"/>
        <v>7469725</v>
      </c>
      <c r="R983" s="9">
        <f t="shared" si="183"/>
        <v>0</v>
      </c>
      <c r="S983" s="9">
        <f t="shared" si="184"/>
        <v>7469725</v>
      </c>
      <c r="T983" s="15">
        <f t="shared" si="185"/>
        <v>16.686436250344954</v>
      </c>
      <c r="U983" s="15">
        <f>IF(O983="Exclude",0,G983*Fuel_Price!$B$2)</f>
        <v>0</v>
      </c>
      <c r="V983" s="15">
        <f t="shared" si="186"/>
        <v>2989922.7577359979</v>
      </c>
    </row>
    <row r="984" spans="13:22">
      <c r="M984" s="8"/>
      <c r="O984" t="str">
        <f t="shared" si="180"/>
        <v>Include</v>
      </c>
      <c r="P984" s="9">
        <f t="shared" si="181"/>
        <v>2035068.5799999984</v>
      </c>
      <c r="Q984" s="15">
        <f t="shared" si="182"/>
        <v>7469725</v>
      </c>
      <c r="R984" s="9">
        <f t="shared" si="183"/>
        <v>0</v>
      </c>
      <c r="S984" s="9">
        <f t="shared" si="184"/>
        <v>7469725</v>
      </c>
      <c r="T984" s="15">
        <f t="shared" si="185"/>
        <v>16.686436250344954</v>
      </c>
      <c r="U984" s="15">
        <f>IF(O984="Exclude",0,G984*Fuel_Price!$B$2)</f>
        <v>0</v>
      </c>
      <c r="V984" s="15">
        <f t="shared" si="186"/>
        <v>2989922.7577359979</v>
      </c>
    </row>
    <row r="985" spans="13:22">
      <c r="M985" s="8"/>
      <c r="O985" t="str">
        <f t="shared" si="180"/>
        <v>Include</v>
      </c>
      <c r="P985" s="9">
        <f t="shared" si="181"/>
        <v>2035068.5799999984</v>
      </c>
      <c r="Q985" s="15">
        <f t="shared" si="182"/>
        <v>7469725</v>
      </c>
      <c r="R985" s="9">
        <f t="shared" si="183"/>
        <v>0</v>
      </c>
      <c r="S985" s="9">
        <f t="shared" si="184"/>
        <v>7469725</v>
      </c>
      <c r="T985" s="15">
        <f t="shared" si="185"/>
        <v>16.686436250344954</v>
      </c>
      <c r="U985" s="15">
        <f>IF(O985="Exclude",0,G985*Fuel_Price!$B$2)</f>
        <v>0</v>
      </c>
      <c r="V985" s="15">
        <f t="shared" si="186"/>
        <v>2989922.7577359979</v>
      </c>
    </row>
    <row r="986" spans="13:22">
      <c r="M986" s="8"/>
      <c r="O986" t="str">
        <f t="shared" si="180"/>
        <v>Include</v>
      </c>
      <c r="P986" s="9">
        <f t="shared" si="181"/>
        <v>2035068.5799999984</v>
      </c>
      <c r="Q986" s="15">
        <f t="shared" si="182"/>
        <v>7469725</v>
      </c>
      <c r="R986" s="9">
        <f t="shared" si="183"/>
        <v>0</v>
      </c>
      <c r="S986" s="9">
        <f t="shared" si="184"/>
        <v>7469725</v>
      </c>
      <c r="T986" s="15">
        <f t="shared" si="185"/>
        <v>16.686436250344954</v>
      </c>
      <c r="U986" s="15">
        <f>IF(O986="Exclude",0,G986*Fuel_Price!$B$2)</f>
        <v>0</v>
      </c>
      <c r="V986" s="15">
        <f t="shared" si="186"/>
        <v>2989922.7577359979</v>
      </c>
    </row>
    <row r="987" spans="13:22">
      <c r="M987" s="8"/>
      <c r="O987" t="str">
        <f t="shared" si="180"/>
        <v>Include</v>
      </c>
      <c r="P987" s="9">
        <f t="shared" si="181"/>
        <v>2035068.5799999984</v>
      </c>
      <c r="Q987" s="15">
        <f t="shared" si="182"/>
        <v>7469725</v>
      </c>
      <c r="R987" s="9">
        <f t="shared" si="183"/>
        <v>0</v>
      </c>
      <c r="S987" s="9">
        <f t="shared" si="184"/>
        <v>7469725</v>
      </c>
      <c r="T987" s="15">
        <f t="shared" si="185"/>
        <v>16.686436250344954</v>
      </c>
      <c r="U987" s="15">
        <f>IF(O987="Exclude",0,G987*Fuel_Price!$B$2)</f>
        <v>0</v>
      </c>
      <c r="V987" s="15">
        <f t="shared" si="186"/>
        <v>2989922.7577359979</v>
      </c>
    </row>
    <row r="988" spans="13:22">
      <c r="M988" s="8"/>
      <c r="O988" t="str">
        <f t="shared" si="180"/>
        <v>Include</v>
      </c>
      <c r="P988" s="9">
        <f t="shared" si="181"/>
        <v>2035068.5799999984</v>
      </c>
      <c r="Q988" s="15">
        <f t="shared" si="182"/>
        <v>7469725</v>
      </c>
      <c r="R988" s="9">
        <f t="shared" si="183"/>
        <v>0</v>
      </c>
      <c r="S988" s="9">
        <f t="shared" si="184"/>
        <v>7469725</v>
      </c>
      <c r="T988" s="15">
        <f t="shared" si="185"/>
        <v>16.686436250344954</v>
      </c>
      <c r="U988" s="15">
        <f>IF(O988="Exclude",0,G988*Fuel_Price!$B$2)</f>
        <v>0</v>
      </c>
      <c r="V988" s="15">
        <f t="shared" si="186"/>
        <v>2989922.7577359979</v>
      </c>
    </row>
    <row r="989" spans="13:22">
      <c r="M989" s="8"/>
      <c r="O989" t="str">
        <f t="shared" si="180"/>
        <v>Include</v>
      </c>
      <c r="P989" s="9">
        <f t="shared" si="181"/>
        <v>2035068.5799999984</v>
      </c>
      <c r="Q989" s="15">
        <f t="shared" si="182"/>
        <v>7469725</v>
      </c>
      <c r="R989" s="9">
        <f t="shared" si="183"/>
        <v>0</v>
      </c>
      <c r="S989" s="9">
        <f t="shared" si="184"/>
        <v>7469725</v>
      </c>
      <c r="T989" s="15">
        <f t="shared" si="185"/>
        <v>16.686436250344954</v>
      </c>
      <c r="U989" s="15">
        <f>IF(O989="Exclude",0,G989*Fuel_Price!$B$2)</f>
        <v>0</v>
      </c>
      <c r="V989" s="15">
        <f t="shared" si="186"/>
        <v>2989922.7577359979</v>
      </c>
    </row>
    <row r="990" spans="13:22">
      <c r="M990" s="8"/>
      <c r="O990" t="str">
        <f t="shared" si="180"/>
        <v>Include</v>
      </c>
      <c r="P990" s="9">
        <f t="shared" si="181"/>
        <v>2035068.5799999984</v>
      </c>
      <c r="Q990" s="15">
        <f t="shared" si="182"/>
        <v>7469725</v>
      </c>
      <c r="R990" s="9">
        <f t="shared" si="183"/>
        <v>0</v>
      </c>
      <c r="S990" s="9">
        <f t="shared" si="184"/>
        <v>7469725</v>
      </c>
      <c r="T990" s="15">
        <f t="shared" si="185"/>
        <v>16.686436250344954</v>
      </c>
      <c r="U990" s="15">
        <f>IF(O990="Exclude",0,G990*Fuel_Price!$B$2)</f>
        <v>0</v>
      </c>
      <c r="V990" s="15">
        <f t="shared" si="186"/>
        <v>2989922.7577359979</v>
      </c>
    </row>
    <row r="991" spans="13:22">
      <c r="M991" s="8"/>
      <c r="O991" t="str">
        <f t="shared" si="180"/>
        <v>Include</v>
      </c>
      <c r="P991" s="9">
        <f t="shared" si="181"/>
        <v>2035068.5799999984</v>
      </c>
      <c r="Q991" s="15">
        <f t="shared" si="182"/>
        <v>7469725</v>
      </c>
      <c r="R991" s="9">
        <f t="shared" si="183"/>
        <v>0</v>
      </c>
      <c r="S991" s="9">
        <f t="shared" si="184"/>
        <v>7469725</v>
      </c>
      <c r="T991" s="15">
        <f t="shared" si="185"/>
        <v>16.686436250344954</v>
      </c>
      <c r="U991" s="15">
        <f>IF(O991="Exclude",0,G991*Fuel_Price!$B$2)</f>
        <v>0</v>
      </c>
      <c r="V991" s="15">
        <f t="shared" si="186"/>
        <v>2989922.7577359979</v>
      </c>
    </row>
    <row r="992" spans="13:22">
      <c r="M992" s="8"/>
      <c r="O992" t="str">
        <f t="shared" si="180"/>
        <v>Include</v>
      </c>
      <c r="P992" s="9">
        <f t="shared" si="181"/>
        <v>2035068.5799999984</v>
      </c>
      <c r="Q992" s="15">
        <f t="shared" si="182"/>
        <v>7469725</v>
      </c>
      <c r="R992" s="9">
        <f t="shared" si="183"/>
        <v>0</v>
      </c>
      <c r="S992" s="9">
        <f t="shared" si="184"/>
        <v>7469725</v>
      </c>
      <c r="T992" s="15">
        <f t="shared" si="185"/>
        <v>16.686436250344954</v>
      </c>
      <c r="U992" s="15">
        <f>IF(O992="Exclude",0,G992*Fuel_Price!$B$2)</f>
        <v>0</v>
      </c>
      <c r="V992" s="15">
        <f t="shared" si="186"/>
        <v>2989922.7577359979</v>
      </c>
    </row>
    <row r="993" spans="13:22">
      <c r="M993" s="8"/>
      <c r="O993" t="str">
        <f t="shared" si="180"/>
        <v>Include</v>
      </c>
      <c r="P993" s="9">
        <f t="shared" si="181"/>
        <v>2035068.5799999984</v>
      </c>
      <c r="Q993" s="15">
        <f t="shared" si="182"/>
        <v>7469725</v>
      </c>
      <c r="R993" s="9">
        <f t="shared" si="183"/>
        <v>0</v>
      </c>
      <c r="S993" s="9">
        <f t="shared" si="184"/>
        <v>7469725</v>
      </c>
      <c r="T993" s="15">
        <f t="shared" si="185"/>
        <v>16.686436250344954</v>
      </c>
      <c r="U993" s="15">
        <f>IF(O993="Exclude",0,G993*Fuel_Price!$B$2)</f>
        <v>0</v>
      </c>
      <c r="V993" s="15">
        <f t="shared" si="186"/>
        <v>2989922.7577359979</v>
      </c>
    </row>
    <row r="994" spans="13:22">
      <c r="M994" s="8"/>
      <c r="O994" t="str">
        <f t="shared" si="180"/>
        <v>Include</v>
      </c>
      <c r="P994" s="9">
        <f t="shared" si="181"/>
        <v>2035068.5799999984</v>
      </c>
      <c r="Q994" s="15">
        <f t="shared" si="182"/>
        <v>7469725</v>
      </c>
      <c r="R994" s="9">
        <f t="shared" si="183"/>
        <v>0</v>
      </c>
      <c r="S994" s="9">
        <f t="shared" si="184"/>
        <v>7469725</v>
      </c>
      <c r="T994" s="15">
        <f t="shared" si="185"/>
        <v>16.686436250344954</v>
      </c>
      <c r="U994" s="15">
        <f>IF(O994="Exclude",0,G994*Fuel_Price!$B$2)</f>
        <v>0</v>
      </c>
      <c r="V994" s="15">
        <f t="shared" si="186"/>
        <v>2989922.7577359979</v>
      </c>
    </row>
    <row r="995" spans="13:22">
      <c r="M995" s="8"/>
      <c r="O995" t="str">
        <f t="shared" si="180"/>
        <v>Include</v>
      </c>
      <c r="P995" s="9">
        <f t="shared" si="181"/>
        <v>2035068.5799999984</v>
      </c>
      <c r="Q995" s="15">
        <f t="shared" si="182"/>
        <v>7469725</v>
      </c>
      <c r="R995" s="9">
        <f t="shared" si="183"/>
        <v>0</v>
      </c>
      <c r="S995" s="9">
        <f t="shared" si="184"/>
        <v>7469725</v>
      </c>
      <c r="T995" s="15">
        <f t="shared" si="185"/>
        <v>16.686436250344954</v>
      </c>
      <c r="U995" s="15">
        <f>IF(O995="Exclude",0,G995*Fuel_Price!$B$2)</f>
        <v>0</v>
      </c>
      <c r="V995" s="15">
        <f t="shared" si="186"/>
        <v>2989922.7577359979</v>
      </c>
    </row>
    <row r="996" spans="13:22">
      <c r="M996" s="8"/>
      <c r="O996" t="str">
        <f t="shared" si="180"/>
        <v>Include</v>
      </c>
      <c r="P996" s="9">
        <f t="shared" si="181"/>
        <v>2035068.5799999984</v>
      </c>
      <c r="Q996" s="15">
        <f t="shared" si="182"/>
        <v>7469725</v>
      </c>
      <c r="R996" s="9">
        <f t="shared" si="183"/>
        <v>0</v>
      </c>
      <c r="S996" s="9">
        <f t="shared" si="184"/>
        <v>7469725</v>
      </c>
      <c r="T996" s="15">
        <f t="shared" si="185"/>
        <v>16.686436250344954</v>
      </c>
      <c r="U996" s="15">
        <f>IF(O996="Exclude",0,G996*Fuel_Price!$B$2)</f>
        <v>0</v>
      </c>
      <c r="V996" s="15">
        <f t="shared" si="186"/>
        <v>2989922.7577359979</v>
      </c>
    </row>
    <row r="997" spans="13:22">
      <c r="M997" s="8"/>
      <c r="O997" t="str">
        <f t="shared" si="180"/>
        <v>Include</v>
      </c>
      <c r="P997" s="9">
        <f t="shared" si="181"/>
        <v>2035068.5799999984</v>
      </c>
      <c r="Q997" s="15">
        <f t="shared" si="182"/>
        <v>7469725</v>
      </c>
      <c r="R997" s="9">
        <f t="shared" si="183"/>
        <v>0</v>
      </c>
      <c r="S997" s="9">
        <f t="shared" si="184"/>
        <v>7469725</v>
      </c>
      <c r="T997" s="15">
        <f t="shared" si="185"/>
        <v>16.686436250344954</v>
      </c>
      <c r="U997" s="15">
        <f>IF(O997="Exclude",0,G997*Fuel_Price!$B$2)</f>
        <v>0</v>
      </c>
      <c r="V997" s="15">
        <f t="shared" si="186"/>
        <v>2989922.7577359979</v>
      </c>
    </row>
    <row r="998" spans="13:22">
      <c r="M998" s="8"/>
      <c r="O998" t="str">
        <f t="shared" si="180"/>
        <v>Include</v>
      </c>
      <c r="P998" s="9">
        <f t="shared" si="181"/>
        <v>2035068.5799999984</v>
      </c>
      <c r="Q998" s="15">
        <f t="shared" si="182"/>
        <v>7469725</v>
      </c>
      <c r="R998" s="9">
        <f t="shared" si="183"/>
        <v>0</v>
      </c>
      <c r="S998" s="9">
        <f t="shared" si="184"/>
        <v>7469725</v>
      </c>
      <c r="T998" s="15">
        <f t="shared" si="185"/>
        <v>16.686436250344954</v>
      </c>
      <c r="U998" s="15">
        <f>IF(O998="Exclude",0,G998*Fuel_Price!$B$2)</f>
        <v>0</v>
      </c>
      <c r="V998" s="15">
        <f t="shared" si="186"/>
        <v>2989922.7577359979</v>
      </c>
    </row>
    <row r="999" spans="13:22">
      <c r="M999" s="8"/>
      <c r="O999" t="str">
        <f t="shared" si="180"/>
        <v>Include</v>
      </c>
      <c r="P999" s="9">
        <f t="shared" si="181"/>
        <v>2035068.5799999984</v>
      </c>
      <c r="Q999" s="15">
        <f t="shared" si="182"/>
        <v>7469725</v>
      </c>
      <c r="R999" s="9">
        <f t="shared" si="183"/>
        <v>0</v>
      </c>
      <c r="S999" s="9">
        <f t="shared" si="184"/>
        <v>7469725</v>
      </c>
      <c r="T999" s="15">
        <f t="shared" si="185"/>
        <v>16.686436250344954</v>
      </c>
      <c r="U999" s="15">
        <f>IF(O999="Exclude",0,G999*Fuel_Price!$B$2)</f>
        <v>0</v>
      </c>
      <c r="V999" s="15">
        <f t="shared" si="186"/>
        <v>2989922.7577359979</v>
      </c>
    </row>
    <row r="1000" spans="13:22">
      <c r="M1000" s="8"/>
      <c r="O1000" t="str">
        <f t="shared" si="180"/>
        <v>Include</v>
      </c>
      <c r="P1000" s="9">
        <f t="shared" si="181"/>
        <v>2035068.5799999984</v>
      </c>
      <c r="Q1000" s="15">
        <f t="shared" si="182"/>
        <v>7469725</v>
      </c>
      <c r="R1000" s="9">
        <f t="shared" si="183"/>
        <v>0</v>
      </c>
      <c r="S1000" s="9">
        <f t="shared" si="184"/>
        <v>7469725</v>
      </c>
      <c r="T1000" s="15">
        <f t="shared" si="185"/>
        <v>16.686436250344954</v>
      </c>
      <c r="U1000" s="15">
        <f>IF(O1000="Exclude",0,G1000*Fuel_Price!$B$2)</f>
        <v>0</v>
      </c>
      <c r="V1000" s="15">
        <f t="shared" si="186"/>
        <v>2989922.7577359979</v>
      </c>
    </row>
    <row r="1001" spans="13:22">
      <c r="M1001" s="8"/>
      <c r="O1001" t="str">
        <f t="shared" si="180"/>
        <v>Include</v>
      </c>
      <c r="P1001" s="9">
        <f t="shared" si="181"/>
        <v>2035068.5799999984</v>
      </c>
      <c r="Q1001" s="15">
        <f t="shared" si="182"/>
        <v>7469725</v>
      </c>
      <c r="R1001" s="9">
        <f t="shared" si="183"/>
        <v>0</v>
      </c>
      <c r="S1001" s="9">
        <f t="shared" si="184"/>
        <v>7469725</v>
      </c>
      <c r="T1001" s="15">
        <f t="shared" si="185"/>
        <v>16.686436250344954</v>
      </c>
      <c r="U1001" s="15">
        <f>IF(O1001="Exclude",0,G1001*Fuel_Price!$B$2)</f>
        <v>0</v>
      </c>
      <c r="V1001" s="15">
        <f t="shared" si="186"/>
        <v>2989922.7577359979</v>
      </c>
    </row>
    <row r="1002" spans="13:22">
      <c r="M1002" s="8"/>
      <c r="O1002" t="str">
        <f t="shared" si="180"/>
        <v>Include</v>
      </c>
      <c r="P1002" s="9">
        <f t="shared" si="181"/>
        <v>2035068.5799999984</v>
      </c>
      <c r="Q1002" s="15">
        <f t="shared" si="182"/>
        <v>7469725</v>
      </c>
      <c r="R1002" s="9">
        <f t="shared" si="183"/>
        <v>0</v>
      </c>
      <c r="S1002" s="9">
        <f t="shared" si="184"/>
        <v>7469725</v>
      </c>
      <c r="T1002" s="15">
        <f t="shared" si="185"/>
        <v>16.686436250344954</v>
      </c>
      <c r="U1002" s="15">
        <f>IF(O1002="Exclude",0,G1002*Fuel_Price!$B$2)</f>
        <v>0</v>
      </c>
      <c r="V1002" s="15">
        <f t="shared" si="186"/>
        <v>2989922.7577359979</v>
      </c>
    </row>
    <row r="1003" spans="13:22">
      <c r="M1003" s="8"/>
      <c r="O1003" t="str">
        <f t="shared" si="180"/>
        <v>Include</v>
      </c>
      <c r="P1003" s="9">
        <f t="shared" si="181"/>
        <v>2035068.5799999984</v>
      </c>
      <c r="Q1003" s="15">
        <f t="shared" si="182"/>
        <v>7469725</v>
      </c>
      <c r="R1003" s="9">
        <f t="shared" si="183"/>
        <v>0</v>
      </c>
      <c r="S1003" s="9">
        <f t="shared" si="184"/>
        <v>7469725</v>
      </c>
      <c r="T1003" s="15">
        <f t="shared" si="185"/>
        <v>16.686436250344954</v>
      </c>
      <c r="U1003" s="15">
        <f>IF(O1003="Exclude",0,G1003*Fuel_Price!$B$2)</f>
        <v>0</v>
      </c>
      <c r="V1003" s="15">
        <f t="shared" si="186"/>
        <v>2989922.7577359979</v>
      </c>
    </row>
    <row r="1004" spans="13:22">
      <c r="M1004" s="8"/>
      <c r="O1004" t="str">
        <f t="shared" si="180"/>
        <v>Include</v>
      </c>
      <c r="P1004" s="9">
        <f t="shared" si="181"/>
        <v>2035068.5799999984</v>
      </c>
      <c r="Q1004" s="15">
        <f t="shared" si="182"/>
        <v>7469725</v>
      </c>
      <c r="R1004" s="9">
        <f t="shared" si="183"/>
        <v>0</v>
      </c>
      <c r="S1004" s="9">
        <f t="shared" si="184"/>
        <v>7469725</v>
      </c>
      <c r="T1004" s="15">
        <f t="shared" si="185"/>
        <v>16.686436250344954</v>
      </c>
      <c r="U1004" s="15">
        <f>IF(O1004="Exclude",0,G1004*Fuel_Price!$B$2)</f>
        <v>0</v>
      </c>
      <c r="V1004" s="15">
        <f t="shared" si="186"/>
        <v>2989922.7577359979</v>
      </c>
    </row>
    <row r="1005" spans="13:22">
      <c r="M1005" s="8"/>
      <c r="O1005" t="str">
        <f t="shared" si="180"/>
        <v>Include</v>
      </c>
      <c r="P1005" s="9">
        <f t="shared" si="181"/>
        <v>2035068.5799999984</v>
      </c>
      <c r="Q1005" s="15">
        <f t="shared" si="182"/>
        <v>7469725</v>
      </c>
      <c r="R1005" s="9">
        <f t="shared" si="183"/>
        <v>0</v>
      </c>
      <c r="S1005" s="9">
        <f t="shared" si="184"/>
        <v>7469725</v>
      </c>
      <c r="T1005" s="15">
        <f t="shared" si="185"/>
        <v>16.686436250344954</v>
      </c>
      <c r="U1005" s="15">
        <f>IF(O1005="Exclude",0,G1005*Fuel_Price!$B$2)</f>
        <v>0</v>
      </c>
      <c r="V1005" s="15">
        <f t="shared" si="186"/>
        <v>2989922.7577359979</v>
      </c>
    </row>
    <row r="1006" spans="13:22">
      <c r="M1006" s="8"/>
      <c r="O1006" t="str">
        <f t="shared" si="180"/>
        <v>Include</v>
      </c>
      <c r="P1006" s="9">
        <f t="shared" si="181"/>
        <v>2035068.5799999984</v>
      </c>
      <c r="Q1006" s="15">
        <f t="shared" si="182"/>
        <v>7469725</v>
      </c>
      <c r="R1006" s="9">
        <f t="shared" si="183"/>
        <v>0</v>
      </c>
      <c r="S1006" s="9">
        <f t="shared" si="184"/>
        <v>7469725</v>
      </c>
      <c r="T1006" s="15">
        <f t="shared" si="185"/>
        <v>16.686436250344954</v>
      </c>
      <c r="U1006" s="15">
        <f>IF(O1006="Exclude",0,G1006*Fuel_Price!$B$2)</f>
        <v>0</v>
      </c>
      <c r="V1006" s="15">
        <f t="shared" si="186"/>
        <v>2989922.7577359979</v>
      </c>
    </row>
    <row r="1007" spans="13:22">
      <c r="M1007" s="8"/>
      <c r="O1007" t="str">
        <f t="shared" si="180"/>
        <v>Include</v>
      </c>
      <c r="P1007" s="9">
        <f t="shared" si="181"/>
        <v>2035068.5799999984</v>
      </c>
      <c r="Q1007" s="15">
        <f t="shared" si="182"/>
        <v>7469725</v>
      </c>
      <c r="R1007" s="9">
        <f t="shared" si="183"/>
        <v>0</v>
      </c>
      <c r="S1007" s="9">
        <f t="shared" si="184"/>
        <v>7469725</v>
      </c>
      <c r="T1007" s="15">
        <f t="shared" si="185"/>
        <v>16.686436250344954</v>
      </c>
      <c r="U1007" s="15">
        <f>IF(O1007="Exclude",0,G1007*Fuel_Price!$B$2)</f>
        <v>0</v>
      </c>
      <c r="V1007" s="15">
        <f t="shared" si="186"/>
        <v>2989922.7577359979</v>
      </c>
    </row>
    <row r="1008" spans="13:22">
      <c r="M1008" s="8"/>
      <c r="O1008" t="str">
        <f t="shared" si="180"/>
        <v>Include</v>
      </c>
      <c r="P1008" s="9">
        <f t="shared" si="181"/>
        <v>2035068.5799999984</v>
      </c>
      <c r="Q1008" s="15">
        <f t="shared" si="182"/>
        <v>7469725</v>
      </c>
      <c r="R1008" s="9">
        <f t="shared" si="183"/>
        <v>0</v>
      </c>
      <c r="S1008" s="9">
        <f t="shared" si="184"/>
        <v>7469725</v>
      </c>
      <c r="T1008" s="15">
        <f t="shared" si="185"/>
        <v>16.686436250344954</v>
      </c>
      <c r="U1008" s="15">
        <f>IF(O1008="Exclude",0,G1008*Fuel_Price!$B$2)</f>
        <v>0</v>
      </c>
      <c r="V1008" s="15">
        <f t="shared" si="186"/>
        <v>2989922.7577359979</v>
      </c>
    </row>
    <row r="1009" spans="13:22">
      <c r="M1009" s="8"/>
      <c r="O1009" t="str">
        <f t="shared" si="180"/>
        <v>Include</v>
      </c>
      <c r="P1009" s="9">
        <f t="shared" si="181"/>
        <v>2035068.5799999984</v>
      </c>
      <c r="Q1009" s="15">
        <f t="shared" si="182"/>
        <v>7469725</v>
      </c>
      <c r="R1009" s="9">
        <f t="shared" si="183"/>
        <v>0</v>
      </c>
      <c r="S1009" s="9">
        <f t="shared" si="184"/>
        <v>7469725</v>
      </c>
      <c r="T1009" s="15">
        <f t="shared" si="185"/>
        <v>16.686436250344954</v>
      </c>
      <c r="U1009" s="15">
        <f>IF(O1009="Exclude",0,G1009*Fuel_Price!$B$2)</f>
        <v>0</v>
      </c>
      <c r="V1009" s="15">
        <f t="shared" si="186"/>
        <v>2989922.7577359979</v>
      </c>
    </row>
    <row r="1010" spans="13:22">
      <c r="M1010" s="8"/>
      <c r="O1010" t="str">
        <f t="shared" si="180"/>
        <v>Include</v>
      </c>
      <c r="P1010" s="9">
        <f t="shared" si="181"/>
        <v>2035068.5799999984</v>
      </c>
      <c r="Q1010" s="15">
        <f t="shared" si="182"/>
        <v>7469725</v>
      </c>
      <c r="R1010" s="9">
        <f t="shared" si="183"/>
        <v>0</v>
      </c>
      <c r="S1010" s="9">
        <f t="shared" si="184"/>
        <v>7469725</v>
      </c>
      <c r="T1010" s="15">
        <f t="shared" si="185"/>
        <v>16.686436250344954</v>
      </c>
      <c r="U1010" s="15">
        <f>IF(O1010="Exclude",0,G1010*Fuel_Price!$B$2)</f>
        <v>0</v>
      </c>
      <c r="V1010" s="15">
        <f t="shared" si="186"/>
        <v>2989922.7577359979</v>
      </c>
    </row>
    <row r="1011" spans="13:22">
      <c r="M1011" s="8"/>
      <c r="O1011" t="str">
        <f t="shared" si="180"/>
        <v>Include</v>
      </c>
      <c r="P1011" s="9">
        <f t="shared" si="181"/>
        <v>2035068.5799999984</v>
      </c>
      <c r="Q1011" s="15">
        <f t="shared" si="182"/>
        <v>7469725</v>
      </c>
      <c r="R1011" s="9">
        <f t="shared" si="183"/>
        <v>0</v>
      </c>
      <c r="S1011" s="9">
        <f t="shared" si="184"/>
        <v>7469725</v>
      </c>
      <c r="T1011" s="15">
        <f t="shared" si="185"/>
        <v>16.686436250344954</v>
      </c>
      <c r="U1011" s="15">
        <f>IF(O1011="Exclude",0,G1011*Fuel_Price!$B$2)</f>
        <v>0</v>
      </c>
      <c r="V1011" s="15">
        <f t="shared" si="186"/>
        <v>2989922.7577359979</v>
      </c>
    </row>
    <row r="1012" spans="13:22">
      <c r="M1012" s="8"/>
      <c r="O1012" t="str">
        <f t="shared" si="180"/>
        <v>Include</v>
      </c>
      <c r="P1012" s="9">
        <f t="shared" si="181"/>
        <v>2035068.5799999984</v>
      </c>
      <c r="Q1012" s="15">
        <f t="shared" si="182"/>
        <v>7469725</v>
      </c>
      <c r="R1012" s="9">
        <f t="shared" si="183"/>
        <v>0</v>
      </c>
      <c r="S1012" s="9">
        <f t="shared" si="184"/>
        <v>7469725</v>
      </c>
      <c r="T1012" s="15">
        <f t="shared" si="185"/>
        <v>16.686436250344954</v>
      </c>
      <c r="U1012" s="15">
        <f>IF(O1012="Exclude",0,G1012*Fuel_Price!$B$2)</f>
        <v>0</v>
      </c>
      <c r="V1012" s="15">
        <f t="shared" si="186"/>
        <v>2989922.7577359979</v>
      </c>
    </row>
    <row r="1013" spans="13:22">
      <c r="M1013" s="8"/>
      <c r="O1013" t="str">
        <f t="shared" si="180"/>
        <v>Include</v>
      </c>
      <c r="P1013" s="9">
        <f t="shared" si="181"/>
        <v>2035068.5799999984</v>
      </c>
      <c r="Q1013" s="15">
        <f t="shared" si="182"/>
        <v>7469725</v>
      </c>
      <c r="R1013" s="9">
        <f t="shared" si="183"/>
        <v>0</v>
      </c>
      <c r="S1013" s="9">
        <f t="shared" si="184"/>
        <v>7469725</v>
      </c>
      <c r="T1013" s="15">
        <f t="shared" si="185"/>
        <v>16.686436250344954</v>
      </c>
      <c r="U1013" s="15">
        <f>IF(O1013="Exclude",0,G1013*Fuel_Price!$B$2)</f>
        <v>0</v>
      </c>
      <c r="V1013" s="15">
        <f t="shared" si="186"/>
        <v>2989922.7577359979</v>
      </c>
    </row>
    <row r="1014" spans="13:22">
      <c r="M1014" s="8"/>
      <c r="O1014" t="str">
        <f t="shared" si="180"/>
        <v>Include</v>
      </c>
      <c r="P1014" s="9">
        <f t="shared" si="181"/>
        <v>2035068.5799999984</v>
      </c>
      <c r="Q1014" s="15">
        <f t="shared" si="182"/>
        <v>7469725</v>
      </c>
      <c r="R1014" s="9">
        <f t="shared" si="183"/>
        <v>0</v>
      </c>
      <c r="S1014" s="9">
        <f t="shared" si="184"/>
        <v>7469725</v>
      </c>
      <c r="T1014" s="15">
        <f t="shared" si="185"/>
        <v>16.686436250344954</v>
      </c>
      <c r="U1014" s="15">
        <f>IF(O1014="Exclude",0,G1014*Fuel_Price!$B$2)</f>
        <v>0</v>
      </c>
      <c r="V1014" s="15">
        <f t="shared" si="186"/>
        <v>2989922.7577359979</v>
      </c>
    </row>
    <row r="1015" spans="13:22">
      <c r="M1015" s="8"/>
      <c r="O1015" t="str">
        <f t="shared" si="180"/>
        <v>Include</v>
      </c>
      <c r="P1015" s="9">
        <f t="shared" si="181"/>
        <v>2035068.5799999984</v>
      </c>
      <c r="Q1015" s="15">
        <f t="shared" si="182"/>
        <v>7469725</v>
      </c>
      <c r="R1015" s="9">
        <f t="shared" si="183"/>
        <v>0</v>
      </c>
      <c r="S1015" s="9">
        <f t="shared" si="184"/>
        <v>7469725</v>
      </c>
      <c r="T1015" s="15">
        <f t="shared" si="185"/>
        <v>16.686436250344954</v>
      </c>
      <c r="U1015" s="15">
        <f>IF(O1015="Exclude",0,G1015*Fuel_Price!$B$2)</f>
        <v>0</v>
      </c>
      <c r="V1015" s="15">
        <f t="shared" si="186"/>
        <v>2989922.7577359979</v>
      </c>
    </row>
    <row r="1016" spans="13:22">
      <c r="M1016" s="8"/>
      <c r="O1016" t="str">
        <f t="shared" si="180"/>
        <v>Include</v>
      </c>
      <c r="P1016" s="9">
        <f t="shared" si="181"/>
        <v>2035068.5799999984</v>
      </c>
      <c r="Q1016" s="15">
        <f t="shared" si="182"/>
        <v>7469725</v>
      </c>
      <c r="R1016" s="9">
        <f t="shared" si="183"/>
        <v>0</v>
      </c>
      <c r="S1016" s="9">
        <f t="shared" si="184"/>
        <v>7469725</v>
      </c>
      <c r="T1016" s="15">
        <f t="shared" si="185"/>
        <v>16.686436250344954</v>
      </c>
      <c r="U1016" s="15">
        <f>IF(O1016="Exclude",0,G1016*Fuel_Price!$B$2)</f>
        <v>0</v>
      </c>
      <c r="V1016" s="15">
        <f t="shared" si="186"/>
        <v>2989922.7577359979</v>
      </c>
    </row>
    <row r="1017" spans="13:22">
      <c r="M1017" s="8"/>
      <c r="O1017" t="str">
        <f t="shared" si="180"/>
        <v>Include</v>
      </c>
      <c r="P1017" s="9">
        <f t="shared" si="181"/>
        <v>2035068.5799999984</v>
      </c>
      <c r="Q1017" s="15">
        <f t="shared" si="182"/>
        <v>7469725</v>
      </c>
      <c r="R1017" s="9">
        <f t="shared" si="183"/>
        <v>0</v>
      </c>
      <c r="S1017" s="9">
        <f t="shared" si="184"/>
        <v>7469725</v>
      </c>
      <c r="T1017" s="15">
        <f t="shared" si="185"/>
        <v>16.686436250344954</v>
      </c>
      <c r="U1017" s="15">
        <f>IF(O1017="Exclude",0,G1017*Fuel_Price!$B$2)</f>
        <v>0</v>
      </c>
      <c r="V1017" s="15">
        <f t="shared" si="186"/>
        <v>2989922.7577359979</v>
      </c>
    </row>
    <row r="1018" spans="13:22">
      <c r="M1018" s="8"/>
      <c r="O1018" t="str">
        <f t="shared" si="180"/>
        <v>Include</v>
      </c>
      <c r="P1018" s="9">
        <f t="shared" si="181"/>
        <v>2035068.5799999984</v>
      </c>
      <c r="Q1018" s="15">
        <f t="shared" si="182"/>
        <v>7469725</v>
      </c>
      <c r="R1018" s="9">
        <f t="shared" si="183"/>
        <v>0</v>
      </c>
      <c r="S1018" s="9">
        <f t="shared" si="184"/>
        <v>7469725</v>
      </c>
      <c r="T1018" s="15">
        <f t="shared" si="185"/>
        <v>16.686436250344954</v>
      </c>
      <c r="U1018" s="15">
        <f>IF(O1018="Exclude",0,G1018*Fuel_Price!$B$2)</f>
        <v>0</v>
      </c>
      <c r="V1018" s="15">
        <f t="shared" si="186"/>
        <v>2989922.7577359979</v>
      </c>
    </row>
    <row r="1019" spans="13:22">
      <c r="M1019" s="8"/>
      <c r="O1019" t="str">
        <f t="shared" si="180"/>
        <v>Include</v>
      </c>
      <c r="P1019" s="9">
        <f t="shared" si="181"/>
        <v>2035068.5799999984</v>
      </c>
      <c r="Q1019" s="15">
        <f t="shared" si="182"/>
        <v>7469725</v>
      </c>
      <c r="R1019" s="9">
        <f t="shared" si="183"/>
        <v>0</v>
      </c>
      <c r="S1019" s="9">
        <f t="shared" si="184"/>
        <v>7469725</v>
      </c>
      <c r="T1019" s="15">
        <f t="shared" si="185"/>
        <v>16.686436250344954</v>
      </c>
      <c r="U1019" s="15">
        <f>IF(O1019="Exclude",0,G1019*Fuel_Price!$B$2)</f>
        <v>0</v>
      </c>
      <c r="V1019" s="15">
        <f t="shared" si="186"/>
        <v>2989922.7577359979</v>
      </c>
    </row>
    <row r="1020" spans="13:22">
      <c r="M1020" s="8"/>
      <c r="O1020" t="str">
        <f t="shared" si="180"/>
        <v>Include</v>
      </c>
      <c r="P1020" s="9">
        <f t="shared" si="181"/>
        <v>2035068.5799999984</v>
      </c>
      <c r="Q1020" s="15">
        <f t="shared" si="182"/>
        <v>7469725</v>
      </c>
      <c r="R1020" s="9">
        <f t="shared" si="183"/>
        <v>0</v>
      </c>
      <c r="S1020" s="9">
        <f t="shared" si="184"/>
        <v>7469725</v>
      </c>
      <c r="T1020" s="15">
        <f t="shared" si="185"/>
        <v>16.686436250344954</v>
      </c>
      <c r="U1020" s="15">
        <f>IF(O1020="Exclude",0,G1020*Fuel_Price!$B$2)</f>
        <v>0</v>
      </c>
      <c r="V1020" s="15">
        <f t="shared" si="186"/>
        <v>2989922.7577359979</v>
      </c>
    </row>
    <row r="1021" spans="13:22">
      <c r="M1021" s="8"/>
      <c r="O1021" t="str">
        <f t="shared" si="180"/>
        <v>Include</v>
      </c>
      <c r="P1021" s="9">
        <f t="shared" si="181"/>
        <v>2035068.5799999984</v>
      </c>
      <c r="Q1021" s="15">
        <f t="shared" si="182"/>
        <v>7469725</v>
      </c>
      <c r="R1021" s="9">
        <f t="shared" si="183"/>
        <v>0</v>
      </c>
      <c r="S1021" s="9">
        <f t="shared" si="184"/>
        <v>7469725</v>
      </c>
      <c r="T1021" s="15">
        <f t="shared" si="185"/>
        <v>16.686436250344954</v>
      </c>
      <c r="U1021" s="15">
        <f>IF(O1021="Exclude",0,G1021*Fuel_Price!$B$2)</f>
        <v>0</v>
      </c>
      <c r="V1021" s="15">
        <f t="shared" si="186"/>
        <v>2989922.7577359979</v>
      </c>
    </row>
    <row r="1022" spans="13:22">
      <c r="M1022" s="8"/>
      <c r="O1022" t="str">
        <f t="shared" si="180"/>
        <v>Include</v>
      </c>
      <c r="P1022" s="9">
        <f t="shared" si="181"/>
        <v>2035068.5799999984</v>
      </c>
      <c r="Q1022" s="15">
        <f t="shared" si="182"/>
        <v>7469725</v>
      </c>
      <c r="R1022" s="9">
        <f t="shared" si="183"/>
        <v>0</v>
      </c>
      <c r="S1022" s="9">
        <f t="shared" si="184"/>
        <v>7469725</v>
      </c>
      <c r="T1022" s="15">
        <f t="shared" si="185"/>
        <v>16.686436250344954</v>
      </c>
      <c r="U1022" s="15">
        <f>IF(O1022="Exclude",0,G1022*Fuel_Price!$B$2)</f>
        <v>0</v>
      </c>
      <c r="V1022" s="15">
        <f t="shared" si="186"/>
        <v>2989922.7577359979</v>
      </c>
    </row>
    <row r="1023" spans="13:22">
      <c r="M1023" s="8"/>
      <c r="O1023" t="str">
        <f t="shared" si="180"/>
        <v>Include</v>
      </c>
      <c r="P1023" s="9">
        <f t="shared" si="181"/>
        <v>2035068.5799999984</v>
      </c>
      <c r="Q1023" s="15">
        <f t="shared" si="182"/>
        <v>7469725</v>
      </c>
      <c r="R1023" s="9">
        <f t="shared" si="183"/>
        <v>0</v>
      </c>
      <c r="S1023" s="9">
        <f t="shared" si="184"/>
        <v>7469725</v>
      </c>
      <c r="T1023" s="15">
        <f t="shared" si="185"/>
        <v>16.686436250344954</v>
      </c>
      <c r="U1023" s="15">
        <f>IF(O1023="Exclude",0,G1023*Fuel_Price!$B$2)</f>
        <v>0</v>
      </c>
      <c r="V1023" s="15">
        <f t="shared" si="186"/>
        <v>2989922.7577359979</v>
      </c>
    </row>
    <row r="1024" spans="13:22">
      <c r="M1024" s="8"/>
      <c r="O1024" t="str">
        <f t="shared" si="180"/>
        <v>Include</v>
      </c>
      <c r="P1024" s="9">
        <f t="shared" si="181"/>
        <v>2035068.5799999984</v>
      </c>
      <c r="Q1024" s="15">
        <f t="shared" si="182"/>
        <v>7469725</v>
      </c>
      <c r="R1024" s="9">
        <f t="shared" si="183"/>
        <v>0</v>
      </c>
      <c r="S1024" s="9">
        <f t="shared" si="184"/>
        <v>7469725</v>
      </c>
      <c r="T1024" s="15">
        <f t="shared" si="185"/>
        <v>16.686436250344954</v>
      </c>
      <c r="U1024" s="15">
        <f>IF(O1024="Exclude",0,G1024*Fuel_Price!$B$2)</f>
        <v>0</v>
      </c>
      <c r="V1024" s="15">
        <f t="shared" si="186"/>
        <v>2989922.7577359979</v>
      </c>
    </row>
    <row r="1025" spans="13:22">
      <c r="M1025" s="8"/>
      <c r="O1025" t="str">
        <f t="shared" si="180"/>
        <v>Include</v>
      </c>
      <c r="P1025" s="9">
        <f t="shared" si="181"/>
        <v>2035068.5799999984</v>
      </c>
      <c r="Q1025" s="15">
        <f t="shared" si="182"/>
        <v>7469725</v>
      </c>
      <c r="R1025" s="9">
        <f t="shared" si="183"/>
        <v>0</v>
      </c>
      <c r="S1025" s="9">
        <f t="shared" si="184"/>
        <v>7469725</v>
      </c>
      <c r="T1025" s="15">
        <f t="shared" si="185"/>
        <v>16.686436250344954</v>
      </c>
      <c r="U1025" s="15">
        <f>IF(O1025="Exclude",0,G1025*Fuel_Price!$B$2)</f>
        <v>0</v>
      </c>
      <c r="V1025" s="15">
        <f t="shared" si="186"/>
        <v>2989922.7577359979</v>
      </c>
    </row>
    <row r="1026" spans="13:22">
      <c r="M1026" s="8"/>
      <c r="O1026" t="str">
        <f t="shared" ref="O1026:O1089" si="187">IF(N1026="Review","Exclude","Include")</f>
        <v>Include</v>
      </c>
      <c r="P1026" s="9">
        <f t="shared" ref="P1026:P1089" si="188">SUMIF(O:O,"Include",G:G)</f>
        <v>2035068.5799999984</v>
      </c>
      <c r="Q1026" s="15">
        <f t="shared" ref="Q1026:Q1089" si="189">SUMIF(O:O,"Include",E:E)</f>
        <v>7469725</v>
      </c>
      <c r="R1026" s="9">
        <f t="shared" ref="R1026:R1089" si="190">IF(O1026="Exclude",0,E1026)</f>
        <v>0</v>
      </c>
      <c r="S1026" s="9">
        <f t="shared" ref="S1026:S1089" si="191">SUM(R:R)</f>
        <v>7469725</v>
      </c>
      <c r="T1026" s="15">
        <f t="shared" ref="T1026:T1089" si="192">S1026/(P1026/4.54609)</f>
        <v>16.686436250344954</v>
      </c>
      <c r="U1026" s="15">
        <f>IF(O1026="Exclude",0,G1026*Fuel_Price!$B$2)</f>
        <v>0</v>
      </c>
      <c r="V1026" s="15">
        <f t="shared" ref="V1026:V1089" si="193">SUM(U:U)</f>
        <v>2989922.7577359979</v>
      </c>
    </row>
    <row r="1027" spans="13:22">
      <c r="M1027" s="8"/>
      <c r="O1027" t="str">
        <f t="shared" si="187"/>
        <v>Include</v>
      </c>
      <c r="P1027" s="9">
        <f t="shared" si="188"/>
        <v>2035068.5799999984</v>
      </c>
      <c r="Q1027" s="15">
        <f t="shared" si="189"/>
        <v>7469725</v>
      </c>
      <c r="R1027" s="9">
        <f t="shared" si="190"/>
        <v>0</v>
      </c>
      <c r="S1027" s="9">
        <f t="shared" si="191"/>
        <v>7469725</v>
      </c>
      <c r="T1027" s="15">
        <f t="shared" si="192"/>
        <v>16.686436250344954</v>
      </c>
      <c r="U1027" s="15">
        <f>IF(O1027="Exclude",0,G1027*Fuel_Price!$B$2)</f>
        <v>0</v>
      </c>
      <c r="V1027" s="15">
        <f t="shared" si="193"/>
        <v>2989922.7577359979</v>
      </c>
    </row>
    <row r="1028" spans="13:22">
      <c r="M1028" s="8"/>
      <c r="O1028" t="str">
        <f t="shared" si="187"/>
        <v>Include</v>
      </c>
      <c r="P1028" s="9">
        <f t="shared" si="188"/>
        <v>2035068.5799999984</v>
      </c>
      <c r="Q1028" s="15">
        <f t="shared" si="189"/>
        <v>7469725</v>
      </c>
      <c r="R1028" s="9">
        <f t="shared" si="190"/>
        <v>0</v>
      </c>
      <c r="S1028" s="9">
        <f t="shared" si="191"/>
        <v>7469725</v>
      </c>
      <c r="T1028" s="15">
        <f t="shared" si="192"/>
        <v>16.686436250344954</v>
      </c>
      <c r="U1028" s="15">
        <f>IF(O1028="Exclude",0,G1028*Fuel_Price!$B$2)</f>
        <v>0</v>
      </c>
      <c r="V1028" s="15">
        <f t="shared" si="193"/>
        <v>2989922.7577359979</v>
      </c>
    </row>
    <row r="1029" spans="13:22">
      <c r="M1029" s="8"/>
      <c r="O1029" t="str">
        <f t="shared" si="187"/>
        <v>Include</v>
      </c>
      <c r="P1029" s="9">
        <f t="shared" si="188"/>
        <v>2035068.5799999984</v>
      </c>
      <c r="Q1029" s="15">
        <f t="shared" si="189"/>
        <v>7469725</v>
      </c>
      <c r="R1029" s="9">
        <f t="shared" si="190"/>
        <v>0</v>
      </c>
      <c r="S1029" s="9">
        <f t="shared" si="191"/>
        <v>7469725</v>
      </c>
      <c r="T1029" s="15">
        <f t="shared" si="192"/>
        <v>16.686436250344954</v>
      </c>
      <c r="U1029" s="15">
        <f>IF(O1029="Exclude",0,G1029*Fuel_Price!$B$2)</f>
        <v>0</v>
      </c>
      <c r="V1029" s="15">
        <f t="shared" si="193"/>
        <v>2989922.7577359979</v>
      </c>
    </row>
    <row r="1030" spans="13:22">
      <c r="M1030" s="8"/>
      <c r="O1030" t="str">
        <f t="shared" si="187"/>
        <v>Include</v>
      </c>
      <c r="P1030" s="9">
        <f t="shared" si="188"/>
        <v>2035068.5799999984</v>
      </c>
      <c r="Q1030" s="15">
        <f t="shared" si="189"/>
        <v>7469725</v>
      </c>
      <c r="R1030" s="9">
        <f t="shared" si="190"/>
        <v>0</v>
      </c>
      <c r="S1030" s="9">
        <f t="shared" si="191"/>
        <v>7469725</v>
      </c>
      <c r="T1030" s="15">
        <f t="shared" si="192"/>
        <v>16.686436250344954</v>
      </c>
      <c r="U1030" s="15">
        <f>IF(O1030="Exclude",0,G1030*Fuel_Price!$B$2)</f>
        <v>0</v>
      </c>
      <c r="V1030" s="15">
        <f t="shared" si="193"/>
        <v>2989922.7577359979</v>
      </c>
    </row>
    <row r="1031" spans="13:22">
      <c r="M1031" s="8"/>
      <c r="O1031" t="str">
        <f t="shared" si="187"/>
        <v>Include</v>
      </c>
      <c r="P1031" s="9">
        <f t="shared" si="188"/>
        <v>2035068.5799999984</v>
      </c>
      <c r="Q1031" s="15">
        <f t="shared" si="189"/>
        <v>7469725</v>
      </c>
      <c r="R1031" s="9">
        <f t="shared" si="190"/>
        <v>0</v>
      </c>
      <c r="S1031" s="9">
        <f t="shared" si="191"/>
        <v>7469725</v>
      </c>
      <c r="T1031" s="15">
        <f t="shared" si="192"/>
        <v>16.686436250344954</v>
      </c>
      <c r="U1031" s="15">
        <f>IF(O1031="Exclude",0,G1031*Fuel_Price!$B$2)</f>
        <v>0</v>
      </c>
      <c r="V1031" s="15">
        <f t="shared" si="193"/>
        <v>2989922.7577359979</v>
      </c>
    </row>
    <row r="1032" spans="13:22">
      <c r="M1032" s="8"/>
      <c r="O1032" t="str">
        <f t="shared" si="187"/>
        <v>Include</v>
      </c>
      <c r="P1032" s="9">
        <f t="shared" si="188"/>
        <v>2035068.5799999984</v>
      </c>
      <c r="Q1032" s="15">
        <f t="shared" si="189"/>
        <v>7469725</v>
      </c>
      <c r="R1032" s="9">
        <f t="shared" si="190"/>
        <v>0</v>
      </c>
      <c r="S1032" s="9">
        <f t="shared" si="191"/>
        <v>7469725</v>
      </c>
      <c r="T1032" s="15">
        <f t="shared" si="192"/>
        <v>16.686436250344954</v>
      </c>
      <c r="U1032" s="15">
        <f>IF(O1032="Exclude",0,G1032*Fuel_Price!$B$2)</f>
        <v>0</v>
      </c>
      <c r="V1032" s="15">
        <f t="shared" si="193"/>
        <v>2989922.7577359979</v>
      </c>
    </row>
    <row r="1033" spans="13:22">
      <c r="M1033" s="8"/>
      <c r="O1033" t="str">
        <f t="shared" si="187"/>
        <v>Include</v>
      </c>
      <c r="P1033" s="9">
        <f t="shared" si="188"/>
        <v>2035068.5799999984</v>
      </c>
      <c r="Q1033" s="15">
        <f t="shared" si="189"/>
        <v>7469725</v>
      </c>
      <c r="R1033" s="9">
        <f t="shared" si="190"/>
        <v>0</v>
      </c>
      <c r="S1033" s="9">
        <f t="shared" si="191"/>
        <v>7469725</v>
      </c>
      <c r="T1033" s="15">
        <f t="shared" si="192"/>
        <v>16.686436250344954</v>
      </c>
      <c r="U1033" s="15">
        <f>IF(O1033="Exclude",0,G1033*Fuel_Price!$B$2)</f>
        <v>0</v>
      </c>
      <c r="V1033" s="15">
        <f t="shared" si="193"/>
        <v>2989922.7577359979</v>
      </c>
    </row>
    <row r="1034" spans="13:22">
      <c r="M1034" s="8"/>
      <c r="O1034" t="str">
        <f t="shared" si="187"/>
        <v>Include</v>
      </c>
      <c r="P1034" s="9">
        <f t="shared" si="188"/>
        <v>2035068.5799999984</v>
      </c>
      <c r="Q1034" s="15">
        <f t="shared" si="189"/>
        <v>7469725</v>
      </c>
      <c r="R1034" s="9">
        <f t="shared" si="190"/>
        <v>0</v>
      </c>
      <c r="S1034" s="9">
        <f t="shared" si="191"/>
        <v>7469725</v>
      </c>
      <c r="T1034" s="15">
        <f t="shared" si="192"/>
        <v>16.686436250344954</v>
      </c>
      <c r="U1034" s="15">
        <f>IF(O1034="Exclude",0,G1034*Fuel_Price!$B$2)</f>
        <v>0</v>
      </c>
      <c r="V1034" s="15">
        <f t="shared" si="193"/>
        <v>2989922.7577359979</v>
      </c>
    </row>
    <row r="1035" spans="13:22">
      <c r="M1035" s="8"/>
      <c r="O1035" t="str">
        <f t="shared" si="187"/>
        <v>Include</v>
      </c>
      <c r="P1035" s="9">
        <f t="shared" si="188"/>
        <v>2035068.5799999984</v>
      </c>
      <c r="Q1035" s="15">
        <f t="shared" si="189"/>
        <v>7469725</v>
      </c>
      <c r="R1035" s="9">
        <f t="shared" si="190"/>
        <v>0</v>
      </c>
      <c r="S1035" s="9">
        <f t="shared" si="191"/>
        <v>7469725</v>
      </c>
      <c r="T1035" s="15">
        <f t="shared" si="192"/>
        <v>16.686436250344954</v>
      </c>
      <c r="U1035" s="15">
        <f>IF(O1035="Exclude",0,G1035*Fuel_Price!$B$2)</f>
        <v>0</v>
      </c>
      <c r="V1035" s="15">
        <f t="shared" si="193"/>
        <v>2989922.7577359979</v>
      </c>
    </row>
    <row r="1036" spans="13:22">
      <c r="M1036" s="8"/>
      <c r="O1036" t="str">
        <f t="shared" si="187"/>
        <v>Include</v>
      </c>
      <c r="P1036" s="9">
        <f t="shared" si="188"/>
        <v>2035068.5799999984</v>
      </c>
      <c r="Q1036" s="15">
        <f t="shared" si="189"/>
        <v>7469725</v>
      </c>
      <c r="R1036" s="9">
        <f t="shared" si="190"/>
        <v>0</v>
      </c>
      <c r="S1036" s="9">
        <f t="shared" si="191"/>
        <v>7469725</v>
      </c>
      <c r="T1036" s="15">
        <f t="shared" si="192"/>
        <v>16.686436250344954</v>
      </c>
      <c r="U1036" s="15">
        <f>IF(O1036="Exclude",0,G1036*Fuel_Price!$B$2)</f>
        <v>0</v>
      </c>
      <c r="V1036" s="15">
        <f t="shared" si="193"/>
        <v>2989922.7577359979</v>
      </c>
    </row>
    <row r="1037" spans="13:22">
      <c r="M1037" s="8"/>
      <c r="O1037" t="str">
        <f t="shared" si="187"/>
        <v>Include</v>
      </c>
      <c r="P1037" s="9">
        <f t="shared" si="188"/>
        <v>2035068.5799999984</v>
      </c>
      <c r="Q1037" s="15">
        <f t="shared" si="189"/>
        <v>7469725</v>
      </c>
      <c r="R1037" s="9">
        <f t="shared" si="190"/>
        <v>0</v>
      </c>
      <c r="S1037" s="9">
        <f t="shared" si="191"/>
        <v>7469725</v>
      </c>
      <c r="T1037" s="15">
        <f t="shared" si="192"/>
        <v>16.686436250344954</v>
      </c>
      <c r="U1037" s="15">
        <f>IF(O1037="Exclude",0,G1037*Fuel_Price!$B$2)</f>
        <v>0</v>
      </c>
      <c r="V1037" s="15">
        <f t="shared" si="193"/>
        <v>2989922.7577359979</v>
      </c>
    </row>
    <row r="1038" spans="13:22">
      <c r="M1038" s="8"/>
      <c r="O1038" t="str">
        <f t="shared" si="187"/>
        <v>Include</v>
      </c>
      <c r="P1038" s="9">
        <f t="shared" si="188"/>
        <v>2035068.5799999984</v>
      </c>
      <c r="Q1038" s="15">
        <f t="shared" si="189"/>
        <v>7469725</v>
      </c>
      <c r="R1038" s="9">
        <f t="shared" si="190"/>
        <v>0</v>
      </c>
      <c r="S1038" s="9">
        <f t="shared" si="191"/>
        <v>7469725</v>
      </c>
      <c r="T1038" s="15">
        <f t="shared" si="192"/>
        <v>16.686436250344954</v>
      </c>
      <c r="U1038" s="15">
        <f>IF(O1038="Exclude",0,G1038*Fuel_Price!$B$2)</f>
        <v>0</v>
      </c>
      <c r="V1038" s="15">
        <f t="shared" si="193"/>
        <v>2989922.7577359979</v>
      </c>
    </row>
    <row r="1039" spans="13:22">
      <c r="M1039" s="8"/>
      <c r="O1039" t="str">
        <f t="shared" si="187"/>
        <v>Include</v>
      </c>
      <c r="P1039" s="9">
        <f t="shared" si="188"/>
        <v>2035068.5799999984</v>
      </c>
      <c r="Q1039" s="15">
        <f t="shared" si="189"/>
        <v>7469725</v>
      </c>
      <c r="R1039" s="9">
        <f t="shared" si="190"/>
        <v>0</v>
      </c>
      <c r="S1039" s="9">
        <f t="shared" si="191"/>
        <v>7469725</v>
      </c>
      <c r="T1039" s="15">
        <f t="shared" si="192"/>
        <v>16.686436250344954</v>
      </c>
      <c r="U1039" s="15">
        <f>IF(O1039="Exclude",0,G1039*Fuel_Price!$B$2)</f>
        <v>0</v>
      </c>
      <c r="V1039" s="15">
        <f t="shared" si="193"/>
        <v>2989922.7577359979</v>
      </c>
    </row>
    <row r="1040" spans="13:22">
      <c r="M1040" s="8"/>
      <c r="O1040" t="str">
        <f t="shared" si="187"/>
        <v>Include</v>
      </c>
      <c r="P1040" s="9">
        <f t="shared" si="188"/>
        <v>2035068.5799999984</v>
      </c>
      <c r="Q1040" s="15">
        <f t="shared" si="189"/>
        <v>7469725</v>
      </c>
      <c r="R1040" s="9">
        <f t="shared" si="190"/>
        <v>0</v>
      </c>
      <c r="S1040" s="9">
        <f t="shared" si="191"/>
        <v>7469725</v>
      </c>
      <c r="T1040" s="15">
        <f t="shared" si="192"/>
        <v>16.686436250344954</v>
      </c>
      <c r="U1040" s="15">
        <f>IF(O1040="Exclude",0,G1040*Fuel_Price!$B$2)</f>
        <v>0</v>
      </c>
      <c r="V1040" s="15">
        <f t="shared" si="193"/>
        <v>2989922.7577359979</v>
      </c>
    </row>
    <row r="1041" spans="13:22">
      <c r="M1041" s="8"/>
      <c r="O1041" t="str">
        <f t="shared" si="187"/>
        <v>Include</v>
      </c>
      <c r="P1041" s="9">
        <f t="shared" si="188"/>
        <v>2035068.5799999984</v>
      </c>
      <c r="Q1041" s="15">
        <f t="shared" si="189"/>
        <v>7469725</v>
      </c>
      <c r="R1041" s="9">
        <f t="shared" si="190"/>
        <v>0</v>
      </c>
      <c r="S1041" s="9">
        <f t="shared" si="191"/>
        <v>7469725</v>
      </c>
      <c r="T1041" s="15">
        <f t="shared" si="192"/>
        <v>16.686436250344954</v>
      </c>
      <c r="U1041" s="15">
        <f>IF(O1041="Exclude",0,G1041*Fuel_Price!$B$2)</f>
        <v>0</v>
      </c>
      <c r="V1041" s="15">
        <f t="shared" si="193"/>
        <v>2989922.7577359979</v>
      </c>
    </row>
    <row r="1042" spans="13:22">
      <c r="M1042" s="8"/>
      <c r="O1042" t="str">
        <f t="shared" si="187"/>
        <v>Include</v>
      </c>
      <c r="P1042" s="9">
        <f t="shared" si="188"/>
        <v>2035068.5799999984</v>
      </c>
      <c r="Q1042" s="15">
        <f t="shared" si="189"/>
        <v>7469725</v>
      </c>
      <c r="R1042" s="9">
        <f t="shared" si="190"/>
        <v>0</v>
      </c>
      <c r="S1042" s="9">
        <f t="shared" si="191"/>
        <v>7469725</v>
      </c>
      <c r="T1042" s="15">
        <f t="shared" si="192"/>
        <v>16.686436250344954</v>
      </c>
      <c r="U1042" s="15">
        <f>IF(O1042="Exclude",0,G1042*Fuel_Price!$B$2)</f>
        <v>0</v>
      </c>
      <c r="V1042" s="15">
        <f t="shared" si="193"/>
        <v>2989922.7577359979</v>
      </c>
    </row>
    <row r="1043" spans="13:22">
      <c r="M1043" s="8"/>
      <c r="O1043" t="str">
        <f t="shared" si="187"/>
        <v>Include</v>
      </c>
      <c r="P1043" s="9">
        <f t="shared" si="188"/>
        <v>2035068.5799999984</v>
      </c>
      <c r="Q1043" s="15">
        <f t="shared" si="189"/>
        <v>7469725</v>
      </c>
      <c r="R1043" s="9">
        <f t="shared" si="190"/>
        <v>0</v>
      </c>
      <c r="S1043" s="9">
        <f t="shared" si="191"/>
        <v>7469725</v>
      </c>
      <c r="T1043" s="15">
        <f t="shared" si="192"/>
        <v>16.686436250344954</v>
      </c>
      <c r="U1043" s="15">
        <f>IF(O1043="Exclude",0,G1043*Fuel_Price!$B$2)</f>
        <v>0</v>
      </c>
      <c r="V1043" s="15">
        <f t="shared" si="193"/>
        <v>2989922.7577359979</v>
      </c>
    </row>
    <row r="1044" spans="13:22">
      <c r="M1044" s="8"/>
      <c r="O1044" t="str">
        <f t="shared" si="187"/>
        <v>Include</v>
      </c>
      <c r="P1044" s="9">
        <f t="shared" si="188"/>
        <v>2035068.5799999984</v>
      </c>
      <c r="Q1044" s="15">
        <f t="shared" si="189"/>
        <v>7469725</v>
      </c>
      <c r="R1044" s="9">
        <f t="shared" si="190"/>
        <v>0</v>
      </c>
      <c r="S1044" s="9">
        <f t="shared" si="191"/>
        <v>7469725</v>
      </c>
      <c r="T1044" s="15">
        <f t="shared" si="192"/>
        <v>16.686436250344954</v>
      </c>
      <c r="U1044" s="15">
        <f>IF(O1044="Exclude",0,G1044*Fuel_Price!$B$2)</f>
        <v>0</v>
      </c>
      <c r="V1044" s="15">
        <f t="shared" si="193"/>
        <v>2989922.7577359979</v>
      </c>
    </row>
    <row r="1045" spans="13:22">
      <c r="M1045" s="8"/>
      <c r="O1045" t="str">
        <f t="shared" si="187"/>
        <v>Include</v>
      </c>
      <c r="P1045" s="9">
        <f t="shared" si="188"/>
        <v>2035068.5799999984</v>
      </c>
      <c r="Q1045" s="15">
        <f t="shared" si="189"/>
        <v>7469725</v>
      </c>
      <c r="R1045" s="9">
        <f t="shared" si="190"/>
        <v>0</v>
      </c>
      <c r="S1045" s="9">
        <f t="shared" si="191"/>
        <v>7469725</v>
      </c>
      <c r="T1045" s="15">
        <f t="shared" si="192"/>
        <v>16.686436250344954</v>
      </c>
      <c r="U1045" s="15">
        <f>IF(O1045="Exclude",0,G1045*Fuel_Price!$B$2)</f>
        <v>0</v>
      </c>
      <c r="V1045" s="15">
        <f t="shared" si="193"/>
        <v>2989922.7577359979</v>
      </c>
    </row>
    <row r="1046" spans="13:22">
      <c r="M1046" s="8"/>
      <c r="O1046" t="str">
        <f t="shared" si="187"/>
        <v>Include</v>
      </c>
      <c r="P1046" s="9">
        <f t="shared" si="188"/>
        <v>2035068.5799999984</v>
      </c>
      <c r="Q1046" s="15">
        <f t="shared" si="189"/>
        <v>7469725</v>
      </c>
      <c r="R1046" s="9">
        <f t="shared" si="190"/>
        <v>0</v>
      </c>
      <c r="S1046" s="9">
        <f t="shared" si="191"/>
        <v>7469725</v>
      </c>
      <c r="T1046" s="15">
        <f t="shared" si="192"/>
        <v>16.686436250344954</v>
      </c>
      <c r="U1046" s="15">
        <f>IF(O1046="Exclude",0,G1046*Fuel_Price!$B$2)</f>
        <v>0</v>
      </c>
      <c r="V1046" s="15">
        <f t="shared" si="193"/>
        <v>2989922.7577359979</v>
      </c>
    </row>
    <row r="1047" spans="13:22">
      <c r="M1047" s="8"/>
      <c r="O1047" t="str">
        <f t="shared" si="187"/>
        <v>Include</v>
      </c>
      <c r="P1047" s="9">
        <f t="shared" si="188"/>
        <v>2035068.5799999984</v>
      </c>
      <c r="Q1047" s="15">
        <f t="shared" si="189"/>
        <v>7469725</v>
      </c>
      <c r="R1047" s="9">
        <f t="shared" si="190"/>
        <v>0</v>
      </c>
      <c r="S1047" s="9">
        <f t="shared" si="191"/>
        <v>7469725</v>
      </c>
      <c r="T1047" s="15">
        <f t="shared" si="192"/>
        <v>16.686436250344954</v>
      </c>
      <c r="U1047" s="15">
        <f>IF(O1047="Exclude",0,G1047*Fuel_Price!$B$2)</f>
        <v>0</v>
      </c>
      <c r="V1047" s="15">
        <f t="shared" si="193"/>
        <v>2989922.7577359979</v>
      </c>
    </row>
    <row r="1048" spans="13:22">
      <c r="M1048" s="8"/>
      <c r="O1048" t="str">
        <f t="shared" si="187"/>
        <v>Include</v>
      </c>
      <c r="P1048" s="9">
        <f t="shared" si="188"/>
        <v>2035068.5799999984</v>
      </c>
      <c r="Q1048" s="15">
        <f t="shared" si="189"/>
        <v>7469725</v>
      </c>
      <c r="R1048" s="9">
        <f t="shared" si="190"/>
        <v>0</v>
      </c>
      <c r="S1048" s="9">
        <f t="shared" si="191"/>
        <v>7469725</v>
      </c>
      <c r="T1048" s="15">
        <f t="shared" si="192"/>
        <v>16.686436250344954</v>
      </c>
      <c r="U1048" s="15">
        <f>IF(O1048="Exclude",0,G1048*Fuel_Price!$B$2)</f>
        <v>0</v>
      </c>
      <c r="V1048" s="15">
        <f t="shared" si="193"/>
        <v>2989922.7577359979</v>
      </c>
    </row>
    <row r="1049" spans="13:22">
      <c r="M1049" s="8"/>
      <c r="O1049" t="str">
        <f t="shared" si="187"/>
        <v>Include</v>
      </c>
      <c r="P1049" s="9">
        <f t="shared" si="188"/>
        <v>2035068.5799999984</v>
      </c>
      <c r="Q1049" s="15">
        <f t="shared" si="189"/>
        <v>7469725</v>
      </c>
      <c r="R1049" s="9">
        <f t="shared" si="190"/>
        <v>0</v>
      </c>
      <c r="S1049" s="9">
        <f t="shared" si="191"/>
        <v>7469725</v>
      </c>
      <c r="T1049" s="15">
        <f t="shared" si="192"/>
        <v>16.686436250344954</v>
      </c>
      <c r="U1049" s="15">
        <f>IF(O1049="Exclude",0,G1049*Fuel_Price!$B$2)</f>
        <v>0</v>
      </c>
      <c r="V1049" s="15">
        <f t="shared" si="193"/>
        <v>2989922.7577359979</v>
      </c>
    </row>
    <row r="1050" spans="13:22">
      <c r="M1050" s="8"/>
      <c r="O1050" t="str">
        <f t="shared" si="187"/>
        <v>Include</v>
      </c>
      <c r="P1050" s="9">
        <f t="shared" si="188"/>
        <v>2035068.5799999984</v>
      </c>
      <c r="Q1050" s="15">
        <f t="shared" si="189"/>
        <v>7469725</v>
      </c>
      <c r="R1050" s="9">
        <f t="shared" si="190"/>
        <v>0</v>
      </c>
      <c r="S1050" s="9">
        <f t="shared" si="191"/>
        <v>7469725</v>
      </c>
      <c r="T1050" s="15">
        <f t="shared" si="192"/>
        <v>16.686436250344954</v>
      </c>
      <c r="U1050" s="15">
        <f>IF(O1050="Exclude",0,G1050*Fuel_Price!$B$2)</f>
        <v>0</v>
      </c>
      <c r="V1050" s="15">
        <f t="shared" si="193"/>
        <v>2989922.7577359979</v>
      </c>
    </row>
    <row r="1051" spans="13:22">
      <c r="M1051" s="8"/>
      <c r="O1051" t="str">
        <f t="shared" si="187"/>
        <v>Include</v>
      </c>
      <c r="P1051" s="9">
        <f t="shared" si="188"/>
        <v>2035068.5799999984</v>
      </c>
      <c r="Q1051" s="15">
        <f t="shared" si="189"/>
        <v>7469725</v>
      </c>
      <c r="R1051" s="9">
        <f t="shared" si="190"/>
        <v>0</v>
      </c>
      <c r="S1051" s="9">
        <f t="shared" si="191"/>
        <v>7469725</v>
      </c>
      <c r="T1051" s="15">
        <f t="shared" si="192"/>
        <v>16.686436250344954</v>
      </c>
      <c r="U1051" s="15">
        <f>IF(O1051="Exclude",0,G1051*Fuel_Price!$B$2)</f>
        <v>0</v>
      </c>
      <c r="V1051" s="15">
        <f t="shared" si="193"/>
        <v>2989922.7577359979</v>
      </c>
    </row>
    <row r="1052" spans="13:22">
      <c r="M1052" s="8"/>
      <c r="O1052" t="str">
        <f t="shared" si="187"/>
        <v>Include</v>
      </c>
      <c r="P1052" s="9">
        <f t="shared" si="188"/>
        <v>2035068.5799999984</v>
      </c>
      <c r="Q1052" s="15">
        <f t="shared" si="189"/>
        <v>7469725</v>
      </c>
      <c r="R1052" s="9">
        <f t="shared" si="190"/>
        <v>0</v>
      </c>
      <c r="S1052" s="9">
        <f t="shared" si="191"/>
        <v>7469725</v>
      </c>
      <c r="T1052" s="15">
        <f t="shared" si="192"/>
        <v>16.686436250344954</v>
      </c>
      <c r="U1052" s="15">
        <f>IF(O1052="Exclude",0,G1052*Fuel_Price!$B$2)</f>
        <v>0</v>
      </c>
      <c r="V1052" s="15">
        <f t="shared" si="193"/>
        <v>2989922.7577359979</v>
      </c>
    </row>
    <row r="1053" spans="13:22">
      <c r="M1053" s="8"/>
      <c r="O1053" t="str">
        <f t="shared" si="187"/>
        <v>Include</v>
      </c>
      <c r="P1053" s="9">
        <f t="shared" si="188"/>
        <v>2035068.5799999984</v>
      </c>
      <c r="Q1053" s="15">
        <f t="shared" si="189"/>
        <v>7469725</v>
      </c>
      <c r="R1053" s="9">
        <f t="shared" si="190"/>
        <v>0</v>
      </c>
      <c r="S1053" s="9">
        <f t="shared" si="191"/>
        <v>7469725</v>
      </c>
      <c r="T1053" s="15">
        <f t="shared" si="192"/>
        <v>16.686436250344954</v>
      </c>
      <c r="U1053" s="15">
        <f>IF(O1053="Exclude",0,G1053*Fuel_Price!$B$2)</f>
        <v>0</v>
      </c>
      <c r="V1053" s="15">
        <f t="shared" si="193"/>
        <v>2989922.7577359979</v>
      </c>
    </row>
    <row r="1054" spans="13:22">
      <c r="M1054" s="8"/>
      <c r="O1054" t="str">
        <f t="shared" si="187"/>
        <v>Include</v>
      </c>
      <c r="P1054" s="9">
        <f t="shared" si="188"/>
        <v>2035068.5799999984</v>
      </c>
      <c r="Q1054" s="15">
        <f t="shared" si="189"/>
        <v>7469725</v>
      </c>
      <c r="R1054" s="9">
        <f t="shared" si="190"/>
        <v>0</v>
      </c>
      <c r="S1054" s="9">
        <f t="shared" si="191"/>
        <v>7469725</v>
      </c>
      <c r="T1054" s="15">
        <f t="shared" si="192"/>
        <v>16.686436250344954</v>
      </c>
      <c r="U1054" s="15">
        <f>IF(O1054="Exclude",0,G1054*Fuel_Price!$B$2)</f>
        <v>0</v>
      </c>
      <c r="V1054" s="15">
        <f t="shared" si="193"/>
        <v>2989922.7577359979</v>
      </c>
    </row>
    <row r="1055" spans="13:22">
      <c r="M1055" s="8"/>
      <c r="O1055" t="str">
        <f t="shared" si="187"/>
        <v>Include</v>
      </c>
      <c r="P1055" s="9">
        <f t="shared" si="188"/>
        <v>2035068.5799999984</v>
      </c>
      <c r="Q1055" s="15">
        <f t="shared" si="189"/>
        <v>7469725</v>
      </c>
      <c r="R1055" s="9">
        <f t="shared" si="190"/>
        <v>0</v>
      </c>
      <c r="S1055" s="9">
        <f t="shared" si="191"/>
        <v>7469725</v>
      </c>
      <c r="T1055" s="15">
        <f t="shared" si="192"/>
        <v>16.686436250344954</v>
      </c>
      <c r="U1055" s="15">
        <f>IF(O1055="Exclude",0,G1055*Fuel_Price!$B$2)</f>
        <v>0</v>
      </c>
      <c r="V1055" s="15">
        <f t="shared" si="193"/>
        <v>2989922.7577359979</v>
      </c>
    </row>
    <row r="1056" spans="13:22">
      <c r="M1056" s="8"/>
      <c r="O1056" t="str">
        <f t="shared" si="187"/>
        <v>Include</v>
      </c>
      <c r="P1056" s="9">
        <f t="shared" si="188"/>
        <v>2035068.5799999984</v>
      </c>
      <c r="Q1056" s="15">
        <f t="shared" si="189"/>
        <v>7469725</v>
      </c>
      <c r="R1056" s="9">
        <f t="shared" si="190"/>
        <v>0</v>
      </c>
      <c r="S1056" s="9">
        <f t="shared" si="191"/>
        <v>7469725</v>
      </c>
      <c r="T1056" s="15">
        <f t="shared" si="192"/>
        <v>16.686436250344954</v>
      </c>
      <c r="U1056" s="15">
        <f>IF(O1056="Exclude",0,G1056*Fuel_Price!$B$2)</f>
        <v>0</v>
      </c>
      <c r="V1056" s="15">
        <f t="shared" si="193"/>
        <v>2989922.7577359979</v>
      </c>
    </row>
    <row r="1057" spans="13:22">
      <c r="M1057" s="8"/>
      <c r="O1057" t="str">
        <f t="shared" si="187"/>
        <v>Include</v>
      </c>
      <c r="P1057" s="9">
        <f t="shared" si="188"/>
        <v>2035068.5799999984</v>
      </c>
      <c r="Q1057" s="15">
        <f t="shared" si="189"/>
        <v>7469725</v>
      </c>
      <c r="R1057" s="9">
        <f t="shared" si="190"/>
        <v>0</v>
      </c>
      <c r="S1057" s="9">
        <f t="shared" si="191"/>
        <v>7469725</v>
      </c>
      <c r="T1057" s="15">
        <f t="shared" si="192"/>
        <v>16.686436250344954</v>
      </c>
      <c r="U1057" s="15">
        <f>IF(O1057="Exclude",0,G1057*Fuel_Price!$B$2)</f>
        <v>0</v>
      </c>
      <c r="V1057" s="15">
        <f t="shared" si="193"/>
        <v>2989922.7577359979</v>
      </c>
    </row>
    <row r="1058" spans="13:22">
      <c r="M1058" s="8"/>
      <c r="O1058" t="str">
        <f t="shared" si="187"/>
        <v>Include</v>
      </c>
      <c r="P1058" s="9">
        <f t="shared" si="188"/>
        <v>2035068.5799999984</v>
      </c>
      <c r="Q1058" s="15">
        <f t="shared" si="189"/>
        <v>7469725</v>
      </c>
      <c r="R1058" s="9">
        <f t="shared" si="190"/>
        <v>0</v>
      </c>
      <c r="S1058" s="9">
        <f t="shared" si="191"/>
        <v>7469725</v>
      </c>
      <c r="T1058" s="15">
        <f t="shared" si="192"/>
        <v>16.686436250344954</v>
      </c>
      <c r="U1058" s="15">
        <f>IF(O1058="Exclude",0,G1058*Fuel_Price!$B$2)</f>
        <v>0</v>
      </c>
      <c r="V1058" s="15">
        <f t="shared" si="193"/>
        <v>2989922.7577359979</v>
      </c>
    </row>
    <row r="1059" spans="13:22">
      <c r="M1059" s="8"/>
      <c r="O1059" t="str">
        <f t="shared" si="187"/>
        <v>Include</v>
      </c>
      <c r="P1059" s="9">
        <f t="shared" si="188"/>
        <v>2035068.5799999984</v>
      </c>
      <c r="Q1059" s="15">
        <f t="shared" si="189"/>
        <v>7469725</v>
      </c>
      <c r="R1059" s="9">
        <f t="shared" si="190"/>
        <v>0</v>
      </c>
      <c r="S1059" s="9">
        <f t="shared" si="191"/>
        <v>7469725</v>
      </c>
      <c r="T1059" s="15">
        <f t="shared" si="192"/>
        <v>16.686436250344954</v>
      </c>
      <c r="U1059" s="15">
        <f>IF(O1059="Exclude",0,G1059*Fuel_Price!$B$2)</f>
        <v>0</v>
      </c>
      <c r="V1059" s="15">
        <f t="shared" si="193"/>
        <v>2989922.7577359979</v>
      </c>
    </row>
    <row r="1060" spans="13:22">
      <c r="M1060" s="8"/>
      <c r="O1060" t="str">
        <f t="shared" si="187"/>
        <v>Include</v>
      </c>
      <c r="P1060" s="9">
        <f t="shared" si="188"/>
        <v>2035068.5799999984</v>
      </c>
      <c r="Q1060" s="15">
        <f t="shared" si="189"/>
        <v>7469725</v>
      </c>
      <c r="R1060" s="9">
        <f t="shared" si="190"/>
        <v>0</v>
      </c>
      <c r="S1060" s="9">
        <f t="shared" si="191"/>
        <v>7469725</v>
      </c>
      <c r="T1060" s="15">
        <f t="shared" si="192"/>
        <v>16.686436250344954</v>
      </c>
      <c r="U1060" s="15">
        <f>IF(O1060="Exclude",0,G1060*Fuel_Price!$B$2)</f>
        <v>0</v>
      </c>
      <c r="V1060" s="15">
        <f t="shared" si="193"/>
        <v>2989922.7577359979</v>
      </c>
    </row>
    <row r="1061" spans="13:22">
      <c r="M1061" s="8"/>
      <c r="O1061" t="str">
        <f t="shared" si="187"/>
        <v>Include</v>
      </c>
      <c r="P1061" s="9">
        <f t="shared" si="188"/>
        <v>2035068.5799999984</v>
      </c>
      <c r="Q1061" s="15">
        <f t="shared" si="189"/>
        <v>7469725</v>
      </c>
      <c r="R1061" s="9">
        <f t="shared" si="190"/>
        <v>0</v>
      </c>
      <c r="S1061" s="9">
        <f t="shared" si="191"/>
        <v>7469725</v>
      </c>
      <c r="T1061" s="15">
        <f t="shared" si="192"/>
        <v>16.686436250344954</v>
      </c>
      <c r="U1061" s="15">
        <f>IF(O1061="Exclude",0,G1061*Fuel_Price!$B$2)</f>
        <v>0</v>
      </c>
      <c r="V1061" s="15">
        <f t="shared" si="193"/>
        <v>2989922.7577359979</v>
      </c>
    </row>
    <row r="1062" spans="13:22">
      <c r="M1062" s="8"/>
      <c r="O1062" t="str">
        <f t="shared" si="187"/>
        <v>Include</v>
      </c>
      <c r="P1062" s="9">
        <f t="shared" si="188"/>
        <v>2035068.5799999984</v>
      </c>
      <c r="Q1062" s="15">
        <f t="shared" si="189"/>
        <v>7469725</v>
      </c>
      <c r="R1062" s="9">
        <f t="shared" si="190"/>
        <v>0</v>
      </c>
      <c r="S1062" s="9">
        <f t="shared" si="191"/>
        <v>7469725</v>
      </c>
      <c r="T1062" s="15">
        <f t="shared" si="192"/>
        <v>16.686436250344954</v>
      </c>
      <c r="U1062" s="15">
        <f>IF(O1062="Exclude",0,G1062*Fuel_Price!$B$2)</f>
        <v>0</v>
      </c>
      <c r="V1062" s="15">
        <f t="shared" si="193"/>
        <v>2989922.7577359979</v>
      </c>
    </row>
    <row r="1063" spans="13:22">
      <c r="M1063" s="8"/>
      <c r="O1063" t="str">
        <f t="shared" si="187"/>
        <v>Include</v>
      </c>
      <c r="P1063" s="9">
        <f t="shared" si="188"/>
        <v>2035068.5799999984</v>
      </c>
      <c r="Q1063" s="15">
        <f t="shared" si="189"/>
        <v>7469725</v>
      </c>
      <c r="R1063" s="9">
        <f t="shared" si="190"/>
        <v>0</v>
      </c>
      <c r="S1063" s="9">
        <f t="shared" si="191"/>
        <v>7469725</v>
      </c>
      <c r="T1063" s="15">
        <f t="shared" si="192"/>
        <v>16.686436250344954</v>
      </c>
      <c r="U1063" s="15">
        <f>IF(O1063="Exclude",0,G1063*Fuel_Price!$B$2)</f>
        <v>0</v>
      </c>
      <c r="V1063" s="15">
        <f t="shared" si="193"/>
        <v>2989922.7577359979</v>
      </c>
    </row>
    <row r="1064" spans="13:22">
      <c r="M1064" s="8"/>
      <c r="O1064" t="str">
        <f t="shared" si="187"/>
        <v>Include</v>
      </c>
      <c r="P1064" s="9">
        <f t="shared" si="188"/>
        <v>2035068.5799999984</v>
      </c>
      <c r="Q1064" s="15">
        <f t="shared" si="189"/>
        <v>7469725</v>
      </c>
      <c r="R1064" s="9">
        <f t="shared" si="190"/>
        <v>0</v>
      </c>
      <c r="S1064" s="9">
        <f t="shared" si="191"/>
        <v>7469725</v>
      </c>
      <c r="T1064" s="15">
        <f t="shared" si="192"/>
        <v>16.686436250344954</v>
      </c>
      <c r="U1064" s="15">
        <f>IF(O1064="Exclude",0,G1064*Fuel_Price!$B$2)</f>
        <v>0</v>
      </c>
      <c r="V1064" s="15">
        <f t="shared" si="193"/>
        <v>2989922.7577359979</v>
      </c>
    </row>
    <row r="1065" spans="13:22">
      <c r="M1065" s="8"/>
      <c r="O1065" t="str">
        <f t="shared" si="187"/>
        <v>Include</v>
      </c>
      <c r="P1065" s="9">
        <f t="shared" si="188"/>
        <v>2035068.5799999984</v>
      </c>
      <c r="Q1065" s="15">
        <f t="shared" si="189"/>
        <v>7469725</v>
      </c>
      <c r="R1065" s="9">
        <f t="shared" si="190"/>
        <v>0</v>
      </c>
      <c r="S1065" s="9">
        <f t="shared" si="191"/>
        <v>7469725</v>
      </c>
      <c r="T1065" s="15">
        <f t="shared" si="192"/>
        <v>16.686436250344954</v>
      </c>
      <c r="U1065" s="15">
        <f>IF(O1065="Exclude",0,G1065*Fuel_Price!$B$2)</f>
        <v>0</v>
      </c>
      <c r="V1065" s="15">
        <f t="shared" si="193"/>
        <v>2989922.7577359979</v>
      </c>
    </row>
    <row r="1066" spans="13:22">
      <c r="M1066" s="8"/>
      <c r="O1066" t="str">
        <f t="shared" si="187"/>
        <v>Include</v>
      </c>
      <c r="P1066" s="9">
        <f t="shared" si="188"/>
        <v>2035068.5799999984</v>
      </c>
      <c r="Q1066" s="15">
        <f t="shared" si="189"/>
        <v>7469725</v>
      </c>
      <c r="R1066" s="9">
        <f t="shared" si="190"/>
        <v>0</v>
      </c>
      <c r="S1066" s="9">
        <f t="shared" si="191"/>
        <v>7469725</v>
      </c>
      <c r="T1066" s="15">
        <f t="shared" si="192"/>
        <v>16.686436250344954</v>
      </c>
      <c r="U1066" s="15">
        <f>IF(O1066="Exclude",0,G1066*Fuel_Price!$B$2)</f>
        <v>0</v>
      </c>
      <c r="V1066" s="15">
        <f t="shared" si="193"/>
        <v>2989922.7577359979</v>
      </c>
    </row>
    <row r="1067" spans="13:22">
      <c r="M1067" s="8"/>
      <c r="O1067" t="str">
        <f t="shared" si="187"/>
        <v>Include</v>
      </c>
      <c r="P1067" s="9">
        <f t="shared" si="188"/>
        <v>2035068.5799999984</v>
      </c>
      <c r="Q1067" s="15">
        <f t="shared" si="189"/>
        <v>7469725</v>
      </c>
      <c r="R1067" s="9">
        <f t="shared" si="190"/>
        <v>0</v>
      </c>
      <c r="S1067" s="9">
        <f t="shared" si="191"/>
        <v>7469725</v>
      </c>
      <c r="T1067" s="15">
        <f t="shared" si="192"/>
        <v>16.686436250344954</v>
      </c>
      <c r="U1067" s="15">
        <f>IF(O1067="Exclude",0,G1067*Fuel_Price!$B$2)</f>
        <v>0</v>
      </c>
      <c r="V1067" s="15">
        <f t="shared" si="193"/>
        <v>2989922.7577359979</v>
      </c>
    </row>
    <row r="1068" spans="13:22">
      <c r="M1068" s="8"/>
      <c r="O1068" t="str">
        <f t="shared" si="187"/>
        <v>Include</v>
      </c>
      <c r="P1068" s="9">
        <f t="shared" si="188"/>
        <v>2035068.5799999984</v>
      </c>
      <c r="Q1068" s="15">
        <f t="shared" si="189"/>
        <v>7469725</v>
      </c>
      <c r="R1068" s="9">
        <f t="shared" si="190"/>
        <v>0</v>
      </c>
      <c r="S1068" s="9">
        <f t="shared" si="191"/>
        <v>7469725</v>
      </c>
      <c r="T1068" s="15">
        <f t="shared" si="192"/>
        <v>16.686436250344954</v>
      </c>
      <c r="U1068" s="15">
        <f>IF(O1068="Exclude",0,G1068*Fuel_Price!$B$2)</f>
        <v>0</v>
      </c>
      <c r="V1068" s="15">
        <f t="shared" si="193"/>
        <v>2989922.7577359979</v>
      </c>
    </row>
    <row r="1069" spans="13:22">
      <c r="M1069" s="8"/>
      <c r="O1069" t="str">
        <f t="shared" si="187"/>
        <v>Include</v>
      </c>
      <c r="P1069" s="9">
        <f t="shared" si="188"/>
        <v>2035068.5799999984</v>
      </c>
      <c r="Q1069" s="15">
        <f t="shared" si="189"/>
        <v>7469725</v>
      </c>
      <c r="R1069" s="9">
        <f t="shared" si="190"/>
        <v>0</v>
      </c>
      <c r="S1069" s="9">
        <f t="shared" si="191"/>
        <v>7469725</v>
      </c>
      <c r="T1069" s="15">
        <f t="shared" si="192"/>
        <v>16.686436250344954</v>
      </c>
      <c r="U1069" s="15">
        <f>IF(O1069="Exclude",0,G1069*Fuel_Price!$B$2)</f>
        <v>0</v>
      </c>
      <c r="V1069" s="15">
        <f t="shared" si="193"/>
        <v>2989922.7577359979</v>
      </c>
    </row>
    <row r="1070" spans="13:22">
      <c r="M1070" s="8"/>
      <c r="O1070" t="str">
        <f t="shared" si="187"/>
        <v>Include</v>
      </c>
      <c r="P1070" s="9">
        <f t="shared" si="188"/>
        <v>2035068.5799999984</v>
      </c>
      <c r="Q1070" s="15">
        <f t="shared" si="189"/>
        <v>7469725</v>
      </c>
      <c r="R1070" s="9">
        <f t="shared" si="190"/>
        <v>0</v>
      </c>
      <c r="S1070" s="9">
        <f t="shared" si="191"/>
        <v>7469725</v>
      </c>
      <c r="T1070" s="15">
        <f t="shared" si="192"/>
        <v>16.686436250344954</v>
      </c>
      <c r="U1070" s="15">
        <f>IF(O1070="Exclude",0,G1070*Fuel_Price!$B$2)</f>
        <v>0</v>
      </c>
      <c r="V1070" s="15">
        <f t="shared" si="193"/>
        <v>2989922.7577359979</v>
      </c>
    </row>
    <row r="1071" spans="13:22">
      <c r="M1071" s="8"/>
      <c r="O1071" t="str">
        <f t="shared" si="187"/>
        <v>Include</v>
      </c>
      <c r="P1071" s="9">
        <f t="shared" si="188"/>
        <v>2035068.5799999984</v>
      </c>
      <c r="Q1071" s="15">
        <f t="shared" si="189"/>
        <v>7469725</v>
      </c>
      <c r="R1071" s="9">
        <f t="shared" si="190"/>
        <v>0</v>
      </c>
      <c r="S1071" s="9">
        <f t="shared" si="191"/>
        <v>7469725</v>
      </c>
      <c r="T1071" s="15">
        <f t="shared" si="192"/>
        <v>16.686436250344954</v>
      </c>
      <c r="U1071" s="15">
        <f>IF(O1071="Exclude",0,G1071*Fuel_Price!$B$2)</f>
        <v>0</v>
      </c>
      <c r="V1071" s="15">
        <f t="shared" si="193"/>
        <v>2989922.7577359979</v>
      </c>
    </row>
    <row r="1072" spans="13:22">
      <c r="M1072" s="8"/>
      <c r="O1072" t="str">
        <f t="shared" si="187"/>
        <v>Include</v>
      </c>
      <c r="P1072" s="9">
        <f t="shared" si="188"/>
        <v>2035068.5799999984</v>
      </c>
      <c r="Q1072" s="15">
        <f t="shared" si="189"/>
        <v>7469725</v>
      </c>
      <c r="R1072" s="9">
        <f t="shared" si="190"/>
        <v>0</v>
      </c>
      <c r="S1072" s="9">
        <f t="shared" si="191"/>
        <v>7469725</v>
      </c>
      <c r="T1072" s="15">
        <f t="shared" si="192"/>
        <v>16.686436250344954</v>
      </c>
      <c r="U1072" s="15">
        <f>IF(O1072="Exclude",0,G1072*Fuel_Price!$B$2)</f>
        <v>0</v>
      </c>
      <c r="V1072" s="15">
        <f t="shared" si="193"/>
        <v>2989922.7577359979</v>
      </c>
    </row>
    <row r="1073" spans="13:22">
      <c r="M1073" s="8"/>
      <c r="O1073" t="str">
        <f t="shared" si="187"/>
        <v>Include</v>
      </c>
      <c r="P1073" s="9">
        <f t="shared" si="188"/>
        <v>2035068.5799999984</v>
      </c>
      <c r="Q1073" s="15">
        <f t="shared" si="189"/>
        <v>7469725</v>
      </c>
      <c r="R1073" s="9">
        <f t="shared" si="190"/>
        <v>0</v>
      </c>
      <c r="S1073" s="9">
        <f t="shared" si="191"/>
        <v>7469725</v>
      </c>
      <c r="T1073" s="15">
        <f t="shared" si="192"/>
        <v>16.686436250344954</v>
      </c>
      <c r="U1073" s="15">
        <f>IF(O1073="Exclude",0,G1073*Fuel_Price!$B$2)</f>
        <v>0</v>
      </c>
      <c r="V1073" s="15">
        <f t="shared" si="193"/>
        <v>2989922.7577359979</v>
      </c>
    </row>
    <row r="1074" spans="13:22">
      <c r="M1074" s="8"/>
      <c r="O1074" t="str">
        <f t="shared" si="187"/>
        <v>Include</v>
      </c>
      <c r="P1074" s="9">
        <f t="shared" si="188"/>
        <v>2035068.5799999984</v>
      </c>
      <c r="Q1074" s="15">
        <f t="shared" si="189"/>
        <v>7469725</v>
      </c>
      <c r="R1074" s="9">
        <f t="shared" si="190"/>
        <v>0</v>
      </c>
      <c r="S1074" s="9">
        <f t="shared" si="191"/>
        <v>7469725</v>
      </c>
      <c r="T1074" s="15">
        <f t="shared" si="192"/>
        <v>16.686436250344954</v>
      </c>
      <c r="U1074" s="15">
        <f>IF(O1074="Exclude",0,G1074*Fuel_Price!$B$2)</f>
        <v>0</v>
      </c>
      <c r="V1074" s="15">
        <f t="shared" si="193"/>
        <v>2989922.7577359979</v>
      </c>
    </row>
    <row r="1075" spans="13:22">
      <c r="M1075" s="8"/>
      <c r="O1075" t="str">
        <f t="shared" si="187"/>
        <v>Include</v>
      </c>
      <c r="P1075" s="9">
        <f t="shared" si="188"/>
        <v>2035068.5799999984</v>
      </c>
      <c r="Q1075" s="15">
        <f t="shared" si="189"/>
        <v>7469725</v>
      </c>
      <c r="R1075" s="9">
        <f t="shared" si="190"/>
        <v>0</v>
      </c>
      <c r="S1075" s="9">
        <f t="shared" si="191"/>
        <v>7469725</v>
      </c>
      <c r="T1075" s="15">
        <f t="shared" si="192"/>
        <v>16.686436250344954</v>
      </c>
      <c r="U1075" s="15">
        <f>IF(O1075="Exclude",0,G1075*Fuel_Price!$B$2)</f>
        <v>0</v>
      </c>
      <c r="V1075" s="15">
        <f t="shared" si="193"/>
        <v>2989922.7577359979</v>
      </c>
    </row>
    <row r="1076" spans="13:22">
      <c r="M1076" s="8"/>
      <c r="O1076" t="str">
        <f t="shared" si="187"/>
        <v>Include</v>
      </c>
      <c r="P1076" s="9">
        <f t="shared" si="188"/>
        <v>2035068.5799999984</v>
      </c>
      <c r="Q1076" s="15">
        <f t="shared" si="189"/>
        <v>7469725</v>
      </c>
      <c r="R1076" s="9">
        <f t="shared" si="190"/>
        <v>0</v>
      </c>
      <c r="S1076" s="9">
        <f t="shared" si="191"/>
        <v>7469725</v>
      </c>
      <c r="T1076" s="15">
        <f t="shared" si="192"/>
        <v>16.686436250344954</v>
      </c>
      <c r="U1076" s="15">
        <f>IF(O1076="Exclude",0,G1076*Fuel_Price!$B$2)</f>
        <v>0</v>
      </c>
      <c r="V1076" s="15">
        <f t="shared" si="193"/>
        <v>2989922.7577359979</v>
      </c>
    </row>
    <row r="1077" spans="13:22">
      <c r="M1077" s="8"/>
      <c r="O1077" t="str">
        <f t="shared" si="187"/>
        <v>Include</v>
      </c>
      <c r="P1077" s="9">
        <f t="shared" si="188"/>
        <v>2035068.5799999984</v>
      </c>
      <c r="Q1077" s="15">
        <f t="shared" si="189"/>
        <v>7469725</v>
      </c>
      <c r="R1077" s="9">
        <f t="shared" si="190"/>
        <v>0</v>
      </c>
      <c r="S1077" s="9">
        <f t="shared" si="191"/>
        <v>7469725</v>
      </c>
      <c r="T1077" s="15">
        <f t="shared" si="192"/>
        <v>16.686436250344954</v>
      </c>
      <c r="U1077" s="15">
        <f>IF(O1077="Exclude",0,G1077*Fuel_Price!$B$2)</f>
        <v>0</v>
      </c>
      <c r="V1077" s="15">
        <f t="shared" si="193"/>
        <v>2989922.7577359979</v>
      </c>
    </row>
    <row r="1078" spans="13:22">
      <c r="M1078" s="8"/>
      <c r="O1078" t="str">
        <f t="shared" si="187"/>
        <v>Include</v>
      </c>
      <c r="P1078" s="9">
        <f t="shared" si="188"/>
        <v>2035068.5799999984</v>
      </c>
      <c r="Q1078" s="15">
        <f t="shared" si="189"/>
        <v>7469725</v>
      </c>
      <c r="R1078" s="9">
        <f t="shared" si="190"/>
        <v>0</v>
      </c>
      <c r="S1078" s="9">
        <f t="shared" si="191"/>
        <v>7469725</v>
      </c>
      <c r="T1078" s="15">
        <f t="shared" si="192"/>
        <v>16.686436250344954</v>
      </c>
      <c r="U1078" s="15">
        <f>IF(O1078="Exclude",0,G1078*Fuel_Price!$B$2)</f>
        <v>0</v>
      </c>
      <c r="V1078" s="15">
        <f t="shared" si="193"/>
        <v>2989922.7577359979</v>
      </c>
    </row>
    <row r="1079" spans="13:22">
      <c r="M1079" s="8"/>
      <c r="O1079" t="str">
        <f t="shared" si="187"/>
        <v>Include</v>
      </c>
      <c r="P1079" s="9">
        <f t="shared" si="188"/>
        <v>2035068.5799999984</v>
      </c>
      <c r="Q1079" s="15">
        <f t="shared" si="189"/>
        <v>7469725</v>
      </c>
      <c r="R1079" s="9">
        <f t="shared" si="190"/>
        <v>0</v>
      </c>
      <c r="S1079" s="9">
        <f t="shared" si="191"/>
        <v>7469725</v>
      </c>
      <c r="T1079" s="15">
        <f t="shared" si="192"/>
        <v>16.686436250344954</v>
      </c>
      <c r="U1079" s="15">
        <f>IF(O1079="Exclude",0,G1079*Fuel_Price!$B$2)</f>
        <v>0</v>
      </c>
      <c r="V1079" s="15">
        <f t="shared" si="193"/>
        <v>2989922.7577359979</v>
      </c>
    </row>
    <row r="1080" spans="13:22">
      <c r="M1080" s="8"/>
      <c r="O1080" t="str">
        <f t="shared" si="187"/>
        <v>Include</v>
      </c>
      <c r="P1080" s="9">
        <f t="shared" si="188"/>
        <v>2035068.5799999984</v>
      </c>
      <c r="Q1080" s="15">
        <f t="shared" si="189"/>
        <v>7469725</v>
      </c>
      <c r="R1080" s="9">
        <f t="shared" si="190"/>
        <v>0</v>
      </c>
      <c r="S1080" s="9">
        <f t="shared" si="191"/>
        <v>7469725</v>
      </c>
      <c r="T1080" s="15">
        <f t="shared" si="192"/>
        <v>16.686436250344954</v>
      </c>
      <c r="U1080" s="15">
        <f>IF(O1080="Exclude",0,G1080*Fuel_Price!$B$2)</f>
        <v>0</v>
      </c>
      <c r="V1080" s="15">
        <f t="shared" si="193"/>
        <v>2989922.7577359979</v>
      </c>
    </row>
    <row r="1081" spans="13:22">
      <c r="M1081" s="8"/>
      <c r="O1081" t="str">
        <f t="shared" si="187"/>
        <v>Include</v>
      </c>
      <c r="P1081" s="9">
        <f t="shared" si="188"/>
        <v>2035068.5799999984</v>
      </c>
      <c r="Q1081" s="15">
        <f t="shared" si="189"/>
        <v>7469725</v>
      </c>
      <c r="R1081" s="9">
        <f t="shared" si="190"/>
        <v>0</v>
      </c>
      <c r="S1081" s="9">
        <f t="shared" si="191"/>
        <v>7469725</v>
      </c>
      <c r="T1081" s="15">
        <f t="shared" si="192"/>
        <v>16.686436250344954</v>
      </c>
      <c r="U1081" s="15">
        <f>IF(O1081="Exclude",0,G1081*Fuel_Price!$B$2)</f>
        <v>0</v>
      </c>
      <c r="V1081" s="15">
        <f t="shared" si="193"/>
        <v>2989922.7577359979</v>
      </c>
    </row>
    <row r="1082" spans="13:22">
      <c r="M1082" s="8"/>
      <c r="O1082" t="str">
        <f t="shared" si="187"/>
        <v>Include</v>
      </c>
      <c r="P1082" s="9">
        <f t="shared" si="188"/>
        <v>2035068.5799999984</v>
      </c>
      <c r="Q1082" s="15">
        <f t="shared" si="189"/>
        <v>7469725</v>
      </c>
      <c r="R1082" s="9">
        <f t="shared" si="190"/>
        <v>0</v>
      </c>
      <c r="S1082" s="9">
        <f t="shared" si="191"/>
        <v>7469725</v>
      </c>
      <c r="T1082" s="15">
        <f t="shared" si="192"/>
        <v>16.686436250344954</v>
      </c>
      <c r="U1082" s="15">
        <f>IF(O1082="Exclude",0,G1082*Fuel_Price!$B$2)</f>
        <v>0</v>
      </c>
      <c r="V1082" s="15">
        <f t="shared" si="193"/>
        <v>2989922.7577359979</v>
      </c>
    </row>
    <row r="1083" spans="13:22">
      <c r="M1083" s="8"/>
      <c r="O1083" t="str">
        <f t="shared" si="187"/>
        <v>Include</v>
      </c>
      <c r="P1083" s="9">
        <f t="shared" si="188"/>
        <v>2035068.5799999984</v>
      </c>
      <c r="Q1083" s="15">
        <f t="shared" si="189"/>
        <v>7469725</v>
      </c>
      <c r="R1083" s="9">
        <f t="shared" si="190"/>
        <v>0</v>
      </c>
      <c r="S1083" s="9">
        <f t="shared" si="191"/>
        <v>7469725</v>
      </c>
      <c r="T1083" s="15">
        <f t="shared" si="192"/>
        <v>16.686436250344954</v>
      </c>
      <c r="U1083" s="15">
        <f>IF(O1083="Exclude",0,G1083*Fuel_Price!$B$2)</f>
        <v>0</v>
      </c>
      <c r="V1083" s="15">
        <f t="shared" si="193"/>
        <v>2989922.7577359979</v>
      </c>
    </row>
    <row r="1084" spans="13:22">
      <c r="M1084" s="8"/>
      <c r="O1084" t="str">
        <f t="shared" si="187"/>
        <v>Include</v>
      </c>
      <c r="P1084" s="9">
        <f t="shared" si="188"/>
        <v>2035068.5799999984</v>
      </c>
      <c r="Q1084" s="15">
        <f t="shared" si="189"/>
        <v>7469725</v>
      </c>
      <c r="R1084" s="9">
        <f t="shared" si="190"/>
        <v>0</v>
      </c>
      <c r="S1084" s="9">
        <f t="shared" si="191"/>
        <v>7469725</v>
      </c>
      <c r="T1084" s="15">
        <f t="shared" si="192"/>
        <v>16.686436250344954</v>
      </c>
      <c r="U1084" s="15">
        <f>IF(O1084="Exclude",0,G1084*Fuel_Price!$B$2)</f>
        <v>0</v>
      </c>
      <c r="V1084" s="15">
        <f t="shared" si="193"/>
        <v>2989922.7577359979</v>
      </c>
    </row>
    <row r="1085" spans="13:22">
      <c r="M1085" s="8"/>
      <c r="O1085" t="str">
        <f t="shared" si="187"/>
        <v>Include</v>
      </c>
      <c r="P1085" s="9">
        <f t="shared" si="188"/>
        <v>2035068.5799999984</v>
      </c>
      <c r="Q1085" s="15">
        <f t="shared" si="189"/>
        <v>7469725</v>
      </c>
      <c r="R1085" s="9">
        <f t="shared" si="190"/>
        <v>0</v>
      </c>
      <c r="S1085" s="9">
        <f t="shared" si="191"/>
        <v>7469725</v>
      </c>
      <c r="T1085" s="15">
        <f t="shared" si="192"/>
        <v>16.686436250344954</v>
      </c>
      <c r="U1085" s="15">
        <f>IF(O1085="Exclude",0,G1085*Fuel_Price!$B$2)</f>
        <v>0</v>
      </c>
      <c r="V1085" s="15">
        <f t="shared" si="193"/>
        <v>2989922.7577359979</v>
      </c>
    </row>
    <row r="1086" spans="13:22">
      <c r="M1086" s="8"/>
      <c r="O1086" t="str">
        <f t="shared" si="187"/>
        <v>Include</v>
      </c>
      <c r="P1086" s="9">
        <f t="shared" si="188"/>
        <v>2035068.5799999984</v>
      </c>
      <c r="Q1086" s="15">
        <f t="shared" si="189"/>
        <v>7469725</v>
      </c>
      <c r="R1086" s="9">
        <f t="shared" si="190"/>
        <v>0</v>
      </c>
      <c r="S1086" s="9">
        <f t="shared" si="191"/>
        <v>7469725</v>
      </c>
      <c r="T1086" s="15">
        <f t="shared" si="192"/>
        <v>16.686436250344954</v>
      </c>
      <c r="U1086" s="15">
        <f>IF(O1086="Exclude",0,G1086*Fuel_Price!$B$2)</f>
        <v>0</v>
      </c>
      <c r="V1086" s="15">
        <f t="shared" si="193"/>
        <v>2989922.7577359979</v>
      </c>
    </row>
    <row r="1087" spans="13:22">
      <c r="M1087" s="8"/>
      <c r="O1087" t="str">
        <f t="shared" si="187"/>
        <v>Include</v>
      </c>
      <c r="P1087" s="9">
        <f t="shared" si="188"/>
        <v>2035068.5799999984</v>
      </c>
      <c r="Q1087" s="15">
        <f t="shared" si="189"/>
        <v>7469725</v>
      </c>
      <c r="R1087" s="9">
        <f t="shared" si="190"/>
        <v>0</v>
      </c>
      <c r="S1087" s="9">
        <f t="shared" si="191"/>
        <v>7469725</v>
      </c>
      <c r="T1087" s="15">
        <f t="shared" si="192"/>
        <v>16.686436250344954</v>
      </c>
      <c r="U1087" s="15">
        <f>IF(O1087="Exclude",0,G1087*Fuel_Price!$B$2)</f>
        <v>0</v>
      </c>
      <c r="V1087" s="15">
        <f t="shared" si="193"/>
        <v>2989922.7577359979</v>
      </c>
    </row>
    <row r="1088" spans="13:22">
      <c r="M1088" s="8"/>
      <c r="O1088" t="str">
        <f t="shared" si="187"/>
        <v>Include</v>
      </c>
      <c r="P1088" s="9">
        <f t="shared" si="188"/>
        <v>2035068.5799999984</v>
      </c>
      <c r="Q1088" s="15">
        <f t="shared" si="189"/>
        <v>7469725</v>
      </c>
      <c r="R1088" s="9">
        <f t="shared" si="190"/>
        <v>0</v>
      </c>
      <c r="S1088" s="9">
        <f t="shared" si="191"/>
        <v>7469725</v>
      </c>
      <c r="T1088" s="15">
        <f t="shared" si="192"/>
        <v>16.686436250344954</v>
      </c>
      <c r="U1088" s="15">
        <f>IF(O1088="Exclude",0,G1088*Fuel_Price!$B$2)</f>
        <v>0</v>
      </c>
      <c r="V1088" s="15">
        <f t="shared" si="193"/>
        <v>2989922.7577359979</v>
      </c>
    </row>
    <row r="1089" spans="13:22">
      <c r="M1089" s="8"/>
      <c r="O1089" t="str">
        <f t="shared" si="187"/>
        <v>Include</v>
      </c>
      <c r="P1089" s="9">
        <f t="shared" si="188"/>
        <v>2035068.5799999984</v>
      </c>
      <c r="Q1089" s="15">
        <f t="shared" si="189"/>
        <v>7469725</v>
      </c>
      <c r="R1089" s="9">
        <f t="shared" si="190"/>
        <v>0</v>
      </c>
      <c r="S1089" s="9">
        <f t="shared" si="191"/>
        <v>7469725</v>
      </c>
      <c r="T1089" s="15">
        <f t="shared" si="192"/>
        <v>16.686436250344954</v>
      </c>
      <c r="U1089" s="15">
        <f>IF(O1089="Exclude",0,G1089*Fuel_Price!$B$2)</f>
        <v>0</v>
      </c>
      <c r="V1089" s="15">
        <f t="shared" si="193"/>
        <v>2989922.7577359979</v>
      </c>
    </row>
    <row r="1090" spans="13:22">
      <c r="M1090" s="8"/>
      <c r="O1090" t="str">
        <f t="shared" ref="O1090:O1139" si="194">IF(N1090="Review","Exclude","Include")</f>
        <v>Include</v>
      </c>
      <c r="P1090" s="9">
        <f t="shared" ref="P1090:P1139" si="195">SUMIF(O:O,"Include",G:G)</f>
        <v>2035068.5799999984</v>
      </c>
      <c r="Q1090" s="15">
        <f t="shared" ref="Q1090:Q1139" si="196">SUMIF(O:O,"Include",E:E)</f>
        <v>7469725</v>
      </c>
      <c r="R1090" s="9">
        <f t="shared" ref="R1090:R1139" si="197">IF(O1090="Exclude",0,E1090)</f>
        <v>0</v>
      </c>
      <c r="S1090" s="9">
        <f t="shared" ref="S1090:S1139" si="198">SUM(R:R)</f>
        <v>7469725</v>
      </c>
      <c r="T1090" s="15">
        <f t="shared" ref="T1090:T1139" si="199">S1090/(P1090/4.54609)</f>
        <v>16.686436250344954</v>
      </c>
      <c r="U1090" s="15">
        <f>IF(O1090="Exclude",0,G1090*Fuel_Price!$B$2)</f>
        <v>0</v>
      </c>
      <c r="V1090" s="15">
        <f t="shared" ref="V1090:V1139" si="200">SUM(U:U)</f>
        <v>2989922.7577359979</v>
      </c>
    </row>
    <row r="1091" spans="13:22">
      <c r="M1091" s="8"/>
      <c r="O1091" t="str">
        <f t="shared" si="194"/>
        <v>Include</v>
      </c>
      <c r="P1091" s="9">
        <f t="shared" si="195"/>
        <v>2035068.5799999984</v>
      </c>
      <c r="Q1091" s="15">
        <f t="shared" si="196"/>
        <v>7469725</v>
      </c>
      <c r="R1091" s="9">
        <f t="shared" si="197"/>
        <v>0</v>
      </c>
      <c r="S1091" s="9">
        <f t="shared" si="198"/>
        <v>7469725</v>
      </c>
      <c r="T1091" s="15">
        <f t="shared" si="199"/>
        <v>16.686436250344954</v>
      </c>
      <c r="U1091" s="15">
        <f>IF(O1091="Exclude",0,G1091*Fuel_Price!$B$2)</f>
        <v>0</v>
      </c>
      <c r="V1091" s="15">
        <f t="shared" si="200"/>
        <v>2989922.7577359979</v>
      </c>
    </row>
    <row r="1092" spans="13:22">
      <c r="M1092" s="8"/>
      <c r="O1092" t="str">
        <f t="shared" si="194"/>
        <v>Include</v>
      </c>
      <c r="P1092" s="9">
        <f t="shared" si="195"/>
        <v>2035068.5799999984</v>
      </c>
      <c r="Q1092" s="15">
        <f t="shared" si="196"/>
        <v>7469725</v>
      </c>
      <c r="R1092" s="9">
        <f t="shared" si="197"/>
        <v>0</v>
      </c>
      <c r="S1092" s="9">
        <f t="shared" si="198"/>
        <v>7469725</v>
      </c>
      <c r="T1092" s="15">
        <f t="shared" si="199"/>
        <v>16.686436250344954</v>
      </c>
      <c r="U1092" s="15">
        <f>IF(O1092="Exclude",0,G1092*Fuel_Price!$B$2)</f>
        <v>0</v>
      </c>
      <c r="V1092" s="15">
        <f t="shared" si="200"/>
        <v>2989922.7577359979</v>
      </c>
    </row>
    <row r="1093" spans="13:22">
      <c r="M1093" s="8"/>
      <c r="O1093" t="str">
        <f t="shared" si="194"/>
        <v>Include</v>
      </c>
      <c r="P1093" s="9">
        <f t="shared" si="195"/>
        <v>2035068.5799999984</v>
      </c>
      <c r="Q1093" s="15">
        <f t="shared" si="196"/>
        <v>7469725</v>
      </c>
      <c r="R1093" s="9">
        <f t="shared" si="197"/>
        <v>0</v>
      </c>
      <c r="S1093" s="9">
        <f t="shared" si="198"/>
        <v>7469725</v>
      </c>
      <c r="T1093" s="15">
        <f t="shared" si="199"/>
        <v>16.686436250344954</v>
      </c>
      <c r="U1093" s="15">
        <f>IF(O1093="Exclude",0,G1093*Fuel_Price!$B$2)</f>
        <v>0</v>
      </c>
      <c r="V1093" s="15">
        <f t="shared" si="200"/>
        <v>2989922.7577359979</v>
      </c>
    </row>
    <row r="1094" spans="13:22">
      <c r="M1094" s="8"/>
      <c r="O1094" t="str">
        <f t="shared" si="194"/>
        <v>Include</v>
      </c>
      <c r="P1094" s="9">
        <f t="shared" si="195"/>
        <v>2035068.5799999984</v>
      </c>
      <c r="Q1094" s="15">
        <f t="shared" si="196"/>
        <v>7469725</v>
      </c>
      <c r="R1094" s="9">
        <f t="shared" si="197"/>
        <v>0</v>
      </c>
      <c r="S1094" s="9">
        <f t="shared" si="198"/>
        <v>7469725</v>
      </c>
      <c r="T1094" s="15">
        <f t="shared" si="199"/>
        <v>16.686436250344954</v>
      </c>
      <c r="U1094" s="15">
        <f>IF(O1094="Exclude",0,G1094*Fuel_Price!$B$2)</f>
        <v>0</v>
      </c>
      <c r="V1094" s="15">
        <f t="shared" si="200"/>
        <v>2989922.7577359979</v>
      </c>
    </row>
    <row r="1095" spans="13:22">
      <c r="M1095" s="8"/>
      <c r="O1095" t="str">
        <f t="shared" si="194"/>
        <v>Include</v>
      </c>
      <c r="P1095" s="9">
        <f t="shared" si="195"/>
        <v>2035068.5799999984</v>
      </c>
      <c r="Q1095" s="15">
        <f t="shared" si="196"/>
        <v>7469725</v>
      </c>
      <c r="R1095" s="9">
        <f t="shared" si="197"/>
        <v>0</v>
      </c>
      <c r="S1095" s="9">
        <f t="shared" si="198"/>
        <v>7469725</v>
      </c>
      <c r="T1095" s="15">
        <f t="shared" si="199"/>
        <v>16.686436250344954</v>
      </c>
      <c r="U1095" s="15">
        <f>IF(O1095="Exclude",0,G1095*Fuel_Price!$B$2)</f>
        <v>0</v>
      </c>
      <c r="V1095" s="15">
        <f t="shared" si="200"/>
        <v>2989922.7577359979</v>
      </c>
    </row>
    <row r="1096" spans="13:22">
      <c r="M1096" s="8"/>
      <c r="O1096" t="str">
        <f t="shared" si="194"/>
        <v>Include</v>
      </c>
      <c r="P1096" s="9">
        <f t="shared" si="195"/>
        <v>2035068.5799999984</v>
      </c>
      <c r="Q1096" s="15">
        <f t="shared" si="196"/>
        <v>7469725</v>
      </c>
      <c r="R1096" s="9">
        <f t="shared" si="197"/>
        <v>0</v>
      </c>
      <c r="S1096" s="9">
        <f t="shared" si="198"/>
        <v>7469725</v>
      </c>
      <c r="T1096" s="15">
        <f t="shared" si="199"/>
        <v>16.686436250344954</v>
      </c>
      <c r="U1096" s="15">
        <f>IF(O1096="Exclude",0,G1096*Fuel_Price!$B$2)</f>
        <v>0</v>
      </c>
      <c r="V1096" s="15">
        <f t="shared" si="200"/>
        <v>2989922.7577359979</v>
      </c>
    </row>
    <row r="1097" spans="13:22">
      <c r="M1097" s="8"/>
      <c r="O1097" t="str">
        <f t="shared" si="194"/>
        <v>Include</v>
      </c>
      <c r="P1097" s="9">
        <f t="shared" si="195"/>
        <v>2035068.5799999984</v>
      </c>
      <c r="Q1097" s="15">
        <f t="shared" si="196"/>
        <v>7469725</v>
      </c>
      <c r="R1097" s="9">
        <f t="shared" si="197"/>
        <v>0</v>
      </c>
      <c r="S1097" s="9">
        <f t="shared" si="198"/>
        <v>7469725</v>
      </c>
      <c r="T1097" s="15">
        <f t="shared" si="199"/>
        <v>16.686436250344954</v>
      </c>
      <c r="U1097" s="15">
        <f>IF(O1097="Exclude",0,G1097*Fuel_Price!$B$2)</f>
        <v>0</v>
      </c>
      <c r="V1097" s="15">
        <f t="shared" si="200"/>
        <v>2989922.7577359979</v>
      </c>
    </row>
    <row r="1098" spans="13:22">
      <c r="M1098" s="8"/>
      <c r="O1098" t="str">
        <f t="shared" si="194"/>
        <v>Include</v>
      </c>
      <c r="P1098" s="9">
        <f t="shared" si="195"/>
        <v>2035068.5799999984</v>
      </c>
      <c r="Q1098" s="15">
        <f t="shared" si="196"/>
        <v>7469725</v>
      </c>
      <c r="R1098" s="9">
        <f t="shared" si="197"/>
        <v>0</v>
      </c>
      <c r="S1098" s="9">
        <f t="shared" si="198"/>
        <v>7469725</v>
      </c>
      <c r="T1098" s="15">
        <f t="shared" si="199"/>
        <v>16.686436250344954</v>
      </c>
      <c r="U1098" s="15">
        <f>IF(O1098="Exclude",0,G1098*Fuel_Price!$B$2)</f>
        <v>0</v>
      </c>
      <c r="V1098" s="15">
        <f t="shared" si="200"/>
        <v>2989922.7577359979</v>
      </c>
    </row>
    <row r="1099" spans="13:22">
      <c r="M1099" s="8"/>
      <c r="O1099" t="str">
        <f t="shared" si="194"/>
        <v>Include</v>
      </c>
      <c r="P1099" s="9">
        <f t="shared" si="195"/>
        <v>2035068.5799999984</v>
      </c>
      <c r="Q1099" s="15">
        <f t="shared" si="196"/>
        <v>7469725</v>
      </c>
      <c r="R1099" s="9">
        <f t="shared" si="197"/>
        <v>0</v>
      </c>
      <c r="S1099" s="9">
        <f t="shared" si="198"/>
        <v>7469725</v>
      </c>
      <c r="T1099" s="15">
        <f t="shared" si="199"/>
        <v>16.686436250344954</v>
      </c>
      <c r="U1099" s="15">
        <f>IF(O1099="Exclude",0,G1099*Fuel_Price!$B$2)</f>
        <v>0</v>
      </c>
      <c r="V1099" s="15">
        <f t="shared" si="200"/>
        <v>2989922.7577359979</v>
      </c>
    </row>
    <row r="1100" spans="13:22">
      <c r="M1100" s="8"/>
      <c r="O1100" t="str">
        <f t="shared" si="194"/>
        <v>Include</v>
      </c>
      <c r="P1100" s="9">
        <f t="shared" si="195"/>
        <v>2035068.5799999984</v>
      </c>
      <c r="Q1100" s="15">
        <f t="shared" si="196"/>
        <v>7469725</v>
      </c>
      <c r="R1100" s="9">
        <f t="shared" si="197"/>
        <v>0</v>
      </c>
      <c r="S1100" s="9">
        <f t="shared" si="198"/>
        <v>7469725</v>
      </c>
      <c r="T1100" s="15">
        <f t="shared" si="199"/>
        <v>16.686436250344954</v>
      </c>
      <c r="U1100" s="15">
        <f>IF(O1100="Exclude",0,G1100*Fuel_Price!$B$2)</f>
        <v>0</v>
      </c>
      <c r="V1100" s="15">
        <f t="shared" si="200"/>
        <v>2989922.7577359979</v>
      </c>
    </row>
    <row r="1101" spans="13:22">
      <c r="M1101" s="8"/>
      <c r="O1101" t="str">
        <f t="shared" si="194"/>
        <v>Include</v>
      </c>
      <c r="P1101" s="9">
        <f t="shared" si="195"/>
        <v>2035068.5799999984</v>
      </c>
      <c r="Q1101" s="15">
        <f t="shared" si="196"/>
        <v>7469725</v>
      </c>
      <c r="R1101" s="9">
        <f t="shared" si="197"/>
        <v>0</v>
      </c>
      <c r="S1101" s="9">
        <f t="shared" si="198"/>
        <v>7469725</v>
      </c>
      <c r="T1101" s="15">
        <f t="shared" si="199"/>
        <v>16.686436250344954</v>
      </c>
      <c r="U1101" s="15">
        <f>IF(O1101="Exclude",0,G1101*Fuel_Price!$B$2)</f>
        <v>0</v>
      </c>
      <c r="V1101" s="15">
        <f t="shared" si="200"/>
        <v>2989922.7577359979</v>
      </c>
    </row>
    <row r="1102" spans="13:22">
      <c r="M1102" s="8"/>
      <c r="O1102" t="str">
        <f t="shared" si="194"/>
        <v>Include</v>
      </c>
      <c r="P1102" s="9">
        <f t="shared" si="195"/>
        <v>2035068.5799999984</v>
      </c>
      <c r="Q1102" s="15">
        <f t="shared" si="196"/>
        <v>7469725</v>
      </c>
      <c r="R1102" s="9">
        <f t="shared" si="197"/>
        <v>0</v>
      </c>
      <c r="S1102" s="9">
        <f t="shared" si="198"/>
        <v>7469725</v>
      </c>
      <c r="T1102" s="15">
        <f t="shared" si="199"/>
        <v>16.686436250344954</v>
      </c>
      <c r="U1102" s="15">
        <f>IF(O1102="Exclude",0,G1102*Fuel_Price!$B$2)</f>
        <v>0</v>
      </c>
      <c r="V1102" s="15">
        <f t="shared" si="200"/>
        <v>2989922.7577359979</v>
      </c>
    </row>
    <row r="1103" spans="13:22">
      <c r="M1103" s="8"/>
      <c r="O1103" t="str">
        <f t="shared" si="194"/>
        <v>Include</v>
      </c>
      <c r="P1103" s="9">
        <f t="shared" si="195"/>
        <v>2035068.5799999984</v>
      </c>
      <c r="Q1103" s="15">
        <f t="shared" si="196"/>
        <v>7469725</v>
      </c>
      <c r="R1103" s="9">
        <f t="shared" si="197"/>
        <v>0</v>
      </c>
      <c r="S1103" s="9">
        <f t="shared" si="198"/>
        <v>7469725</v>
      </c>
      <c r="T1103" s="15">
        <f t="shared" si="199"/>
        <v>16.686436250344954</v>
      </c>
      <c r="U1103" s="15">
        <f>IF(O1103="Exclude",0,G1103*Fuel_Price!$B$2)</f>
        <v>0</v>
      </c>
      <c r="V1103" s="15">
        <f t="shared" si="200"/>
        <v>2989922.7577359979</v>
      </c>
    </row>
    <row r="1104" spans="13:22">
      <c r="M1104" s="8"/>
      <c r="O1104" t="str">
        <f t="shared" si="194"/>
        <v>Include</v>
      </c>
      <c r="P1104" s="9">
        <f t="shared" si="195"/>
        <v>2035068.5799999984</v>
      </c>
      <c r="Q1104" s="15">
        <f t="shared" si="196"/>
        <v>7469725</v>
      </c>
      <c r="R1104" s="9">
        <f t="shared" si="197"/>
        <v>0</v>
      </c>
      <c r="S1104" s="9">
        <f t="shared" si="198"/>
        <v>7469725</v>
      </c>
      <c r="T1104" s="15">
        <f t="shared" si="199"/>
        <v>16.686436250344954</v>
      </c>
      <c r="U1104" s="15">
        <f>IF(O1104="Exclude",0,G1104*Fuel_Price!$B$2)</f>
        <v>0</v>
      </c>
      <c r="V1104" s="15">
        <f t="shared" si="200"/>
        <v>2989922.7577359979</v>
      </c>
    </row>
    <row r="1105" spans="13:22">
      <c r="M1105" s="8"/>
      <c r="O1105" t="str">
        <f t="shared" si="194"/>
        <v>Include</v>
      </c>
      <c r="P1105" s="9">
        <f t="shared" si="195"/>
        <v>2035068.5799999984</v>
      </c>
      <c r="Q1105" s="15">
        <f t="shared" si="196"/>
        <v>7469725</v>
      </c>
      <c r="R1105" s="9">
        <f t="shared" si="197"/>
        <v>0</v>
      </c>
      <c r="S1105" s="9">
        <f t="shared" si="198"/>
        <v>7469725</v>
      </c>
      <c r="T1105" s="15">
        <f t="shared" si="199"/>
        <v>16.686436250344954</v>
      </c>
      <c r="U1105" s="15">
        <f>IF(O1105="Exclude",0,G1105*Fuel_Price!$B$2)</f>
        <v>0</v>
      </c>
      <c r="V1105" s="15">
        <f t="shared" si="200"/>
        <v>2989922.7577359979</v>
      </c>
    </row>
    <row r="1106" spans="13:22">
      <c r="M1106" s="8"/>
      <c r="O1106" t="str">
        <f t="shared" si="194"/>
        <v>Include</v>
      </c>
      <c r="P1106" s="9">
        <f t="shared" si="195"/>
        <v>2035068.5799999984</v>
      </c>
      <c r="Q1106" s="15">
        <f t="shared" si="196"/>
        <v>7469725</v>
      </c>
      <c r="R1106" s="9">
        <f t="shared" si="197"/>
        <v>0</v>
      </c>
      <c r="S1106" s="9">
        <f t="shared" si="198"/>
        <v>7469725</v>
      </c>
      <c r="T1106" s="15">
        <f t="shared" si="199"/>
        <v>16.686436250344954</v>
      </c>
      <c r="U1106" s="15">
        <f>IF(O1106="Exclude",0,G1106*Fuel_Price!$B$2)</f>
        <v>0</v>
      </c>
      <c r="V1106" s="15">
        <f t="shared" si="200"/>
        <v>2989922.7577359979</v>
      </c>
    </row>
    <row r="1107" spans="13:22">
      <c r="M1107" s="8"/>
      <c r="O1107" t="str">
        <f t="shared" si="194"/>
        <v>Include</v>
      </c>
      <c r="P1107" s="9">
        <f t="shared" si="195"/>
        <v>2035068.5799999984</v>
      </c>
      <c r="Q1107" s="15">
        <f t="shared" si="196"/>
        <v>7469725</v>
      </c>
      <c r="R1107" s="9">
        <f t="shared" si="197"/>
        <v>0</v>
      </c>
      <c r="S1107" s="9">
        <f t="shared" si="198"/>
        <v>7469725</v>
      </c>
      <c r="T1107" s="15">
        <f t="shared" si="199"/>
        <v>16.686436250344954</v>
      </c>
      <c r="U1107" s="15">
        <f>IF(O1107="Exclude",0,G1107*Fuel_Price!$B$2)</f>
        <v>0</v>
      </c>
      <c r="V1107" s="15">
        <f t="shared" si="200"/>
        <v>2989922.7577359979</v>
      </c>
    </row>
    <row r="1108" spans="13:22">
      <c r="M1108" s="8"/>
      <c r="O1108" t="str">
        <f t="shared" si="194"/>
        <v>Include</v>
      </c>
      <c r="P1108" s="9">
        <f t="shared" si="195"/>
        <v>2035068.5799999984</v>
      </c>
      <c r="Q1108" s="15">
        <f t="shared" si="196"/>
        <v>7469725</v>
      </c>
      <c r="R1108" s="9">
        <f t="shared" si="197"/>
        <v>0</v>
      </c>
      <c r="S1108" s="9">
        <f t="shared" si="198"/>
        <v>7469725</v>
      </c>
      <c r="T1108" s="15">
        <f t="shared" si="199"/>
        <v>16.686436250344954</v>
      </c>
      <c r="U1108" s="15">
        <f>IF(O1108="Exclude",0,G1108*Fuel_Price!$B$2)</f>
        <v>0</v>
      </c>
      <c r="V1108" s="15">
        <f t="shared" si="200"/>
        <v>2989922.7577359979</v>
      </c>
    </row>
    <row r="1109" spans="13:22">
      <c r="M1109" s="8"/>
      <c r="O1109" t="str">
        <f t="shared" si="194"/>
        <v>Include</v>
      </c>
      <c r="P1109" s="9">
        <f t="shared" si="195"/>
        <v>2035068.5799999984</v>
      </c>
      <c r="Q1109" s="15">
        <f t="shared" si="196"/>
        <v>7469725</v>
      </c>
      <c r="R1109" s="9">
        <f t="shared" si="197"/>
        <v>0</v>
      </c>
      <c r="S1109" s="9">
        <f t="shared" si="198"/>
        <v>7469725</v>
      </c>
      <c r="T1109" s="15">
        <f t="shared" si="199"/>
        <v>16.686436250344954</v>
      </c>
      <c r="U1109" s="15">
        <f>IF(O1109="Exclude",0,G1109*Fuel_Price!$B$2)</f>
        <v>0</v>
      </c>
      <c r="V1109" s="15">
        <f t="shared" si="200"/>
        <v>2989922.7577359979</v>
      </c>
    </row>
    <row r="1110" spans="13:22">
      <c r="M1110" s="8"/>
      <c r="O1110" t="str">
        <f t="shared" si="194"/>
        <v>Include</v>
      </c>
      <c r="P1110" s="9">
        <f t="shared" si="195"/>
        <v>2035068.5799999984</v>
      </c>
      <c r="Q1110" s="15">
        <f t="shared" si="196"/>
        <v>7469725</v>
      </c>
      <c r="R1110" s="9">
        <f t="shared" si="197"/>
        <v>0</v>
      </c>
      <c r="S1110" s="9">
        <f t="shared" si="198"/>
        <v>7469725</v>
      </c>
      <c r="T1110" s="15">
        <f t="shared" si="199"/>
        <v>16.686436250344954</v>
      </c>
      <c r="U1110" s="15">
        <f>IF(O1110="Exclude",0,G1110*Fuel_Price!$B$2)</f>
        <v>0</v>
      </c>
      <c r="V1110" s="15">
        <f t="shared" si="200"/>
        <v>2989922.7577359979</v>
      </c>
    </row>
    <row r="1111" spans="13:22">
      <c r="M1111" s="8"/>
      <c r="O1111" t="str">
        <f t="shared" si="194"/>
        <v>Include</v>
      </c>
      <c r="P1111" s="9">
        <f t="shared" si="195"/>
        <v>2035068.5799999984</v>
      </c>
      <c r="Q1111" s="15">
        <f t="shared" si="196"/>
        <v>7469725</v>
      </c>
      <c r="R1111" s="9">
        <f t="shared" si="197"/>
        <v>0</v>
      </c>
      <c r="S1111" s="9">
        <f t="shared" si="198"/>
        <v>7469725</v>
      </c>
      <c r="T1111" s="15">
        <f t="shared" si="199"/>
        <v>16.686436250344954</v>
      </c>
      <c r="U1111" s="15">
        <f>IF(O1111="Exclude",0,G1111*Fuel_Price!$B$2)</f>
        <v>0</v>
      </c>
      <c r="V1111" s="15">
        <f t="shared" si="200"/>
        <v>2989922.7577359979</v>
      </c>
    </row>
    <row r="1112" spans="13:22">
      <c r="M1112" s="8"/>
      <c r="O1112" t="str">
        <f t="shared" si="194"/>
        <v>Include</v>
      </c>
      <c r="P1112" s="9">
        <f t="shared" si="195"/>
        <v>2035068.5799999984</v>
      </c>
      <c r="Q1112" s="15">
        <f t="shared" si="196"/>
        <v>7469725</v>
      </c>
      <c r="R1112" s="9">
        <f t="shared" si="197"/>
        <v>0</v>
      </c>
      <c r="S1112" s="9">
        <f t="shared" si="198"/>
        <v>7469725</v>
      </c>
      <c r="T1112" s="15">
        <f t="shared" si="199"/>
        <v>16.686436250344954</v>
      </c>
      <c r="U1112" s="15">
        <f>IF(O1112="Exclude",0,G1112*Fuel_Price!$B$2)</f>
        <v>0</v>
      </c>
      <c r="V1112" s="15">
        <f t="shared" si="200"/>
        <v>2989922.7577359979</v>
      </c>
    </row>
    <row r="1113" spans="13:22">
      <c r="M1113" s="8"/>
      <c r="O1113" t="str">
        <f t="shared" si="194"/>
        <v>Include</v>
      </c>
      <c r="P1113" s="9">
        <f t="shared" si="195"/>
        <v>2035068.5799999984</v>
      </c>
      <c r="Q1113" s="15">
        <f t="shared" si="196"/>
        <v>7469725</v>
      </c>
      <c r="R1113" s="9">
        <f t="shared" si="197"/>
        <v>0</v>
      </c>
      <c r="S1113" s="9">
        <f t="shared" si="198"/>
        <v>7469725</v>
      </c>
      <c r="T1113" s="15">
        <f t="shared" si="199"/>
        <v>16.686436250344954</v>
      </c>
      <c r="U1113" s="15">
        <f>IF(O1113="Exclude",0,G1113*Fuel_Price!$B$2)</f>
        <v>0</v>
      </c>
      <c r="V1113" s="15">
        <f t="shared" si="200"/>
        <v>2989922.7577359979</v>
      </c>
    </row>
    <row r="1114" spans="13:22">
      <c r="M1114" s="8"/>
      <c r="O1114" t="str">
        <f t="shared" si="194"/>
        <v>Include</v>
      </c>
      <c r="P1114" s="9">
        <f t="shared" si="195"/>
        <v>2035068.5799999984</v>
      </c>
      <c r="Q1114" s="15">
        <f t="shared" si="196"/>
        <v>7469725</v>
      </c>
      <c r="R1114" s="9">
        <f t="shared" si="197"/>
        <v>0</v>
      </c>
      <c r="S1114" s="9">
        <f t="shared" si="198"/>
        <v>7469725</v>
      </c>
      <c r="T1114" s="15">
        <f t="shared" si="199"/>
        <v>16.686436250344954</v>
      </c>
      <c r="U1114" s="15">
        <f>IF(O1114="Exclude",0,G1114*Fuel_Price!$B$2)</f>
        <v>0</v>
      </c>
      <c r="V1114" s="15">
        <f t="shared" si="200"/>
        <v>2989922.7577359979</v>
      </c>
    </row>
    <row r="1115" spans="13:22">
      <c r="M1115" s="8"/>
      <c r="O1115" t="str">
        <f t="shared" si="194"/>
        <v>Include</v>
      </c>
      <c r="P1115" s="9">
        <f t="shared" si="195"/>
        <v>2035068.5799999984</v>
      </c>
      <c r="Q1115" s="15">
        <f t="shared" si="196"/>
        <v>7469725</v>
      </c>
      <c r="R1115" s="9">
        <f t="shared" si="197"/>
        <v>0</v>
      </c>
      <c r="S1115" s="9">
        <f t="shared" si="198"/>
        <v>7469725</v>
      </c>
      <c r="T1115" s="15">
        <f t="shared" si="199"/>
        <v>16.686436250344954</v>
      </c>
      <c r="U1115" s="15">
        <f>IF(O1115="Exclude",0,G1115*Fuel_Price!$B$2)</f>
        <v>0</v>
      </c>
      <c r="V1115" s="15">
        <f t="shared" si="200"/>
        <v>2989922.7577359979</v>
      </c>
    </row>
    <row r="1116" spans="13:22">
      <c r="M1116" s="8"/>
      <c r="O1116" t="str">
        <f t="shared" si="194"/>
        <v>Include</v>
      </c>
      <c r="P1116" s="9">
        <f t="shared" si="195"/>
        <v>2035068.5799999984</v>
      </c>
      <c r="Q1116" s="15">
        <f t="shared" si="196"/>
        <v>7469725</v>
      </c>
      <c r="R1116" s="9">
        <f t="shared" si="197"/>
        <v>0</v>
      </c>
      <c r="S1116" s="9">
        <f t="shared" si="198"/>
        <v>7469725</v>
      </c>
      <c r="T1116" s="15">
        <f t="shared" si="199"/>
        <v>16.686436250344954</v>
      </c>
      <c r="U1116" s="15">
        <f>IF(O1116="Exclude",0,G1116*Fuel_Price!$B$2)</f>
        <v>0</v>
      </c>
      <c r="V1116" s="15">
        <f t="shared" si="200"/>
        <v>2989922.7577359979</v>
      </c>
    </row>
    <row r="1117" spans="13:22">
      <c r="M1117" s="8"/>
      <c r="O1117" t="str">
        <f t="shared" si="194"/>
        <v>Include</v>
      </c>
      <c r="P1117" s="9">
        <f t="shared" si="195"/>
        <v>2035068.5799999984</v>
      </c>
      <c r="Q1117" s="15">
        <f t="shared" si="196"/>
        <v>7469725</v>
      </c>
      <c r="R1117" s="9">
        <f t="shared" si="197"/>
        <v>0</v>
      </c>
      <c r="S1117" s="9">
        <f t="shared" si="198"/>
        <v>7469725</v>
      </c>
      <c r="T1117" s="15">
        <f t="shared" si="199"/>
        <v>16.686436250344954</v>
      </c>
      <c r="U1117" s="15">
        <f>IF(O1117="Exclude",0,G1117*Fuel_Price!$B$2)</f>
        <v>0</v>
      </c>
      <c r="V1117" s="15">
        <f t="shared" si="200"/>
        <v>2989922.7577359979</v>
      </c>
    </row>
    <row r="1118" spans="13:22">
      <c r="M1118" s="8"/>
      <c r="O1118" t="str">
        <f t="shared" si="194"/>
        <v>Include</v>
      </c>
      <c r="P1118" s="9">
        <f t="shared" si="195"/>
        <v>2035068.5799999984</v>
      </c>
      <c r="Q1118" s="15">
        <f t="shared" si="196"/>
        <v>7469725</v>
      </c>
      <c r="R1118" s="9">
        <f t="shared" si="197"/>
        <v>0</v>
      </c>
      <c r="S1118" s="9">
        <f t="shared" si="198"/>
        <v>7469725</v>
      </c>
      <c r="T1118" s="15">
        <f t="shared" si="199"/>
        <v>16.686436250344954</v>
      </c>
      <c r="U1118" s="15">
        <f>IF(O1118="Exclude",0,G1118*Fuel_Price!$B$2)</f>
        <v>0</v>
      </c>
      <c r="V1118" s="15">
        <f t="shared" si="200"/>
        <v>2989922.7577359979</v>
      </c>
    </row>
    <row r="1119" spans="13:22">
      <c r="M1119" s="8"/>
      <c r="O1119" t="str">
        <f t="shared" si="194"/>
        <v>Include</v>
      </c>
      <c r="P1119" s="9">
        <f t="shared" si="195"/>
        <v>2035068.5799999984</v>
      </c>
      <c r="Q1119" s="15">
        <f t="shared" si="196"/>
        <v>7469725</v>
      </c>
      <c r="R1119" s="9">
        <f t="shared" si="197"/>
        <v>0</v>
      </c>
      <c r="S1119" s="9">
        <f t="shared" si="198"/>
        <v>7469725</v>
      </c>
      <c r="T1119" s="15">
        <f t="shared" si="199"/>
        <v>16.686436250344954</v>
      </c>
      <c r="U1119" s="15">
        <f>IF(O1119="Exclude",0,G1119*Fuel_Price!$B$2)</f>
        <v>0</v>
      </c>
      <c r="V1119" s="15">
        <f t="shared" si="200"/>
        <v>2989922.7577359979</v>
      </c>
    </row>
    <row r="1120" spans="13:22">
      <c r="M1120" s="8"/>
      <c r="O1120" t="str">
        <f t="shared" si="194"/>
        <v>Include</v>
      </c>
      <c r="P1120" s="9">
        <f t="shared" si="195"/>
        <v>2035068.5799999984</v>
      </c>
      <c r="Q1120" s="15">
        <f t="shared" si="196"/>
        <v>7469725</v>
      </c>
      <c r="R1120" s="9">
        <f t="shared" si="197"/>
        <v>0</v>
      </c>
      <c r="S1120" s="9">
        <f t="shared" si="198"/>
        <v>7469725</v>
      </c>
      <c r="T1120" s="15">
        <f t="shared" si="199"/>
        <v>16.686436250344954</v>
      </c>
      <c r="U1120" s="15">
        <f>IF(O1120="Exclude",0,G1120*Fuel_Price!$B$2)</f>
        <v>0</v>
      </c>
      <c r="V1120" s="15">
        <f t="shared" si="200"/>
        <v>2989922.7577359979</v>
      </c>
    </row>
    <row r="1121" spans="13:22">
      <c r="M1121" s="8"/>
      <c r="O1121" t="str">
        <f t="shared" si="194"/>
        <v>Include</v>
      </c>
      <c r="P1121" s="9">
        <f t="shared" si="195"/>
        <v>2035068.5799999984</v>
      </c>
      <c r="Q1121" s="15">
        <f t="shared" si="196"/>
        <v>7469725</v>
      </c>
      <c r="R1121" s="9">
        <f t="shared" si="197"/>
        <v>0</v>
      </c>
      <c r="S1121" s="9">
        <f t="shared" si="198"/>
        <v>7469725</v>
      </c>
      <c r="T1121" s="15">
        <f t="shared" si="199"/>
        <v>16.686436250344954</v>
      </c>
      <c r="U1121" s="15">
        <f>IF(O1121="Exclude",0,G1121*Fuel_Price!$B$2)</f>
        <v>0</v>
      </c>
      <c r="V1121" s="15">
        <f t="shared" si="200"/>
        <v>2989922.7577359979</v>
      </c>
    </row>
    <row r="1122" spans="13:22">
      <c r="M1122" s="8"/>
      <c r="O1122" t="str">
        <f t="shared" si="194"/>
        <v>Include</v>
      </c>
      <c r="P1122" s="9">
        <f t="shared" si="195"/>
        <v>2035068.5799999984</v>
      </c>
      <c r="Q1122" s="15">
        <f t="shared" si="196"/>
        <v>7469725</v>
      </c>
      <c r="R1122" s="9">
        <f t="shared" si="197"/>
        <v>0</v>
      </c>
      <c r="S1122" s="9">
        <f t="shared" si="198"/>
        <v>7469725</v>
      </c>
      <c r="T1122" s="15">
        <f t="shared" si="199"/>
        <v>16.686436250344954</v>
      </c>
      <c r="U1122" s="15">
        <f>IF(O1122="Exclude",0,G1122*Fuel_Price!$B$2)</f>
        <v>0</v>
      </c>
      <c r="V1122" s="15">
        <f t="shared" si="200"/>
        <v>2989922.7577359979</v>
      </c>
    </row>
    <row r="1123" spans="13:22">
      <c r="M1123" s="8"/>
      <c r="O1123" t="str">
        <f t="shared" si="194"/>
        <v>Include</v>
      </c>
      <c r="P1123" s="9">
        <f t="shared" si="195"/>
        <v>2035068.5799999984</v>
      </c>
      <c r="Q1123" s="15">
        <f t="shared" si="196"/>
        <v>7469725</v>
      </c>
      <c r="R1123" s="9">
        <f t="shared" si="197"/>
        <v>0</v>
      </c>
      <c r="S1123" s="9">
        <f t="shared" si="198"/>
        <v>7469725</v>
      </c>
      <c r="T1123" s="15">
        <f t="shared" si="199"/>
        <v>16.686436250344954</v>
      </c>
      <c r="U1123" s="15">
        <f>IF(O1123="Exclude",0,G1123*Fuel_Price!$B$2)</f>
        <v>0</v>
      </c>
      <c r="V1123" s="15">
        <f t="shared" si="200"/>
        <v>2989922.7577359979</v>
      </c>
    </row>
    <row r="1124" spans="13:22">
      <c r="M1124" s="8"/>
      <c r="O1124" t="str">
        <f t="shared" si="194"/>
        <v>Include</v>
      </c>
      <c r="P1124" s="9">
        <f t="shared" si="195"/>
        <v>2035068.5799999984</v>
      </c>
      <c r="Q1124" s="15">
        <f t="shared" si="196"/>
        <v>7469725</v>
      </c>
      <c r="R1124" s="9">
        <f t="shared" si="197"/>
        <v>0</v>
      </c>
      <c r="S1124" s="9">
        <f t="shared" si="198"/>
        <v>7469725</v>
      </c>
      <c r="T1124" s="15">
        <f t="shared" si="199"/>
        <v>16.686436250344954</v>
      </c>
      <c r="U1124" s="15">
        <f>IF(O1124="Exclude",0,G1124*Fuel_Price!$B$2)</f>
        <v>0</v>
      </c>
      <c r="V1124" s="15">
        <f t="shared" si="200"/>
        <v>2989922.7577359979</v>
      </c>
    </row>
    <row r="1125" spans="13:22">
      <c r="M1125" s="8"/>
      <c r="O1125" t="str">
        <f t="shared" si="194"/>
        <v>Include</v>
      </c>
      <c r="P1125" s="9">
        <f t="shared" si="195"/>
        <v>2035068.5799999984</v>
      </c>
      <c r="Q1125" s="15">
        <f t="shared" si="196"/>
        <v>7469725</v>
      </c>
      <c r="R1125" s="9">
        <f t="shared" si="197"/>
        <v>0</v>
      </c>
      <c r="S1125" s="9">
        <f t="shared" si="198"/>
        <v>7469725</v>
      </c>
      <c r="T1125" s="15">
        <f t="shared" si="199"/>
        <v>16.686436250344954</v>
      </c>
      <c r="U1125" s="15">
        <f>IF(O1125="Exclude",0,G1125*Fuel_Price!$B$2)</f>
        <v>0</v>
      </c>
      <c r="V1125" s="15">
        <f t="shared" si="200"/>
        <v>2989922.7577359979</v>
      </c>
    </row>
    <row r="1126" spans="13:22">
      <c r="M1126" s="8"/>
      <c r="O1126" t="str">
        <f t="shared" si="194"/>
        <v>Include</v>
      </c>
      <c r="P1126" s="9">
        <f t="shared" si="195"/>
        <v>2035068.5799999984</v>
      </c>
      <c r="Q1126" s="15">
        <f t="shared" si="196"/>
        <v>7469725</v>
      </c>
      <c r="R1126" s="9">
        <f t="shared" si="197"/>
        <v>0</v>
      </c>
      <c r="S1126" s="9">
        <f t="shared" si="198"/>
        <v>7469725</v>
      </c>
      <c r="T1126" s="15">
        <f t="shared" si="199"/>
        <v>16.686436250344954</v>
      </c>
      <c r="U1126" s="15">
        <f>IF(O1126="Exclude",0,G1126*Fuel_Price!$B$2)</f>
        <v>0</v>
      </c>
      <c r="V1126" s="15">
        <f t="shared" si="200"/>
        <v>2989922.7577359979</v>
      </c>
    </row>
    <row r="1127" spans="13:22">
      <c r="M1127" s="8"/>
      <c r="O1127" t="str">
        <f t="shared" si="194"/>
        <v>Include</v>
      </c>
      <c r="P1127" s="9">
        <f t="shared" si="195"/>
        <v>2035068.5799999984</v>
      </c>
      <c r="Q1127" s="15">
        <f t="shared" si="196"/>
        <v>7469725</v>
      </c>
      <c r="R1127" s="9">
        <f t="shared" si="197"/>
        <v>0</v>
      </c>
      <c r="S1127" s="9">
        <f t="shared" si="198"/>
        <v>7469725</v>
      </c>
      <c r="T1127" s="15">
        <f t="shared" si="199"/>
        <v>16.686436250344954</v>
      </c>
      <c r="U1127" s="15">
        <f>IF(O1127="Exclude",0,G1127*Fuel_Price!$B$2)</f>
        <v>0</v>
      </c>
      <c r="V1127" s="15">
        <f t="shared" si="200"/>
        <v>2989922.7577359979</v>
      </c>
    </row>
    <row r="1128" spans="13:22">
      <c r="M1128" s="8"/>
      <c r="O1128" t="str">
        <f t="shared" si="194"/>
        <v>Include</v>
      </c>
      <c r="P1128" s="9">
        <f t="shared" si="195"/>
        <v>2035068.5799999984</v>
      </c>
      <c r="Q1128" s="15">
        <f t="shared" si="196"/>
        <v>7469725</v>
      </c>
      <c r="R1128" s="9">
        <f t="shared" si="197"/>
        <v>0</v>
      </c>
      <c r="S1128" s="9">
        <f t="shared" si="198"/>
        <v>7469725</v>
      </c>
      <c r="T1128" s="15">
        <f t="shared" si="199"/>
        <v>16.686436250344954</v>
      </c>
      <c r="U1128" s="15">
        <f>IF(O1128="Exclude",0,G1128*Fuel_Price!$B$2)</f>
        <v>0</v>
      </c>
      <c r="V1128" s="15">
        <f t="shared" si="200"/>
        <v>2989922.7577359979</v>
      </c>
    </row>
    <row r="1129" spans="13:22">
      <c r="M1129" s="8"/>
      <c r="O1129" t="str">
        <f t="shared" si="194"/>
        <v>Include</v>
      </c>
      <c r="P1129" s="9">
        <f t="shared" si="195"/>
        <v>2035068.5799999984</v>
      </c>
      <c r="Q1129" s="15">
        <f t="shared" si="196"/>
        <v>7469725</v>
      </c>
      <c r="R1129" s="9">
        <f t="shared" si="197"/>
        <v>0</v>
      </c>
      <c r="S1129" s="9">
        <f t="shared" si="198"/>
        <v>7469725</v>
      </c>
      <c r="T1129" s="15">
        <f t="shared" si="199"/>
        <v>16.686436250344954</v>
      </c>
      <c r="U1129" s="15">
        <f>IF(O1129="Exclude",0,G1129*Fuel_Price!$B$2)</f>
        <v>0</v>
      </c>
      <c r="V1129" s="15">
        <f t="shared" si="200"/>
        <v>2989922.7577359979</v>
      </c>
    </row>
    <row r="1130" spans="13:22">
      <c r="M1130" s="8"/>
      <c r="O1130" t="str">
        <f t="shared" si="194"/>
        <v>Include</v>
      </c>
      <c r="P1130" s="9">
        <f t="shared" si="195"/>
        <v>2035068.5799999984</v>
      </c>
      <c r="Q1130" s="15">
        <f t="shared" si="196"/>
        <v>7469725</v>
      </c>
      <c r="R1130" s="9">
        <f t="shared" si="197"/>
        <v>0</v>
      </c>
      <c r="S1130" s="9">
        <f t="shared" si="198"/>
        <v>7469725</v>
      </c>
      <c r="T1130" s="15">
        <f t="shared" si="199"/>
        <v>16.686436250344954</v>
      </c>
      <c r="U1130" s="15">
        <f>IF(O1130="Exclude",0,G1130*Fuel_Price!$B$2)</f>
        <v>0</v>
      </c>
      <c r="V1130" s="15">
        <f t="shared" si="200"/>
        <v>2989922.7577359979</v>
      </c>
    </row>
    <row r="1131" spans="13:22">
      <c r="M1131" s="8"/>
      <c r="O1131" t="str">
        <f t="shared" si="194"/>
        <v>Include</v>
      </c>
      <c r="P1131" s="9">
        <f t="shared" si="195"/>
        <v>2035068.5799999984</v>
      </c>
      <c r="Q1131" s="15">
        <f t="shared" si="196"/>
        <v>7469725</v>
      </c>
      <c r="R1131" s="9">
        <f t="shared" si="197"/>
        <v>0</v>
      </c>
      <c r="S1131" s="9">
        <f t="shared" si="198"/>
        <v>7469725</v>
      </c>
      <c r="T1131" s="15">
        <f t="shared" si="199"/>
        <v>16.686436250344954</v>
      </c>
      <c r="U1131" s="15">
        <f>IF(O1131="Exclude",0,G1131*Fuel_Price!$B$2)</f>
        <v>0</v>
      </c>
      <c r="V1131" s="15">
        <f t="shared" si="200"/>
        <v>2989922.7577359979</v>
      </c>
    </row>
    <row r="1132" spans="13:22">
      <c r="M1132" s="8"/>
      <c r="O1132" t="str">
        <f t="shared" si="194"/>
        <v>Include</v>
      </c>
      <c r="P1132" s="9">
        <f t="shared" si="195"/>
        <v>2035068.5799999984</v>
      </c>
      <c r="Q1132" s="15">
        <f t="shared" si="196"/>
        <v>7469725</v>
      </c>
      <c r="R1132" s="9">
        <f t="shared" si="197"/>
        <v>0</v>
      </c>
      <c r="S1132" s="9">
        <f t="shared" si="198"/>
        <v>7469725</v>
      </c>
      <c r="T1132" s="15">
        <f t="shared" si="199"/>
        <v>16.686436250344954</v>
      </c>
      <c r="U1132" s="15">
        <f>IF(O1132="Exclude",0,G1132*Fuel_Price!$B$2)</f>
        <v>0</v>
      </c>
      <c r="V1132" s="15">
        <f t="shared" si="200"/>
        <v>2989922.7577359979</v>
      </c>
    </row>
    <row r="1133" spans="13:22">
      <c r="M1133" s="8"/>
      <c r="O1133" t="str">
        <f t="shared" si="194"/>
        <v>Include</v>
      </c>
      <c r="P1133" s="9">
        <f t="shared" si="195"/>
        <v>2035068.5799999984</v>
      </c>
      <c r="Q1133" s="15">
        <f t="shared" si="196"/>
        <v>7469725</v>
      </c>
      <c r="R1133" s="9">
        <f t="shared" si="197"/>
        <v>0</v>
      </c>
      <c r="S1133" s="9">
        <f t="shared" si="198"/>
        <v>7469725</v>
      </c>
      <c r="T1133" s="15">
        <f t="shared" si="199"/>
        <v>16.686436250344954</v>
      </c>
      <c r="U1133" s="15">
        <f>IF(O1133="Exclude",0,G1133*Fuel_Price!$B$2)</f>
        <v>0</v>
      </c>
      <c r="V1133" s="15">
        <f t="shared" si="200"/>
        <v>2989922.7577359979</v>
      </c>
    </row>
    <row r="1134" spans="13:22">
      <c r="M1134" s="8"/>
      <c r="O1134" t="str">
        <f t="shared" si="194"/>
        <v>Include</v>
      </c>
      <c r="P1134" s="9">
        <f t="shared" si="195"/>
        <v>2035068.5799999984</v>
      </c>
      <c r="Q1134" s="15">
        <f t="shared" si="196"/>
        <v>7469725</v>
      </c>
      <c r="R1134" s="9">
        <f t="shared" si="197"/>
        <v>0</v>
      </c>
      <c r="S1134" s="9">
        <f t="shared" si="198"/>
        <v>7469725</v>
      </c>
      <c r="T1134" s="15">
        <f t="shared" si="199"/>
        <v>16.686436250344954</v>
      </c>
      <c r="U1134" s="15">
        <f>IF(O1134="Exclude",0,G1134*Fuel_Price!$B$2)</f>
        <v>0</v>
      </c>
      <c r="V1134" s="15">
        <f t="shared" si="200"/>
        <v>2989922.7577359979</v>
      </c>
    </row>
    <row r="1135" spans="13:22">
      <c r="M1135" s="8"/>
      <c r="O1135" t="str">
        <f t="shared" si="194"/>
        <v>Include</v>
      </c>
      <c r="P1135" s="9">
        <f t="shared" si="195"/>
        <v>2035068.5799999984</v>
      </c>
      <c r="Q1135" s="15">
        <f t="shared" si="196"/>
        <v>7469725</v>
      </c>
      <c r="R1135" s="9">
        <f t="shared" si="197"/>
        <v>0</v>
      </c>
      <c r="S1135" s="9">
        <f t="shared" si="198"/>
        <v>7469725</v>
      </c>
      <c r="T1135" s="15">
        <f t="shared" si="199"/>
        <v>16.686436250344954</v>
      </c>
      <c r="U1135" s="15">
        <f>IF(O1135="Exclude",0,G1135*Fuel_Price!$B$2)</f>
        <v>0</v>
      </c>
      <c r="V1135" s="15">
        <f t="shared" si="200"/>
        <v>2989922.7577359979</v>
      </c>
    </row>
    <row r="1136" spans="13:22">
      <c r="M1136" s="8"/>
      <c r="O1136" t="str">
        <f t="shared" si="194"/>
        <v>Include</v>
      </c>
      <c r="P1136" s="9">
        <f t="shared" si="195"/>
        <v>2035068.5799999984</v>
      </c>
      <c r="Q1136" s="15">
        <f t="shared" si="196"/>
        <v>7469725</v>
      </c>
      <c r="R1136" s="9">
        <f t="shared" si="197"/>
        <v>0</v>
      </c>
      <c r="S1136" s="9">
        <f t="shared" si="198"/>
        <v>7469725</v>
      </c>
      <c r="T1136" s="15">
        <f t="shared" si="199"/>
        <v>16.686436250344954</v>
      </c>
      <c r="U1136" s="15">
        <f>IF(O1136="Exclude",0,G1136*Fuel_Price!$B$2)</f>
        <v>0</v>
      </c>
      <c r="V1136" s="15">
        <f t="shared" si="200"/>
        <v>2989922.7577359979</v>
      </c>
    </row>
    <row r="1137" spans="13:22">
      <c r="M1137" s="8"/>
      <c r="O1137" t="str">
        <f t="shared" si="194"/>
        <v>Include</v>
      </c>
      <c r="P1137" s="9">
        <f t="shared" si="195"/>
        <v>2035068.5799999984</v>
      </c>
      <c r="Q1137" s="15">
        <f t="shared" si="196"/>
        <v>7469725</v>
      </c>
      <c r="R1137" s="9">
        <f t="shared" si="197"/>
        <v>0</v>
      </c>
      <c r="S1137" s="9">
        <f t="shared" si="198"/>
        <v>7469725</v>
      </c>
      <c r="T1137" s="15">
        <f t="shared" si="199"/>
        <v>16.686436250344954</v>
      </c>
      <c r="U1137" s="15">
        <f>IF(O1137="Exclude",0,G1137*Fuel_Price!$B$2)</f>
        <v>0</v>
      </c>
      <c r="V1137" s="15">
        <f t="shared" si="200"/>
        <v>2989922.7577359979</v>
      </c>
    </row>
    <row r="1138" spans="13:22">
      <c r="M1138" s="8"/>
      <c r="O1138" t="str">
        <f t="shared" si="194"/>
        <v>Include</v>
      </c>
      <c r="P1138" s="9">
        <f t="shared" si="195"/>
        <v>2035068.5799999984</v>
      </c>
      <c r="Q1138" s="15">
        <f t="shared" si="196"/>
        <v>7469725</v>
      </c>
      <c r="R1138" s="9">
        <f t="shared" si="197"/>
        <v>0</v>
      </c>
      <c r="S1138" s="9">
        <f t="shared" si="198"/>
        <v>7469725</v>
      </c>
      <c r="T1138" s="15">
        <f t="shared" si="199"/>
        <v>16.686436250344954</v>
      </c>
      <c r="U1138" s="15">
        <f>IF(O1138="Exclude",0,G1138*Fuel_Price!$B$2)</f>
        <v>0</v>
      </c>
      <c r="V1138" s="15">
        <f t="shared" si="200"/>
        <v>2989922.7577359979</v>
      </c>
    </row>
    <row r="1139" spans="13:22">
      <c r="M1139" s="8"/>
      <c r="O1139" t="str">
        <f t="shared" si="194"/>
        <v>Include</v>
      </c>
      <c r="P1139" s="9">
        <f t="shared" si="195"/>
        <v>2035068.5799999984</v>
      </c>
      <c r="Q1139" s="15">
        <f t="shared" si="196"/>
        <v>7469725</v>
      </c>
      <c r="R1139" s="9">
        <f t="shared" si="197"/>
        <v>0</v>
      </c>
      <c r="S1139" s="9">
        <f t="shared" si="198"/>
        <v>7469725</v>
      </c>
      <c r="T1139" s="15">
        <f t="shared" si="199"/>
        <v>16.686436250344954</v>
      </c>
      <c r="U1139" s="15">
        <f>IF(O1139="Exclude",0,G1139*Fuel_Price!$B$2)</f>
        <v>0</v>
      </c>
      <c r="V1139" s="15">
        <f t="shared" si="200"/>
        <v>2989922.7577359979</v>
      </c>
    </row>
  </sheetData>
  <printOptions horizontalCentered="1"/>
  <pageMargins left="0.3" right="0.3" top="0.61" bottom="0.37" header="0.1" footer="0.1"/>
  <pageSetup paperSize="9" pageOrder="overThenDown" orientation="portrait" useFirstPageNumber="1" horizontalDpi="300" verticalDpi="300"/>
  <headerFooter alignWithMargins="0">
    <oddHeader>&amp;P</oddHeader>
    <oddFooter>&amp;F</oddFooter>
  </headerFooter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CEDC4-AF42-364E-AE3D-AF9E5F67538C}">
  <sheetPr codeName="Sheet3"/>
  <dimension ref="A1:B4"/>
  <sheetViews>
    <sheetView workbookViewId="0">
      <selection activeCell="D4" sqref="D4"/>
    </sheetView>
  </sheetViews>
  <sheetFormatPr baseColWidth="10" defaultRowHeight="13"/>
  <cols>
    <col min="2" max="2" width="43" customWidth="1"/>
  </cols>
  <sheetData>
    <row r="1" spans="1:2" ht="18">
      <c r="A1" s="2" t="s">
        <v>2478</v>
      </c>
      <c r="B1" s="2" t="s">
        <v>2479</v>
      </c>
    </row>
    <row r="2" spans="1:2" ht="18">
      <c r="A2" s="2" t="s">
        <v>12</v>
      </c>
      <c r="B2" s="2">
        <v>1.4692000000000001</v>
      </c>
    </row>
    <row r="4" spans="1:2" ht="18">
      <c r="A4" s="2" t="s">
        <v>2480</v>
      </c>
      <c r="B4" s="2" t="s">
        <v>2481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3D549-490C-1347-A0BF-981D4C418EFF}">
  <sheetPr codeName="Sheet4"/>
  <dimension ref="A1:R82"/>
  <sheetViews>
    <sheetView tabSelected="1" zoomScale="80" zoomScaleNormal="80" workbookViewId="0">
      <selection activeCell="E30" sqref="E30"/>
    </sheetView>
  </sheetViews>
  <sheetFormatPr baseColWidth="10" defaultRowHeight="13"/>
  <cols>
    <col min="1" max="1" width="78.83203125" customWidth="1"/>
    <col min="2" max="2" width="73.5" customWidth="1"/>
    <col min="5" max="5" width="18.1640625" customWidth="1"/>
    <col min="7" max="7" width="23.5" customWidth="1"/>
    <col min="8" max="8" width="19.33203125" customWidth="1"/>
    <col min="11" max="11" width="17.83203125" customWidth="1"/>
    <col min="12" max="12" width="19" customWidth="1"/>
    <col min="17" max="17" width="26.6640625" customWidth="1"/>
  </cols>
  <sheetData>
    <row r="1" spans="1:18" ht="45">
      <c r="A1" s="40" t="s">
        <v>2484</v>
      </c>
      <c r="B1" s="41"/>
    </row>
    <row r="2" spans="1:18" ht="23">
      <c r="A2" s="39"/>
      <c r="B2" s="39"/>
    </row>
    <row r="3" spans="1:18" ht="17">
      <c r="A3" s="26" t="s">
        <v>2485</v>
      </c>
      <c r="B3" s="21">
        <f>Clean_Data!P2</f>
        <v>2035068.5799999984</v>
      </c>
      <c r="D3" s="18" t="s">
        <v>1</v>
      </c>
      <c r="E3" s="18" t="s">
        <v>2494</v>
      </c>
      <c r="G3" t="s">
        <v>2495</v>
      </c>
      <c r="J3" s="18" t="s">
        <v>1</v>
      </c>
      <c r="K3" s="18" t="s">
        <v>2496</v>
      </c>
      <c r="L3" s="18" t="s">
        <v>2494</v>
      </c>
      <c r="N3" s="18" t="s">
        <v>1</v>
      </c>
      <c r="O3" s="18" t="s">
        <v>2497</v>
      </c>
      <c r="Q3" s="18" t="s">
        <v>2498</v>
      </c>
    </row>
    <row r="4" spans="1:18" ht="17">
      <c r="A4" s="26" t="s">
        <v>2486</v>
      </c>
      <c r="B4" s="22">
        <f>Clean_Data!Q2</f>
        <v>7469725</v>
      </c>
      <c r="D4" t="str">
        <f>Clean_Data!B2</f>
        <v>FL65FBA</v>
      </c>
      <c r="E4">
        <f>SUMIF(Clean_Data!$B:$B,D4,Clean_Data!$U:$U)</f>
        <v>1646.5177480000002</v>
      </c>
      <c r="G4" s="18" t="s">
        <v>1</v>
      </c>
      <c r="H4" s="18" t="s">
        <v>2494</v>
      </c>
      <c r="J4" s="18" t="str">
        <f>Clean_Data!B2</f>
        <v>FL65FBA</v>
      </c>
      <c r="K4">
        <f>SUMIF(Clean_Data!$B:$B,J4,Clean_Data!$R:$R)</f>
        <v>12632</v>
      </c>
      <c r="L4" s="19">
        <f>SUMIF(Clean_Data!$B:$B,J4,Clean_Data!$U:$U)</f>
        <v>1646.5177480000002</v>
      </c>
      <c r="N4" t="str">
        <f>Clean_Data!B2</f>
        <v>FL65FBA</v>
      </c>
      <c r="O4">
        <f>IF(COUNTIFS(Clean_Data!$B:$B,N4,Clean_Data!$O:$O,"Include")=0,"",AVERAGEIFS(Clean_Data!$H:$H,Clean_Data!$B:$B,N4,Clean_Data!$O:$O,"Include"))</f>
        <v>51.24</v>
      </c>
      <c r="Q4" s="18" t="s">
        <v>1</v>
      </c>
      <c r="R4" s="18" t="s">
        <v>2497</v>
      </c>
    </row>
    <row r="5" spans="1:18" ht="17">
      <c r="A5" s="26" t="s">
        <v>2487</v>
      </c>
      <c r="B5" s="23">
        <f>Clean_Data!T2</f>
        <v>16.686436250344954</v>
      </c>
      <c r="D5" t="str">
        <f>Clean_Data!B3</f>
        <v>MJ16XMY</v>
      </c>
      <c r="E5">
        <f>SUMIF(Clean_Data!$B:$B,D5,Clean_Data!$U:$U)</f>
        <v>981.7635160000001</v>
      </c>
      <c r="G5" s="18" t="str">
        <f>INDEX($D$4:$D$1141,MATCH(LARGE($E$4:$E$1141,ROWS(G$5:G5)),$E$4:$E$1141,0))</f>
        <v>YG69UKP</v>
      </c>
      <c r="H5" s="19">
        <f>LARGE($E$4:$E$1141,ROWS(H$5:H5))</f>
        <v>3312.7227760000005</v>
      </c>
      <c r="J5" s="18" t="str">
        <f>Clean_Data!B3</f>
        <v>MJ16XMY</v>
      </c>
      <c r="K5">
        <f>SUMIF(Clean_Data!$B:$B,J5,Clean_Data!$R:$R)</f>
        <v>5395</v>
      </c>
      <c r="L5" s="19">
        <f>SUMIF(Clean_Data!$B:$B,J5,Clean_Data!$U:$U)</f>
        <v>981.7635160000001</v>
      </c>
      <c r="N5" t="str">
        <f>Clean_Data!B3</f>
        <v>MJ16XMY</v>
      </c>
      <c r="O5">
        <f>IF(COUNTIFS(Clean_Data!$B:$B,N5,Clean_Data!$O:$O,"Include")=0,"",AVERAGEIFS(Clean_Data!$H:$H,Clean_Data!$B:$B,N5,Clean_Data!$O:$O,"Include"))</f>
        <v>36.700000000000003</v>
      </c>
      <c r="Q5" s="18" t="str">
        <f>INDEX($N$4:$N$1141,MATCH(SMALL($O$4:$O$1141,ROWS(Q$5:Q5)),$O$4:$O$1141,0))</f>
        <v>MJ16XMY</v>
      </c>
      <c r="R5" s="20">
        <f>SMALL($O$4:$O$1141,ROWS(R$5:R5))</f>
        <v>36.700000000000003</v>
      </c>
    </row>
    <row r="6" spans="1:18" ht="17">
      <c r="A6" s="26" t="s">
        <v>2488</v>
      </c>
      <c r="B6" s="24">
        <f>Clean_Data!V2</f>
        <v>2989922.7577359979</v>
      </c>
      <c r="D6" t="str">
        <f>Clean_Data!B4</f>
        <v>BP16MKK</v>
      </c>
      <c r="E6">
        <f>SUMIF(Clean_Data!$B:$B,D6,Clean_Data!$U:$U)</f>
        <v>417.531948</v>
      </c>
      <c r="G6" s="18" t="str">
        <f>INDEX($D$4:$D$1141,MATCH(LARGE($E$4:$E$1141,ROWS(G$5:G6)),$E$4:$E$1141,0))</f>
        <v>YE19FLS</v>
      </c>
      <c r="H6" s="19">
        <f>LARGE($E$4:$E$1141,ROWS(H$5:H6))</f>
        <v>2674.3700680000002</v>
      </c>
      <c r="J6" s="18" t="str">
        <f>Clean_Data!B4</f>
        <v>BP16MKK</v>
      </c>
      <c r="K6">
        <f>SUMIF(Clean_Data!$B:$B,J6,Clean_Data!$R:$R)</f>
        <v>4023</v>
      </c>
      <c r="L6" s="19">
        <f>SUMIF(Clean_Data!$B:$B,J6,Clean_Data!$U:$U)</f>
        <v>417.531948</v>
      </c>
      <c r="N6" t="str">
        <f>Clean_Data!B4</f>
        <v>BP16MKK</v>
      </c>
      <c r="O6">
        <f>IF(COUNTIFS(Clean_Data!$B:$B,N6,Clean_Data!$O:$O,"Include")=0,"",AVERAGEIFS(Clean_Data!$H:$H,Clean_Data!$B:$B,N6,Clean_Data!$O:$O,"Include"))</f>
        <v>64.349999999999994</v>
      </c>
      <c r="Q6" s="18" t="str">
        <f>INDEX($N$4:$N$1141,MATCH(SMALL($O$4:$O$1141,ROWS(Q$5:Q6)),$O$4:$O$1141,0))</f>
        <v>YE19FLS</v>
      </c>
      <c r="R6" s="20">
        <f>SMALL($O$4:$O$1141,ROWS(R$5:R6))</f>
        <v>38.78</v>
      </c>
    </row>
    <row r="7" spans="1:18" ht="17">
      <c r="A7" s="26" t="s">
        <v>2489</v>
      </c>
      <c r="B7" s="24">
        <f>Fuel_Price!B2</f>
        <v>1.4692000000000001</v>
      </c>
      <c r="D7" t="str">
        <f>Clean_Data!B5</f>
        <v>YD16NAL</v>
      </c>
      <c r="E7">
        <f>SUMIF(Clean_Data!$B:$B,D7,Clean_Data!$U:$U)</f>
        <v>0</v>
      </c>
      <c r="G7" s="18" t="str">
        <f>INDEX($D$4:$D$1141,MATCH(LARGE($E$4:$E$1141,ROWS(G$5:G7)),$E$4:$E$1141,0))</f>
        <v>YH69ZYT</v>
      </c>
      <c r="H7" s="19">
        <f>LARGE($E$4:$E$1141,ROWS(H$5:H7))</f>
        <v>2573.259724</v>
      </c>
      <c r="J7" s="18" t="str">
        <f>Clean_Data!B5</f>
        <v>YD16NAL</v>
      </c>
      <c r="K7">
        <f>SUMIF(Clean_Data!$B:$B,J7,Clean_Data!$R:$R)</f>
        <v>0</v>
      </c>
      <c r="L7" s="19">
        <f>SUMIF(Clean_Data!$B:$B,J7,Clean_Data!$U:$U)</f>
        <v>0</v>
      </c>
      <c r="N7" t="str">
        <f>Clean_Data!B5</f>
        <v>YD16NAL</v>
      </c>
      <c r="O7" t="str">
        <f>IF(COUNTIFS(Clean_Data!$B:$B,N7,Clean_Data!$O:$O,"Include")=0,"",AVERAGEIFS(Clean_Data!$H:$H,Clean_Data!$B:$B,N7,Clean_Data!$O:$O,"Include"))</f>
        <v/>
      </c>
      <c r="Q7" s="18" t="str">
        <f>INDEX($N$4:$N$1141,MATCH(SMALL($O$4:$O$1141,ROWS(Q$5:Q7)),$O$4:$O$1141,0))</f>
        <v>YG69UKR</v>
      </c>
      <c r="R7" s="20">
        <f>SMALL($O$4:$O$1141,ROWS(R$5:R7))</f>
        <v>39.200000000000003</v>
      </c>
    </row>
    <row r="8" spans="1:18" ht="17">
      <c r="A8" s="26"/>
      <c r="B8" s="30"/>
      <c r="D8" t="str">
        <f>Clean_Data!B6</f>
        <v>YH17VCF</v>
      </c>
      <c r="E8">
        <f>SUMIF(Clean_Data!$B:$B,D8,Clean_Data!$U:$U)</f>
        <v>2242.2783480000003</v>
      </c>
      <c r="G8" s="18" t="str">
        <f>INDEX($D$4:$D$1141,MATCH(LARGE($E$4:$E$1141,ROWS(G$5:G8)),$E$4:$E$1141,0))</f>
        <v>YL69KJN</v>
      </c>
      <c r="H8" s="19">
        <f>LARGE($E$4:$E$1141,ROWS(H$5:H8))</f>
        <v>2495.9651119999999</v>
      </c>
      <c r="J8" s="18" t="str">
        <f>Clean_Data!B6</f>
        <v>YH17VCF</v>
      </c>
      <c r="K8">
        <f>SUMIF(Clean_Data!$B:$B,J8,Clean_Data!$R:$R)</f>
        <v>13274</v>
      </c>
      <c r="L8" s="19">
        <f>SUMIF(Clean_Data!$B:$B,J8,Clean_Data!$U:$U)</f>
        <v>2242.2783480000003</v>
      </c>
      <c r="N8" t="str">
        <f>Clean_Data!B6</f>
        <v>YH17VCF</v>
      </c>
      <c r="O8">
        <f>IF(COUNTIFS(Clean_Data!$B:$B,N8,Clean_Data!$O:$O,"Include")=0,"",AVERAGEIFS(Clean_Data!$H:$H,Clean_Data!$B:$B,N8,Clean_Data!$O:$O,"Include"))</f>
        <v>39.54</v>
      </c>
      <c r="Q8" s="18" t="str">
        <f>INDEX($N$4:$N$1141,MATCH(SMALL($O$4:$O$1141,ROWS(Q$5:Q8)),$O$4:$O$1141,0))</f>
        <v>YH17VCF</v>
      </c>
      <c r="R8" s="20">
        <f>SMALL($O$4:$O$1141,ROWS(R$5:R8))</f>
        <v>39.54</v>
      </c>
    </row>
    <row r="9" spans="1:18" ht="17">
      <c r="A9" s="26" t="s">
        <v>2490</v>
      </c>
      <c r="B9" s="31">
        <f>B10+B12</f>
        <v>1138</v>
      </c>
      <c r="D9" t="str">
        <f>Clean_Data!B7</f>
        <v>YE19FLS</v>
      </c>
      <c r="E9">
        <f>SUMIF(Clean_Data!$B:$B,D9,Clean_Data!$U:$U)</f>
        <v>2674.3700680000002</v>
      </c>
      <c r="G9" s="18" t="str">
        <f>INDEX($D$4:$D$1141,MATCH(LARGE($E$4:$E$1141,ROWS(G$5:G9)),$E$4:$E$1141,0))</f>
        <v>YH17VCF</v>
      </c>
      <c r="H9" s="19">
        <f>LARGE($E$4:$E$1141,ROWS(H$5:H9))</f>
        <v>2242.2783480000003</v>
      </c>
      <c r="J9" s="18" t="str">
        <f>Clean_Data!B7</f>
        <v>YE19FLS</v>
      </c>
      <c r="K9">
        <f>SUMIF(Clean_Data!$B:$B,J9,Clean_Data!$R:$R)</f>
        <v>15529</v>
      </c>
      <c r="L9" s="19">
        <f>SUMIF(Clean_Data!$B:$B,J9,Clean_Data!$U:$U)</f>
        <v>2674.3700680000002</v>
      </c>
      <c r="N9" t="str">
        <f>Clean_Data!B7</f>
        <v>YE19FLS</v>
      </c>
      <c r="O9">
        <f>IF(COUNTIFS(Clean_Data!$B:$B,N9,Clean_Data!$O:$O,"Include")=0,"",AVERAGEIFS(Clean_Data!$H:$H,Clean_Data!$B:$B,N9,Clean_Data!$O:$O,"Include"))</f>
        <v>38.78</v>
      </c>
      <c r="Q9" s="18" t="str">
        <f>INDEX($N$4:$N$1141,MATCH(SMALL($O$4:$O$1141,ROWS(Q$5:Q9)),$O$4:$O$1141,0))</f>
        <v>YH69ZYT</v>
      </c>
      <c r="R9" s="20">
        <f>SMALL($O$4:$O$1141,ROWS(R$5:R9))</f>
        <v>39.76</v>
      </c>
    </row>
    <row r="10" spans="1:18" ht="17">
      <c r="A10" s="26" t="s">
        <v>2491</v>
      </c>
      <c r="B10" s="32">
        <f>COUNTIF(Clean_Data!O:O,"Include")</f>
        <v>1126</v>
      </c>
      <c r="C10" s="18"/>
      <c r="D10" t="str">
        <f>Clean_Data!B8</f>
        <v>YG69UKP</v>
      </c>
      <c r="E10">
        <f>SUMIF(Clean_Data!$B:$B,D10,Clean_Data!$U:$U)</f>
        <v>3312.7227760000005</v>
      </c>
      <c r="G10" s="18" t="str">
        <f>INDEX($D$4:$D$1141,MATCH(LARGE($E$4:$E$1141,ROWS(G$5:G10)),$E$4:$E$1141,0))</f>
        <v>YL69KJV</v>
      </c>
      <c r="H10" s="19">
        <f>LARGE($E$4:$E$1141,ROWS(H$5:H10))</f>
        <v>1890.537176</v>
      </c>
      <c r="J10" s="18" t="str">
        <f>Clean_Data!B8</f>
        <v>YG69UKP</v>
      </c>
      <c r="K10">
        <f>SUMIF(Clean_Data!$B:$B,J10,Clean_Data!$R:$R)</f>
        <v>20244</v>
      </c>
      <c r="L10" s="19">
        <f>SUMIF(Clean_Data!$B:$B,J10,Clean_Data!$U:$U)</f>
        <v>3312.7227760000005</v>
      </c>
      <c r="N10" t="str">
        <f>Clean_Data!B8</f>
        <v>YG69UKP</v>
      </c>
      <c r="O10">
        <f>IF(COUNTIFS(Clean_Data!$B:$B,N10,Clean_Data!$O:$O,"Include")=0,"",AVERAGEIFS(Clean_Data!$H:$H,Clean_Data!$B:$B,N10,Clean_Data!$O:$O,"Include"))</f>
        <v>40.82</v>
      </c>
      <c r="Q10" s="18" t="str">
        <f>INDEX($N$4:$N$1141,MATCH(SMALL($O$4:$O$1141,ROWS(Q$5:Q10)),$O$4:$O$1141,0))</f>
        <v>YL69KJN</v>
      </c>
      <c r="R10" s="20">
        <f>SMALL($O$4:$O$1141,ROWS(R$5:R10))</f>
        <v>40.31</v>
      </c>
    </row>
    <row r="11" spans="1:18" ht="17">
      <c r="A11" s="26" t="s">
        <v>2492</v>
      </c>
      <c r="B11" s="33">
        <f>COUNTIF(Clean_Data!N:N,"Review")</f>
        <v>12</v>
      </c>
      <c r="D11" t="str">
        <f>Clean_Data!B9</f>
        <v>YG69UKR</v>
      </c>
      <c r="E11">
        <f>SUMIF(Clean_Data!$B:$B,D11,Clean_Data!$U:$U)</f>
        <v>1259.3541640000001</v>
      </c>
      <c r="G11" s="18" t="str">
        <f>INDEX($D$4:$D$1141,MATCH(LARGE($E$4:$E$1141,ROWS(G$5:G11)),$E$4:$E$1141,0))</f>
        <v>FL65FBA</v>
      </c>
      <c r="H11" s="19">
        <f>LARGE($E$4:$E$1141,ROWS(H$5:H11))</f>
        <v>1646.5177480000002</v>
      </c>
      <c r="J11" s="18" t="str">
        <f>Clean_Data!B9</f>
        <v>YG69UKR</v>
      </c>
      <c r="K11">
        <f>SUMIF(Clean_Data!$B:$B,J11,Clean_Data!$R:$R)</f>
        <v>7392</v>
      </c>
      <c r="L11" s="19">
        <f>SUMIF(Clean_Data!$B:$B,J11,Clean_Data!$U:$U)</f>
        <v>1259.3541640000001</v>
      </c>
      <c r="N11" t="str">
        <f>Clean_Data!B9</f>
        <v>YG69UKR</v>
      </c>
      <c r="O11">
        <f>IF(COUNTIFS(Clean_Data!$B:$B,N11,Clean_Data!$O:$O,"Include")=0,"",AVERAGEIFS(Clean_Data!$H:$H,Clean_Data!$B:$B,N11,Clean_Data!$O:$O,"Include"))</f>
        <v>39.200000000000003</v>
      </c>
      <c r="Q11" s="18" t="str">
        <f>INDEX($N$4:$N$1141,MATCH(SMALL($O$4:$O$1141,ROWS(Q$5:Q11)),$O$4:$O$1141,0))</f>
        <v>YG69UKP</v>
      </c>
      <c r="R11" s="20">
        <f>SMALL($O$4:$O$1141,ROWS(R$5:R11))</f>
        <v>40.82</v>
      </c>
    </row>
    <row r="12" spans="1:18" ht="17">
      <c r="A12" s="26" t="s">
        <v>2493</v>
      </c>
      <c r="B12" s="33">
        <f>COUNTIF(Clean_Data!O:O,"Exclude")</f>
        <v>12</v>
      </c>
      <c r="D12" t="str">
        <f>Clean_Data!B10</f>
        <v>YH69ZYT</v>
      </c>
      <c r="E12">
        <f>SUMIF(Clean_Data!$B:$B,D12,Clean_Data!$U:$U)</f>
        <v>2573.259724</v>
      </c>
      <c r="G12" s="18" t="str">
        <f>INDEX($D$4:$D$1141,MATCH(LARGE($E$4:$E$1141,ROWS(G$5:G12)),$E$4:$E$1141,0))</f>
        <v>YG69UKR</v>
      </c>
      <c r="H12" s="19">
        <f>LARGE($E$4:$E$1141,ROWS(H$5:H12))</f>
        <v>1259.3541640000001</v>
      </c>
      <c r="J12" s="18" t="str">
        <f>Clean_Data!B10</f>
        <v>YH69ZYT</v>
      </c>
      <c r="K12">
        <f>SUMIF(Clean_Data!$B:$B,J12,Clean_Data!$R:$R)</f>
        <v>15318</v>
      </c>
      <c r="L12" s="19">
        <f>SUMIF(Clean_Data!$B:$B,J12,Clean_Data!$U:$U)</f>
        <v>2573.259724</v>
      </c>
      <c r="N12" t="str">
        <f>Clean_Data!B10</f>
        <v>YH69ZYT</v>
      </c>
      <c r="O12">
        <f>IF(COUNTIFS(Clean_Data!$B:$B,N12,Clean_Data!$O:$O,"Include")=0,"",AVERAGEIFS(Clean_Data!$H:$H,Clean_Data!$B:$B,N12,Clean_Data!$O:$O,"Include"))</f>
        <v>39.76</v>
      </c>
      <c r="Q12" s="18" t="str">
        <f>INDEX($N$4:$N$1141,MATCH(SMALL($O$4:$O$1141,ROWS(Q$5:Q12)),$O$4:$O$1141,0))</f>
        <v>YL69KJV</v>
      </c>
      <c r="R12" s="20">
        <f>SMALL($O$4:$O$1141,ROWS(R$5:R12))</f>
        <v>43.94</v>
      </c>
    </row>
    <row r="13" spans="1:18" ht="17">
      <c r="A13" s="26"/>
      <c r="B13" s="31"/>
      <c r="D13" t="str">
        <f>Clean_Data!B11</f>
        <v>YL69KJN</v>
      </c>
      <c r="E13">
        <f>SUMIF(Clean_Data!$B:$B,D13,Clean_Data!$U:$U)</f>
        <v>2495.9651119999999</v>
      </c>
      <c r="G13" s="18" t="str">
        <f>INDEX($D$4:$D$1141,MATCH(LARGE($E$4:$E$1141,ROWS(G$5:G13)),$E$4:$E$1141,0))</f>
        <v>MJ16XMY</v>
      </c>
      <c r="H13" s="19">
        <f>LARGE($E$4:$E$1141,ROWS(H$5:H13))</f>
        <v>981.7635160000001</v>
      </c>
      <c r="J13" s="18" t="str">
        <f>Clean_Data!B11</f>
        <v>YL69KJN</v>
      </c>
      <c r="K13">
        <f>SUMIF(Clean_Data!$B:$B,J13,Clean_Data!$R:$R)</f>
        <v>15063</v>
      </c>
      <c r="L13" s="19">
        <f>SUMIF(Clean_Data!$B:$B,J13,Clean_Data!$U:$U)</f>
        <v>2495.9651119999999</v>
      </c>
      <c r="N13" t="str">
        <f>Clean_Data!B11</f>
        <v>YL69KJN</v>
      </c>
      <c r="O13">
        <f>IF(COUNTIFS(Clean_Data!$B:$B,N13,Clean_Data!$O:$O,"Include")=0,"",AVERAGEIFS(Clean_Data!$H:$H,Clean_Data!$B:$B,N13,Clean_Data!$O:$O,"Include"))</f>
        <v>40.31</v>
      </c>
      <c r="Q13" s="18" t="str">
        <f>INDEX($N$4:$N$1141,MATCH(SMALL($O$4:$O$1141,ROWS(Q$5:Q13)),$O$4:$O$1141,0))</f>
        <v>FL65FBA</v>
      </c>
      <c r="R13" s="20">
        <f>SMALL($O$4:$O$1141,ROWS(R$5:R13))</f>
        <v>51.24</v>
      </c>
    </row>
    <row r="14" spans="1:18" ht="17">
      <c r="A14" s="26" t="s">
        <v>2499</v>
      </c>
      <c r="B14" s="34">
        <f>AVERAGEIFS(Clean_Data!$H:$H,Clean_Data!$O:$O,"Include")</f>
        <v>23.7372497249725</v>
      </c>
      <c r="D14" t="str">
        <f>Clean_Data!B12</f>
        <v>YL69KJV</v>
      </c>
      <c r="E14">
        <f>SUMIF(Clean_Data!$B:$B,D14,Clean_Data!$U:$U)</f>
        <v>1890.537176</v>
      </c>
      <c r="G14" s="18" t="str">
        <f>INDEX($D$4:$D$1141,MATCH(LARGE($E$4:$E$1141,ROWS(G$5:G14)),$E$4:$E$1141,0))</f>
        <v>BP16MKK</v>
      </c>
      <c r="H14" s="19">
        <f>LARGE($E$4:$E$1141,ROWS(H$5:H14))</f>
        <v>417.531948</v>
      </c>
      <c r="J14" s="18" t="str">
        <f>Clean_Data!B12</f>
        <v>YL69KJV</v>
      </c>
      <c r="K14">
        <f>SUMIF(Clean_Data!$B:$B,J14,Clean_Data!$R:$R)</f>
        <v>12438</v>
      </c>
      <c r="L14" s="19">
        <f>SUMIF(Clean_Data!$B:$B,J14,Clean_Data!$U:$U)</f>
        <v>1890.537176</v>
      </c>
      <c r="N14" t="str">
        <f>Clean_Data!B12</f>
        <v>YL69KJV</v>
      </c>
      <c r="O14">
        <f>IF(COUNTIFS(Clean_Data!$B:$B,N14,Clean_Data!$O:$O,"Include")=0,"",AVERAGEIFS(Clean_Data!$H:$H,Clean_Data!$B:$B,N14,Clean_Data!$O:$O,"Include"))</f>
        <v>43.94</v>
      </c>
      <c r="Q14" s="18" t="str">
        <f>INDEX($N$4:$N$1141,MATCH(SMALL($O$4:$O$1141,ROWS(Q$5:Q14)),$O$4:$O$1141,0))</f>
        <v>BP16MKK</v>
      </c>
      <c r="R14" s="20">
        <f>SMALL($O$4:$O$1141,ROWS(R$5:R14))</f>
        <v>64.349999999999994</v>
      </c>
    </row>
    <row r="15" spans="1:18" ht="17">
      <c r="A15" s="26" t="s">
        <v>2500</v>
      </c>
      <c r="B15" s="35">
        <f>B11/B9</f>
        <v>1.054481546572935E-2</v>
      </c>
      <c r="Q15" s="18"/>
    </row>
    <row r="16" spans="1:18" ht="17">
      <c r="A16" s="26" t="s">
        <v>2501</v>
      </c>
      <c r="B16" s="36">
        <f>B6/B4</f>
        <v>0.40027213287450314</v>
      </c>
      <c r="Q16" s="18"/>
    </row>
    <row r="17" spans="1:9" ht="16">
      <c r="A17" s="26" t="s">
        <v>2502</v>
      </c>
      <c r="B17" s="36">
        <f>B6/B10</f>
        <v>2655.348807936055</v>
      </c>
    </row>
    <row r="18" spans="1:9" ht="16">
      <c r="A18" s="26" t="s">
        <v>2504</v>
      </c>
      <c r="B18" s="36">
        <f>B16*100</f>
        <v>40.027213287450316</v>
      </c>
    </row>
    <row r="19" spans="1:9" ht="16">
      <c r="A19" s="26" t="s">
        <v>2503</v>
      </c>
      <c r="B19" s="26" t="str">
        <f>IF(B15=0,"All Records Valid",IF(B15&lt;=0.02,"Good - Minor Review Required","Review Data Quality"))</f>
        <v>Good - Minor Review Required</v>
      </c>
    </row>
    <row r="20" spans="1:9" ht="16">
      <c r="A20" s="26" t="s">
        <v>2505</v>
      </c>
      <c r="B20" s="26" t="str">
        <f>IF(B5&gt;=25,"Efficient","Needs Improvement")</f>
        <v>Needs Improvement</v>
      </c>
    </row>
    <row r="21" spans="1:9" ht="16">
      <c r="A21" s="30"/>
      <c r="B21" s="31"/>
    </row>
    <row r="22" spans="1:9">
      <c r="A22" s="37" t="s">
        <v>2506</v>
      </c>
      <c r="B22" s="38"/>
    </row>
    <row r="23" spans="1:9">
      <c r="A23" s="37"/>
      <c r="B23" s="37"/>
    </row>
    <row r="24" spans="1:9">
      <c r="A24" s="37"/>
      <c r="B24" s="37"/>
      <c r="C24" s="25"/>
      <c r="D24" s="25"/>
      <c r="E24" s="25"/>
      <c r="F24" s="25"/>
      <c r="G24" s="25"/>
      <c r="H24" s="25"/>
      <c r="I24" s="25"/>
    </row>
    <row r="25" spans="1:9">
      <c r="A25" s="37"/>
      <c r="B25" s="37"/>
      <c r="C25" s="25"/>
      <c r="D25" s="25"/>
      <c r="E25" s="25"/>
      <c r="F25" s="25"/>
      <c r="G25" s="25"/>
      <c r="H25" s="25"/>
      <c r="I25" s="25"/>
    </row>
    <row r="26" spans="1:9">
      <c r="A26" s="37"/>
      <c r="B26" s="37"/>
      <c r="C26" s="25"/>
      <c r="D26" s="25"/>
      <c r="E26" s="25"/>
      <c r="F26" s="25"/>
      <c r="G26" s="25"/>
      <c r="H26" s="25"/>
      <c r="I26" s="25"/>
    </row>
    <row r="27" spans="1:9">
      <c r="A27" s="37"/>
      <c r="B27" s="37"/>
      <c r="C27" s="25"/>
      <c r="D27" s="25"/>
      <c r="E27" s="25"/>
      <c r="F27" s="25"/>
      <c r="G27" s="25"/>
      <c r="H27" s="25"/>
      <c r="I27" s="25"/>
    </row>
    <row r="28" spans="1:9">
      <c r="A28" s="37"/>
      <c r="B28" s="37"/>
      <c r="C28" s="25"/>
      <c r="D28" s="25"/>
      <c r="E28" s="25"/>
      <c r="F28" s="25"/>
      <c r="G28" s="25"/>
      <c r="H28" s="25"/>
      <c r="I28" s="25"/>
    </row>
    <row r="29" spans="1:9">
      <c r="A29" s="37"/>
      <c r="B29" s="37"/>
      <c r="C29" s="25"/>
      <c r="D29" s="25"/>
      <c r="E29" s="25"/>
      <c r="F29" s="25"/>
      <c r="G29" s="25"/>
      <c r="H29" s="25"/>
      <c r="I29" s="25"/>
    </row>
    <row r="30" spans="1:9">
      <c r="A30" s="37"/>
      <c r="B30" s="37"/>
      <c r="C30" s="25"/>
      <c r="D30" s="25"/>
      <c r="E30" s="25"/>
      <c r="F30" s="25"/>
      <c r="G30" s="25"/>
      <c r="H30" s="25"/>
      <c r="I30" s="25"/>
    </row>
    <row r="31" spans="1:9">
      <c r="A31" s="37"/>
      <c r="B31" s="37"/>
      <c r="C31" s="25"/>
      <c r="D31" s="25"/>
      <c r="E31" s="25"/>
      <c r="F31" s="25"/>
      <c r="G31" s="25"/>
      <c r="H31" s="25"/>
      <c r="I31" s="25"/>
    </row>
    <row r="32" spans="1:9">
      <c r="A32" s="37"/>
      <c r="B32" s="37"/>
      <c r="C32" s="25"/>
      <c r="D32" s="25"/>
      <c r="E32" s="25"/>
      <c r="F32" s="25"/>
      <c r="G32" s="25"/>
      <c r="H32" s="25"/>
      <c r="I32" s="25"/>
    </row>
    <row r="33" spans="1:9">
      <c r="A33" s="37"/>
      <c r="B33" s="37"/>
      <c r="C33" s="25"/>
      <c r="D33" s="25"/>
      <c r="E33" s="25"/>
      <c r="F33" s="25"/>
      <c r="G33" s="25"/>
      <c r="H33" s="25"/>
      <c r="I33" s="25"/>
    </row>
    <row r="34" spans="1:9">
      <c r="A34" s="37"/>
      <c r="B34" s="37"/>
      <c r="C34" s="25"/>
      <c r="D34" s="25"/>
      <c r="E34" s="25"/>
      <c r="F34" s="25"/>
      <c r="G34" s="25"/>
      <c r="H34" s="25"/>
      <c r="I34" s="25"/>
    </row>
    <row r="35" spans="1:9">
      <c r="A35" s="37"/>
      <c r="B35" s="37"/>
      <c r="C35" s="25"/>
      <c r="D35" s="25"/>
      <c r="E35" s="25"/>
      <c r="F35" s="25"/>
      <c r="G35" s="25"/>
      <c r="H35" s="25"/>
      <c r="I35" s="25"/>
    </row>
    <row r="36" spans="1:9">
      <c r="A36" s="37"/>
      <c r="B36" s="37"/>
      <c r="C36" s="25"/>
      <c r="D36" s="25"/>
      <c r="E36" s="25"/>
      <c r="F36" s="25"/>
      <c r="G36" s="25"/>
      <c r="H36" s="25"/>
      <c r="I36" s="25"/>
    </row>
    <row r="37" spans="1:9">
      <c r="A37" s="37"/>
      <c r="B37" s="37"/>
      <c r="C37" s="25"/>
      <c r="D37" s="25"/>
      <c r="E37" s="25"/>
      <c r="F37" s="25"/>
      <c r="G37" s="25"/>
      <c r="H37" s="25"/>
      <c r="I37" s="25"/>
    </row>
    <row r="38" spans="1:9">
      <c r="A38" s="37"/>
      <c r="B38" s="37"/>
      <c r="C38" s="25"/>
      <c r="D38" s="25"/>
      <c r="E38" s="25"/>
      <c r="F38" s="25"/>
      <c r="G38" s="25"/>
      <c r="H38" s="25"/>
      <c r="I38" s="25"/>
    </row>
    <row r="39" spans="1:9">
      <c r="A39" s="37"/>
      <c r="B39" s="37"/>
      <c r="C39" s="25"/>
      <c r="D39" s="25"/>
      <c r="E39" s="25"/>
      <c r="F39" s="25"/>
      <c r="G39" s="25"/>
      <c r="H39" s="25"/>
      <c r="I39" s="25"/>
    </row>
    <row r="40" spans="1:9">
      <c r="A40" s="37"/>
      <c r="B40" s="37"/>
      <c r="C40" s="25"/>
      <c r="D40" s="25"/>
      <c r="E40" s="25"/>
      <c r="F40" s="25"/>
      <c r="G40" s="25"/>
      <c r="H40" s="25"/>
      <c r="I40" s="25"/>
    </row>
    <row r="41" spans="1:9">
      <c r="A41" s="37"/>
      <c r="B41" s="37"/>
      <c r="C41" s="25"/>
      <c r="D41" s="25"/>
      <c r="E41" s="25"/>
      <c r="F41" s="25"/>
      <c r="G41" s="25"/>
      <c r="H41" s="25"/>
      <c r="I41" s="25"/>
    </row>
    <row r="42" spans="1:9">
      <c r="A42" s="37"/>
      <c r="B42" s="37"/>
      <c r="C42" s="25"/>
      <c r="D42" s="25"/>
      <c r="E42" s="25"/>
      <c r="F42" s="25"/>
      <c r="G42" s="25"/>
      <c r="H42" s="25"/>
      <c r="I42" s="25"/>
    </row>
    <row r="43" spans="1:9">
      <c r="A43" s="37"/>
      <c r="B43" s="37"/>
      <c r="C43" s="25"/>
      <c r="D43" s="25"/>
      <c r="E43" s="25"/>
      <c r="F43" s="25"/>
      <c r="G43" s="25"/>
      <c r="H43" s="25"/>
      <c r="I43" s="25"/>
    </row>
    <row r="44" spans="1:9">
      <c r="A44" s="37"/>
      <c r="B44" s="37"/>
      <c r="C44" s="25"/>
      <c r="D44" s="25"/>
      <c r="E44" s="25"/>
      <c r="F44" s="25"/>
      <c r="G44" s="25"/>
      <c r="H44" s="25"/>
      <c r="I44" s="25"/>
    </row>
    <row r="45" spans="1:9">
      <c r="A45" s="37"/>
      <c r="B45" s="37"/>
      <c r="C45" s="25"/>
      <c r="D45" s="25"/>
      <c r="E45" s="25"/>
      <c r="F45" s="25"/>
      <c r="G45" s="25"/>
      <c r="H45" s="25"/>
      <c r="I45" s="25"/>
    </row>
    <row r="46" spans="1:9">
      <c r="A46" s="37"/>
      <c r="B46" s="37"/>
      <c r="C46" s="25"/>
      <c r="D46" s="25"/>
      <c r="E46" s="25"/>
      <c r="F46" s="25"/>
      <c r="G46" s="25"/>
      <c r="H46" s="25"/>
      <c r="I46" s="25"/>
    </row>
    <row r="47" spans="1:9">
      <c r="A47" s="37"/>
      <c r="B47" s="37"/>
      <c r="C47" s="25"/>
      <c r="D47" s="25"/>
      <c r="E47" s="25"/>
      <c r="F47" s="25"/>
      <c r="G47" s="25"/>
      <c r="H47" s="25"/>
      <c r="I47" s="25"/>
    </row>
    <row r="48" spans="1:9">
      <c r="A48" s="37"/>
      <c r="B48" s="37"/>
      <c r="C48" s="25"/>
      <c r="D48" s="25"/>
      <c r="E48" s="25"/>
      <c r="F48" s="25"/>
      <c r="G48" s="25"/>
      <c r="H48" s="25"/>
      <c r="I48" s="25"/>
    </row>
    <row r="49" spans="1:9">
      <c r="A49" s="37"/>
      <c r="B49" s="37"/>
      <c r="C49" s="25"/>
      <c r="D49" s="25"/>
      <c r="E49" s="25"/>
      <c r="F49" s="25"/>
      <c r="G49" s="25"/>
      <c r="H49" s="25"/>
      <c r="I49" s="25"/>
    </row>
    <row r="50" spans="1:9">
      <c r="A50" s="37"/>
      <c r="B50" s="37"/>
      <c r="C50" s="25"/>
      <c r="D50" s="25"/>
      <c r="E50" s="25"/>
      <c r="F50" s="25"/>
      <c r="G50" s="25"/>
      <c r="H50" s="25"/>
      <c r="I50" s="25"/>
    </row>
    <row r="51" spans="1:9">
      <c r="A51" s="37"/>
      <c r="B51" s="37"/>
      <c r="C51" s="25"/>
      <c r="D51" s="25"/>
      <c r="E51" s="25"/>
      <c r="F51" s="25"/>
      <c r="G51" s="25"/>
      <c r="H51" s="25"/>
      <c r="I51" s="25"/>
    </row>
    <row r="52" spans="1:9">
      <c r="A52" s="25"/>
      <c r="B52" s="25"/>
      <c r="C52" s="25"/>
      <c r="D52" s="25"/>
      <c r="E52" s="25"/>
      <c r="F52" s="25"/>
      <c r="G52" s="25"/>
      <c r="H52" s="25"/>
      <c r="I52" s="25"/>
    </row>
    <row r="53" spans="1:9">
      <c r="A53" s="25"/>
      <c r="B53" s="25"/>
      <c r="C53" s="25"/>
      <c r="D53" s="25"/>
      <c r="E53" s="25"/>
      <c r="F53" s="25"/>
      <c r="G53" s="25"/>
      <c r="H53" s="25"/>
      <c r="I53" s="25"/>
    </row>
    <row r="54" spans="1:9">
      <c r="A54" s="25"/>
      <c r="B54" s="25"/>
      <c r="C54" s="25"/>
      <c r="D54" s="25"/>
      <c r="E54" s="25"/>
      <c r="F54" s="25"/>
      <c r="G54" s="25"/>
      <c r="H54" s="25"/>
      <c r="I54" s="25"/>
    </row>
    <row r="55" spans="1:9">
      <c r="A55" s="25"/>
      <c r="B55" s="25"/>
      <c r="C55" s="25"/>
      <c r="D55" s="25"/>
      <c r="E55" s="25"/>
      <c r="F55" s="25"/>
      <c r="G55" s="25"/>
      <c r="H55" s="25"/>
      <c r="I55" s="25"/>
    </row>
    <row r="56" spans="1:9">
      <c r="A56" s="25"/>
      <c r="B56" s="25"/>
      <c r="C56" s="25"/>
      <c r="D56" s="25"/>
      <c r="E56" s="25"/>
      <c r="F56" s="25"/>
      <c r="G56" s="25"/>
      <c r="H56" s="25"/>
      <c r="I56" s="25"/>
    </row>
    <row r="57" spans="1:9">
      <c r="B57" s="25"/>
      <c r="C57" s="25"/>
      <c r="D57" s="25"/>
      <c r="E57" s="25"/>
      <c r="F57" s="25"/>
      <c r="G57" s="25"/>
      <c r="H57" s="25"/>
      <c r="I57" s="25"/>
    </row>
    <row r="58" spans="1:9">
      <c r="B58" s="25"/>
      <c r="C58" s="25"/>
      <c r="D58" s="25"/>
      <c r="E58" s="25"/>
      <c r="F58" s="25"/>
      <c r="G58" s="25"/>
      <c r="H58" s="25"/>
      <c r="I58" s="25"/>
    </row>
    <row r="59" spans="1:9">
      <c r="B59" s="25"/>
      <c r="C59" s="25"/>
      <c r="D59" s="25"/>
      <c r="E59" s="25"/>
      <c r="F59" s="25"/>
      <c r="G59" s="25"/>
      <c r="H59" s="25"/>
      <c r="I59" s="25"/>
    </row>
    <row r="60" spans="1:9">
      <c r="B60" s="25"/>
      <c r="C60" s="25"/>
      <c r="D60" s="25"/>
      <c r="E60" s="25"/>
      <c r="F60" s="25"/>
      <c r="G60" s="25"/>
      <c r="H60" s="25"/>
      <c r="I60" s="25"/>
    </row>
    <row r="61" spans="1:9">
      <c r="B61" s="25"/>
      <c r="C61" s="25"/>
      <c r="D61" s="25"/>
      <c r="E61" s="25"/>
      <c r="F61" s="25"/>
      <c r="G61" s="25"/>
      <c r="H61" s="25"/>
      <c r="I61" s="25"/>
    </row>
    <row r="62" spans="1:9">
      <c r="B62" s="25"/>
      <c r="C62" s="25"/>
      <c r="D62" s="25"/>
      <c r="E62" s="25"/>
      <c r="F62" s="25"/>
      <c r="G62" s="25"/>
      <c r="H62" s="25"/>
      <c r="I62" s="25"/>
    </row>
    <row r="63" spans="1:9">
      <c r="B63" s="25"/>
      <c r="C63" s="25"/>
      <c r="D63" s="25"/>
      <c r="E63" s="25"/>
      <c r="F63" s="25"/>
      <c r="G63" s="25"/>
      <c r="H63" s="25"/>
      <c r="I63" s="25"/>
    </row>
    <row r="64" spans="1:9">
      <c r="B64" s="25"/>
      <c r="C64" s="25"/>
      <c r="D64" s="25"/>
      <c r="E64" s="25"/>
      <c r="F64" s="25"/>
      <c r="G64" s="25"/>
      <c r="H64" s="25"/>
      <c r="I64" s="25"/>
    </row>
    <row r="65" spans="2:9">
      <c r="B65" s="25"/>
      <c r="C65" s="25"/>
      <c r="D65" s="25"/>
      <c r="E65" s="25"/>
      <c r="F65" s="25"/>
      <c r="G65" s="25"/>
      <c r="H65" s="25"/>
      <c r="I65" s="25"/>
    </row>
    <row r="66" spans="2:9">
      <c r="B66" s="25"/>
      <c r="C66" s="25"/>
      <c r="D66" s="25"/>
      <c r="E66" s="25"/>
      <c r="F66" s="25"/>
      <c r="G66" s="25"/>
      <c r="H66" s="25"/>
      <c r="I66" s="25"/>
    </row>
    <row r="67" spans="2:9">
      <c r="B67" s="25"/>
      <c r="C67" s="25"/>
      <c r="D67" s="25"/>
      <c r="E67" s="25"/>
      <c r="F67" s="25"/>
      <c r="G67" s="25"/>
      <c r="H67" s="25"/>
      <c r="I67" s="25"/>
    </row>
    <row r="68" spans="2:9">
      <c r="B68" s="25"/>
      <c r="C68" s="25"/>
      <c r="D68" s="25"/>
      <c r="E68" s="25"/>
      <c r="F68" s="25"/>
      <c r="G68" s="25"/>
      <c r="H68" s="25"/>
      <c r="I68" s="25"/>
    </row>
    <row r="69" spans="2:9">
      <c r="B69" s="25"/>
      <c r="C69" s="25"/>
      <c r="D69" s="25"/>
      <c r="E69" s="25"/>
      <c r="F69" s="25"/>
      <c r="G69" s="25"/>
      <c r="H69" s="25"/>
      <c r="I69" s="25"/>
    </row>
    <row r="70" spans="2:9">
      <c r="B70" s="25"/>
      <c r="C70" s="25"/>
      <c r="D70" s="25"/>
      <c r="E70" s="25"/>
      <c r="F70" s="25"/>
      <c r="G70" s="25"/>
      <c r="H70" s="25"/>
      <c r="I70" s="25"/>
    </row>
    <row r="71" spans="2:9">
      <c r="B71" s="25"/>
      <c r="C71" s="25"/>
      <c r="D71" s="25"/>
      <c r="E71" s="25"/>
      <c r="F71" s="25"/>
      <c r="G71" s="25"/>
      <c r="H71" s="25"/>
      <c r="I71" s="25"/>
    </row>
    <row r="72" spans="2:9">
      <c r="B72" s="25"/>
      <c r="C72" s="25"/>
      <c r="D72" s="25"/>
      <c r="E72" s="25"/>
      <c r="F72" s="25"/>
      <c r="G72" s="25"/>
      <c r="H72" s="25"/>
      <c r="I72" s="25"/>
    </row>
    <row r="73" spans="2:9">
      <c r="B73" s="25"/>
      <c r="C73" s="25"/>
      <c r="D73" s="25"/>
      <c r="E73" s="25"/>
      <c r="F73" s="25"/>
      <c r="G73" s="25"/>
      <c r="H73" s="25"/>
      <c r="I73" s="25"/>
    </row>
    <row r="74" spans="2:9">
      <c r="B74" s="25"/>
      <c r="C74" s="25"/>
      <c r="D74" s="25"/>
      <c r="E74" s="25"/>
      <c r="F74" s="25"/>
      <c r="G74" s="25"/>
      <c r="H74" s="25"/>
      <c r="I74" s="25"/>
    </row>
    <row r="75" spans="2:9">
      <c r="B75" s="25"/>
      <c r="C75" s="25"/>
      <c r="D75" s="25"/>
      <c r="E75" s="25"/>
      <c r="F75" s="25"/>
      <c r="G75" s="25"/>
      <c r="H75" s="25"/>
      <c r="I75" s="25"/>
    </row>
    <row r="76" spans="2:9">
      <c r="B76" s="25"/>
      <c r="C76" s="25"/>
      <c r="D76" s="25"/>
      <c r="E76" s="25"/>
      <c r="F76" s="25"/>
      <c r="G76" s="25"/>
      <c r="H76" s="25"/>
      <c r="I76" s="25"/>
    </row>
    <row r="77" spans="2:9">
      <c r="B77" s="25"/>
      <c r="C77" s="25"/>
      <c r="D77" s="25"/>
      <c r="E77" s="25"/>
      <c r="F77" s="25"/>
      <c r="G77" s="25"/>
      <c r="H77" s="25"/>
      <c r="I77" s="25"/>
    </row>
    <row r="78" spans="2:9">
      <c r="B78" s="25"/>
      <c r="C78" s="25"/>
      <c r="D78" s="25"/>
      <c r="E78" s="25"/>
      <c r="F78" s="25"/>
      <c r="G78" s="25"/>
      <c r="H78" s="25"/>
      <c r="I78" s="25"/>
    </row>
    <row r="79" spans="2:9">
      <c r="B79" s="25"/>
      <c r="C79" s="25"/>
      <c r="D79" s="25"/>
      <c r="E79" s="25"/>
      <c r="F79" s="25"/>
      <c r="G79" s="25"/>
      <c r="H79" s="25"/>
      <c r="I79" s="25"/>
    </row>
    <row r="80" spans="2:9">
      <c r="B80" s="25"/>
      <c r="C80" s="25"/>
      <c r="D80" s="25"/>
      <c r="E80" s="25"/>
      <c r="F80" s="25"/>
      <c r="G80" s="25"/>
      <c r="H80" s="25"/>
      <c r="I80" s="25"/>
    </row>
    <row r="81" spans="2:9">
      <c r="B81" s="25"/>
      <c r="C81" s="25"/>
      <c r="D81" s="25"/>
      <c r="E81" s="25"/>
      <c r="F81" s="25"/>
      <c r="G81" s="25"/>
      <c r="H81" s="25"/>
      <c r="I81" s="25"/>
    </row>
    <row r="82" spans="2:9">
      <c r="B82" s="27"/>
      <c r="C82" s="27"/>
      <c r="D82" s="27"/>
      <c r="E82" s="27"/>
      <c r="F82" s="27"/>
      <c r="G82" s="27"/>
      <c r="H82" s="27"/>
      <c r="I82" s="27"/>
    </row>
  </sheetData>
  <mergeCells count="4">
    <mergeCell ref="A22:B51"/>
    <mergeCell ref="A1:B1"/>
    <mergeCell ref="A2:B2"/>
    <mergeCell ref="B82:I8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141D3-6665-4149-8E67-E15E5269EBA4}">
  <sheetPr codeName="Sheet6"/>
  <dimension ref="A1"/>
  <sheetViews>
    <sheetView workbookViewId="0">
      <selection activeCell="H45" sqref="H45"/>
    </sheetView>
  </sheetViews>
  <sheetFormatPr baseColWidth="10" defaultRowHeight="1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Raw_Data</vt:lpstr>
      <vt:lpstr>Clean_Data</vt:lpstr>
      <vt:lpstr>Fuel_Price</vt:lpstr>
      <vt:lpstr>Dashboard</vt:lpstr>
      <vt:lpstr>    VBA_Automation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2025-04-01T13:20:15Z</dcterms:created>
  <dcterms:modified xsi:type="dcterms:W3CDTF">2026-09-27T18:48:42Z</dcterms:modified>
</cp:coreProperties>
</file>